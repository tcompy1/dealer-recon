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Z:\Floorplan Recs\"/>
    </mc:Choice>
  </mc:AlternateContent>
  <xr:revisionPtr revIDLastSave="0" documentId="13_ncr:1_{0E35BB6E-18A2-431D-9D41-CF94691A0BDD}" xr6:coauthVersionLast="47" xr6:coauthVersionMax="47" xr10:uidLastSave="{00000000-0000-0000-0000-000000000000}"/>
  <bookViews>
    <workbookView xWindow="-120" yWindow="-120" windowWidth="29040" windowHeight="15840" firstSheet="118" activeTab="123" xr2:uid="{00000000-000D-0000-FFFF-FFFF00000000}"/>
  </bookViews>
  <sheets>
    <sheet name="May 14" sheetId="2" r:id="rId1"/>
    <sheet name="June '14" sheetId="3" r:id="rId2"/>
    <sheet name="July '14" sheetId="4" r:id="rId3"/>
    <sheet name="Augst '14" sheetId="5" r:id="rId4"/>
    <sheet name="Sept '14" sheetId="6" r:id="rId5"/>
    <sheet name="Oct '14" sheetId="7" r:id="rId6"/>
    <sheet name="Nov '14" sheetId="8" r:id="rId7"/>
    <sheet name="Dec '14" sheetId="9" r:id="rId8"/>
    <sheet name="Jan '15" sheetId="10" r:id="rId9"/>
    <sheet name="Feb '15" sheetId="11" r:id="rId10"/>
    <sheet name="June '16" sheetId="12" r:id="rId11"/>
    <sheet name="July' 16" sheetId="13" r:id="rId12"/>
    <sheet name="Aug '16" sheetId="14" r:id="rId13"/>
    <sheet name="Sept 16" sheetId="15" r:id="rId14"/>
    <sheet name="Oct 16" sheetId="16" r:id="rId15"/>
    <sheet name="NOV 16" sheetId="17" r:id="rId16"/>
    <sheet name="DEC 16" sheetId="18" r:id="rId17"/>
    <sheet name="JAN 17" sheetId="19" r:id="rId18"/>
    <sheet name="Feb 17" sheetId="20" r:id="rId19"/>
    <sheet name="Mar 17" sheetId="21" r:id="rId20"/>
    <sheet name="APR17" sheetId="22" r:id="rId21"/>
    <sheet name="MAY 17" sheetId="23" r:id="rId22"/>
    <sheet name="JUNE 17" sheetId="24" r:id="rId23"/>
    <sheet name="July 17" sheetId="25" r:id="rId24"/>
    <sheet name="Aug 17" sheetId="26" r:id="rId25"/>
    <sheet name="Sept 17" sheetId="27" r:id="rId26"/>
    <sheet name="Oct 17" sheetId="28" r:id="rId27"/>
    <sheet name="Mar 18" sheetId="29" r:id="rId28"/>
    <sheet name="April 18" sheetId="30" r:id="rId29"/>
    <sheet name="May 18" sheetId="31" r:id="rId30"/>
    <sheet name="June 18" sheetId="32" r:id="rId31"/>
    <sheet name="July 18" sheetId="33" r:id="rId32"/>
    <sheet name="Aug 18" sheetId="34" r:id="rId33"/>
    <sheet name="Sept 18" sheetId="35" r:id="rId34"/>
    <sheet name="Oct 18" sheetId="36" r:id="rId35"/>
    <sheet name="Nov 18" sheetId="37" r:id="rId36"/>
    <sheet name="Dec 18" sheetId="38" r:id="rId37"/>
    <sheet name="Jan 19" sheetId="39" r:id="rId38"/>
    <sheet name="Feb 19" sheetId="40" r:id="rId39"/>
    <sheet name="MAR 19" sheetId="41" r:id="rId40"/>
    <sheet name="APRIL 19" sheetId="42" r:id="rId41"/>
    <sheet name="MAY 2019" sheetId="43" r:id="rId42"/>
    <sheet name="June 19" sheetId="44" r:id="rId43"/>
    <sheet name="JULY 19" sheetId="45" r:id="rId44"/>
    <sheet name="AUG 19" sheetId="46" r:id="rId45"/>
    <sheet name="Sept 19" sheetId="47" r:id="rId46"/>
    <sheet name="OCT 19" sheetId="48" r:id="rId47"/>
    <sheet name="NOV 19" sheetId="49" r:id="rId48"/>
    <sheet name="DEC 19" sheetId="50" r:id="rId49"/>
    <sheet name="JAN 20" sheetId="51" r:id="rId50"/>
    <sheet name="FEB 20" sheetId="52" r:id="rId51"/>
    <sheet name="MAR 20" sheetId="53" r:id="rId52"/>
    <sheet name="APR 20" sheetId="54" r:id="rId53"/>
    <sheet name="MAY 20" sheetId="55" r:id="rId54"/>
    <sheet name="JUNE 20" sheetId="56" r:id="rId55"/>
    <sheet name="JULY 20" sheetId="57" r:id="rId56"/>
    <sheet name="AUG 20" sheetId="58" r:id="rId57"/>
    <sheet name="SEPT 20" sheetId="59" r:id="rId58"/>
    <sheet name="OCT2020" sheetId="60" r:id="rId59"/>
    <sheet name="NOV 2020" sheetId="61" r:id="rId60"/>
    <sheet name="DEC 2020" sheetId="62" r:id="rId61"/>
    <sheet name="JAN2021" sheetId="63" r:id="rId62"/>
    <sheet name="FEB2021 " sheetId="65" r:id="rId63"/>
    <sheet name="MAR2021" sheetId="64" r:id="rId64"/>
    <sheet name="APR2021" sheetId="66" r:id="rId65"/>
    <sheet name="MAY 2021" sheetId="67" r:id="rId66"/>
    <sheet name="JUNE 2021" sheetId="68" r:id="rId67"/>
    <sheet name="JULY21" sheetId="69" r:id="rId68"/>
    <sheet name="AUG21" sheetId="70" r:id="rId69"/>
    <sheet name="SEPT21" sheetId="71" r:id="rId70"/>
    <sheet name="OCT21" sheetId="72" r:id="rId71"/>
    <sheet name="NOV21" sheetId="73" r:id="rId72"/>
    <sheet name="DEC21" sheetId="74" r:id="rId73"/>
    <sheet name="JAN22" sheetId="75" r:id="rId74"/>
    <sheet name="FEB22" sheetId="76" r:id="rId75"/>
    <sheet name="MAR22" sheetId="77" r:id="rId76"/>
    <sheet name="APR22" sheetId="78" r:id="rId77"/>
    <sheet name="MAY22" sheetId="79" r:id="rId78"/>
    <sheet name="JUNE22" sheetId="80" r:id="rId79"/>
    <sheet name="JULY22" sheetId="81" r:id="rId80"/>
    <sheet name="AUG22" sheetId="82" r:id="rId81"/>
    <sheet name="SEPT22" sheetId="83" r:id="rId82"/>
    <sheet name="OCT22" sheetId="84" r:id="rId83"/>
    <sheet name="NOV22" sheetId="86" r:id="rId84"/>
    <sheet name="DEC22" sheetId="87" r:id="rId85"/>
    <sheet name="JAN23" sheetId="88" r:id="rId86"/>
    <sheet name="FEB23" sheetId="90" r:id="rId87"/>
    <sheet name="MAR23" sheetId="91" r:id="rId88"/>
    <sheet name="APR23" sheetId="92" r:id="rId89"/>
    <sheet name="MAY23" sheetId="93" r:id="rId90"/>
    <sheet name="JUNE23" sheetId="94" r:id="rId91"/>
    <sheet name="JULY23" sheetId="95" r:id="rId92"/>
    <sheet name="AUG23" sheetId="97" r:id="rId93"/>
    <sheet name="SEPT23" sheetId="98" r:id="rId94"/>
    <sheet name="OCT23" sheetId="99" r:id="rId95"/>
    <sheet name="NOV23" sheetId="100" r:id="rId96"/>
    <sheet name="DEC23" sheetId="101" r:id="rId97"/>
    <sheet name="JAN24" sheetId="102" r:id="rId98"/>
    <sheet name="FEB24" sheetId="103" r:id="rId99"/>
    <sheet name="MAR24" sheetId="104" r:id="rId100"/>
    <sheet name="APR24" sheetId="106" r:id="rId101"/>
    <sheet name="JUNE24" sheetId="107" r:id="rId102"/>
    <sheet name="JULY24" sheetId="108" r:id="rId103"/>
    <sheet name="AUG24" sheetId="109" r:id="rId104"/>
    <sheet name="SEPT24" sheetId="110" r:id="rId105"/>
    <sheet name="OCT24" sheetId="111" r:id="rId106"/>
    <sheet name="NOV24" sheetId="112" r:id="rId107"/>
    <sheet name="DEC24" sheetId="114" r:id="rId108"/>
    <sheet name="JAN25" sheetId="115" r:id="rId109"/>
    <sheet name="FEB25" sheetId="116" r:id="rId110"/>
    <sheet name="MAR25 (2)" sheetId="117" r:id="rId111"/>
    <sheet name="APR25" sheetId="118" r:id="rId112"/>
    <sheet name="MAY25" sheetId="119" r:id="rId113"/>
    <sheet name="JUNE25" sheetId="120" r:id="rId114"/>
    <sheet name="JULY25" sheetId="121" r:id="rId115"/>
    <sheet name="AUG25" sheetId="122" r:id="rId116"/>
    <sheet name="SEPT 25" sheetId="123" r:id="rId117"/>
    <sheet name="OCT 25" sheetId="124" r:id="rId118"/>
    <sheet name="NOV25" sheetId="125" r:id="rId119"/>
    <sheet name="DEC25" sheetId="127" r:id="rId120"/>
    <sheet name="JAN26" sheetId="128" r:id="rId121"/>
    <sheet name="FEB 26" sheetId="129" r:id="rId122"/>
    <sheet name="MAR26" sheetId="130" r:id="rId123"/>
    <sheet name="APR26" sheetId="131" r:id="rId124"/>
    <sheet name="Sheet1" sheetId="126" r:id="rId125"/>
  </sheets>
  <definedNames>
    <definedName name="_xlnm.Print_Area" localSheetId="20">'APR17'!$A$1:$F$30</definedName>
    <definedName name="_xlnm.Print_Area" localSheetId="76">'APR22'!$A$1:$H$24</definedName>
    <definedName name="_xlnm.Print_Area" localSheetId="88">'APR23'!$A$1:$F$60</definedName>
    <definedName name="_xlnm.Print_Area" localSheetId="100">'APR24'!$A$1:$D$107</definedName>
    <definedName name="_xlnm.Print_Area" localSheetId="111">'APR25'!$A:$F</definedName>
    <definedName name="_xlnm.Print_Area" localSheetId="123">'APR26'!$A:$F</definedName>
    <definedName name="_xlnm.Print_Area" localSheetId="12">'Aug ''16'!$A$1:$G$29</definedName>
    <definedName name="_xlnm.Print_Area" localSheetId="24">'Aug 17'!$A$1:$F$21</definedName>
    <definedName name="_xlnm.Print_Area" localSheetId="92">'AUG23'!$A$1:$F$88</definedName>
    <definedName name="_xlnm.Print_Area" localSheetId="103">'AUG24'!$A$1:$E$87</definedName>
    <definedName name="_xlnm.Print_Area" localSheetId="115">'AUG25'!$A:$F</definedName>
    <definedName name="_xlnm.Print_Area" localSheetId="3">'Augst ''14'!$A$1:$F$42</definedName>
    <definedName name="_xlnm.Print_Area" localSheetId="7">'Dec ''14'!$A$1:$F$49</definedName>
    <definedName name="_xlnm.Print_Area" localSheetId="16">'DEC 16'!$A$1:$H$26</definedName>
    <definedName name="_xlnm.Print_Area" localSheetId="84">'DEC22'!$A$1:$D$59</definedName>
    <definedName name="_xlnm.Print_Area" localSheetId="107">'DEC24'!$A$1:$E$77</definedName>
    <definedName name="_xlnm.Print_Area" localSheetId="119">'DEC25'!$A:$F</definedName>
    <definedName name="_xlnm.Print_Area" localSheetId="9">'Feb ''15'!$A$1:$F$42</definedName>
    <definedName name="_xlnm.Print_Area" localSheetId="18">'Feb 17'!$A$1:$F$29</definedName>
    <definedName name="_xlnm.Print_Area" localSheetId="121">'FEB 26'!$A:$F</definedName>
    <definedName name="_xlnm.Print_Area" localSheetId="74">'FEB22'!$A$1:$H$111</definedName>
    <definedName name="_xlnm.Print_Area" localSheetId="86">'FEB23'!$A:$F</definedName>
    <definedName name="_xlnm.Print_Area" localSheetId="98">'FEB24'!$A$1:$D$89</definedName>
    <definedName name="_xlnm.Print_Area" localSheetId="109">'FEB25'!$A:$F</definedName>
    <definedName name="_xlnm.Print_Area" localSheetId="8">'Jan ''15'!$A$1:$F$40</definedName>
    <definedName name="_xlnm.Print_Area" localSheetId="17">'JAN 17'!$A$1:$H$27</definedName>
    <definedName name="_xlnm.Print_Area" localSheetId="85">'JAN23'!$A$1:$D$42</definedName>
    <definedName name="_xlnm.Print_Area" localSheetId="97">'JAN24'!$A$1:$D$37</definedName>
    <definedName name="_xlnm.Print_Area" localSheetId="108">'JAN25'!$A$1:$E$62</definedName>
    <definedName name="_xlnm.Print_Area" localSheetId="120">'JAN26'!$A:$F</definedName>
    <definedName name="_xlnm.Print_Area" localSheetId="2">'July ''14'!$A$1:$F$43</definedName>
    <definedName name="_xlnm.Print_Area" localSheetId="11">'July'' 16'!$A$1:$G$28</definedName>
    <definedName name="_xlnm.Print_Area" localSheetId="23">'July 17'!$A$1:$F$19</definedName>
    <definedName name="_xlnm.Print_Area" localSheetId="91">JULY23!$A$1:$F$70</definedName>
    <definedName name="_xlnm.Print_Area" localSheetId="102">JULY24!$A$1:$E$69</definedName>
    <definedName name="_xlnm.Print_Area" localSheetId="114">JULY25!$A:$F</definedName>
    <definedName name="_xlnm.Print_Area" localSheetId="10">'June ''16'!$A$1:$G$28</definedName>
    <definedName name="_xlnm.Print_Area" localSheetId="22">'JUNE 17'!$A$1:$F$26</definedName>
    <definedName name="_xlnm.Print_Area" localSheetId="78">JUNE22!$A$1:$H$26</definedName>
    <definedName name="_xlnm.Print_Area" localSheetId="90">JUNE23!$A$1:$F$94</definedName>
    <definedName name="_xlnm.Print_Area" localSheetId="101">JUNE24!$A$1:$E$62</definedName>
    <definedName name="_xlnm.Print_Area" localSheetId="113">JUNE25!$A:$F</definedName>
    <definedName name="_xlnm.Print_Area" localSheetId="19">'Mar 17'!$A$1:$F$30</definedName>
    <definedName name="_xlnm.Print_Area" localSheetId="75">'MAR22'!$A$1:$H$56</definedName>
    <definedName name="_xlnm.Print_Area" localSheetId="87">'MAR23'!$A:$F</definedName>
    <definedName name="_xlnm.Print_Area" localSheetId="99">'MAR24'!$A$1:$D$48</definedName>
    <definedName name="_xlnm.Print_Area" localSheetId="110">'MAR25 (2)'!$A:$F</definedName>
    <definedName name="_xlnm.Print_Area" localSheetId="122">'MAR26'!$A:$F</definedName>
    <definedName name="_xlnm.Print_Area" localSheetId="21">'MAY 17'!$A$1:$F$30</definedName>
    <definedName name="_xlnm.Print_Area" localSheetId="77">'MAY22'!$A$1:$H$44</definedName>
    <definedName name="_xlnm.Print_Area" localSheetId="89">'MAY23'!$A$1:$F$82</definedName>
    <definedName name="_xlnm.Print_Area" localSheetId="112">'MAY25'!$A:$F</definedName>
    <definedName name="_xlnm.Print_Area" localSheetId="6">'Nov ''14'!$A$1:$F$49</definedName>
    <definedName name="_xlnm.Print_Area" localSheetId="15">'NOV 16'!$A$1:$H$26</definedName>
    <definedName name="_xlnm.Print_Area" localSheetId="83">'NOV22'!$A$1:$D$87</definedName>
    <definedName name="_xlnm.Print_Area" localSheetId="95">'NOV23'!$A$1:$F$53</definedName>
    <definedName name="_xlnm.Print_Area" localSheetId="106">'NOV24'!$A$1:$E$91</definedName>
    <definedName name="_xlnm.Print_Area" localSheetId="118">'NOV25'!$A:$F</definedName>
    <definedName name="_xlnm.Print_Area" localSheetId="5">'Oct ''14'!$A$1:$F$42</definedName>
    <definedName name="_xlnm.Print_Area" localSheetId="14">'Oct 16'!$A$1:$H$32</definedName>
    <definedName name="_xlnm.Print_Area" localSheetId="26">'Oct 17'!$A$1:$F$27</definedName>
    <definedName name="_xlnm.Print_Area" localSheetId="117">'OCT 25'!$A:$F</definedName>
    <definedName name="_xlnm.Print_Area" localSheetId="82">'OCT22'!$A$1:$D$77</definedName>
    <definedName name="_xlnm.Print_Area" localSheetId="94">'OCT23'!$A:$D</definedName>
    <definedName name="_xlnm.Print_Area" localSheetId="105">'OCT24'!$A$1:$E$109</definedName>
    <definedName name="_xlnm.Print_Area" localSheetId="4">'Sept ''14'!$A$1:$F$42</definedName>
    <definedName name="_xlnm.Print_Area" localSheetId="13">'Sept 16'!$A$1:$G$29</definedName>
    <definedName name="_xlnm.Print_Area" localSheetId="25">'Sept 17'!$A$1:$F$21</definedName>
    <definedName name="_xlnm.Print_Area" localSheetId="116">'SEPT 25'!$A:$F</definedName>
    <definedName name="_xlnm.Print_Area" localSheetId="93">SEPT23!$A:$D</definedName>
    <definedName name="_xlnm.Print_Area" localSheetId="104">SEPT24!$A$1:$E$74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58" i="131" l="1"/>
  <c r="B159" i="131" s="1"/>
  <c r="B48" i="131"/>
  <c r="B6" i="131"/>
  <c r="B7" i="131" s="1"/>
  <c r="B89" i="130"/>
  <c r="B23" i="130"/>
  <c r="B6" i="130"/>
  <c r="B7" i="130" s="1"/>
  <c r="B81" i="129"/>
  <c r="B25" i="129"/>
  <c r="B6" i="129"/>
  <c r="B7" i="129" s="1"/>
  <c r="B43" i="128"/>
  <c r="B23" i="128"/>
  <c r="B6" i="128"/>
  <c r="B7" i="128" s="1"/>
  <c r="B44" i="127"/>
  <c r="B29" i="127"/>
  <c r="B6" i="127"/>
  <c r="B7" i="127" s="1"/>
  <c r="B79" i="125"/>
  <c r="B13" i="125"/>
  <c r="B6" i="125"/>
  <c r="B7" i="125" s="1"/>
  <c r="B60" i="124"/>
  <c r="B37" i="124"/>
  <c r="B6" i="124"/>
  <c r="B7" i="124" s="1"/>
  <c r="B140" i="123"/>
  <c r="B19" i="123"/>
  <c r="B6" i="123"/>
  <c r="B7" i="123" s="1"/>
  <c r="B65" i="122"/>
  <c r="B23" i="122"/>
  <c r="B6" i="122"/>
  <c r="B7" i="122" s="1"/>
  <c r="B47" i="121"/>
  <c r="B22" i="121"/>
  <c r="B6" i="121"/>
  <c r="B7" i="121" s="1"/>
  <c r="B102" i="120"/>
  <c r="B48" i="120"/>
  <c r="B6" i="120"/>
  <c r="B7" i="120" s="1"/>
  <c r="B22" i="119"/>
  <c r="B72" i="119"/>
  <c r="B6" i="119"/>
  <c r="B7" i="119" s="1"/>
  <c r="B21" i="118"/>
  <c r="B178" i="118"/>
  <c r="B6" i="118"/>
  <c r="B7" i="118" s="1"/>
  <c r="B12" i="117"/>
  <c r="B60" i="117" s="1"/>
  <c r="B6" i="117"/>
  <c r="B7" i="117" s="1"/>
  <c r="B64" i="116"/>
  <c r="B21" i="116"/>
  <c r="B6" i="116"/>
  <c r="B7" i="116" s="1"/>
  <c r="B35" i="115"/>
  <c r="B59" i="115"/>
  <c r="B6" i="115"/>
  <c r="B7" i="115" s="1"/>
  <c r="B74" i="114"/>
  <c r="B22" i="114"/>
  <c r="B6" i="114"/>
  <c r="B7" i="114" s="1"/>
  <c r="B88" i="112"/>
  <c r="B32" i="112"/>
  <c r="B6" i="112"/>
  <c r="B7" i="112" s="1"/>
  <c r="B50" i="111"/>
  <c r="B106" i="111"/>
  <c r="B6" i="111"/>
  <c r="B7" i="111" s="1"/>
  <c r="B71" i="110"/>
  <c r="B37" i="110"/>
  <c r="B6" i="110"/>
  <c r="B7" i="110" s="1"/>
  <c r="B84" i="109"/>
  <c r="B49" i="109"/>
  <c r="B6" i="109"/>
  <c r="B7" i="109" s="1"/>
  <c r="B67" i="108"/>
  <c r="B28" i="108"/>
  <c r="B6" i="108"/>
  <c r="B7" i="108" s="1"/>
  <c r="B60" i="107"/>
  <c r="B6" i="107"/>
  <c r="B7" i="107" s="1"/>
  <c r="B16" i="107"/>
  <c r="B102" i="106"/>
  <c r="B49" i="106"/>
  <c r="B6" i="106"/>
  <c r="B7" i="106" s="1"/>
  <c r="B43" i="104"/>
  <c r="B26" i="104"/>
  <c r="B6" i="104"/>
  <c r="B7" i="104" s="1"/>
  <c r="B84" i="103"/>
  <c r="B25" i="103"/>
  <c r="B6" i="103"/>
  <c r="B7" i="103" s="1"/>
  <c r="B32" i="102"/>
  <c r="B22" i="102"/>
  <c r="B6" i="102"/>
  <c r="B7" i="102" s="1"/>
  <c r="B38" i="101"/>
  <c r="B26" i="101"/>
  <c r="B6" i="101"/>
  <c r="B7" i="101" s="1"/>
  <c r="B50" i="100"/>
  <c r="B38" i="100"/>
  <c r="B6" i="100"/>
  <c r="B7" i="100" s="1"/>
  <c r="B42" i="99"/>
  <c r="B26" i="99"/>
  <c r="B6" i="99"/>
  <c r="B7" i="99" s="1"/>
  <c r="B60" i="98"/>
  <c r="B34" i="98"/>
  <c r="B6" i="98"/>
  <c r="B7" i="98" s="1"/>
  <c r="B38" i="97"/>
  <c r="B84" i="97"/>
  <c r="B6" i="97"/>
  <c r="B7" i="97" s="1"/>
  <c r="B66" i="95"/>
  <c r="B20" i="95"/>
  <c r="B6" i="95"/>
  <c r="B7" i="95" s="1"/>
  <c r="B90" i="94"/>
  <c r="B26" i="94"/>
  <c r="B6" i="94"/>
  <c r="B7" i="94" s="1"/>
  <c r="B6" i="93"/>
  <c r="B7" i="93" s="1"/>
  <c r="B56" i="92"/>
  <c r="B16" i="92"/>
  <c r="B6" i="92"/>
  <c r="B7" i="92" s="1"/>
  <c r="B67" i="91"/>
  <c r="B24" i="91"/>
  <c r="B6" i="91"/>
  <c r="B7" i="91" s="1"/>
  <c r="B44" i="90"/>
  <c r="B18" i="90"/>
  <c r="B45" i="90" s="1"/>
  <c r="B46" i="90" s="1"/>
  <c r="B7" i="90"/>
  <c r="B6" i="90"/>
  <c r="B40" i="88"/>
  <c r="B14" i="88"/>
  <c r="B6" i="88"/>
  <c r="B7" i="88" s="1"/>
  <c r="B57" i="87"/>
  <c r="B19" i="87"/>
  <c r="B6" i="87"/>
  <c r="B7" i="87" s="1"/>
  <c r="B37" i="86"/>
  <c r="B85" i="86"/>
  <c r="B86" i="86" s="1"/>
  <c r="B6" i="86"/>
  <c r="B7" i="86" s="1"/>
  <c r="B74" i="84"/>
  <c r="B13" i="84"/>
  <c r="B6" i="84"/>
  <c r="B7" i="84" s="1"/>
  <c r="B90" i="83"/>
  <c r="B21" i="83"/>
  <c r="B6" i="83"/>
  <c r="B7" i="83" s="1"/>
  <c r="B30" i="82"/>
  <c r="B27" i="82"/>
  <c r="B6" i="82"/>
  <c r="B7" i="82" s="1"/>
  <c r="B24" i="81"/>
  <c r="B21" i="81"/>
  <c r="B6" i="81"/>
  <c r="B7" i="81" s="1"/>
  <c r="B24" i="80"/>
  <c r="B21" i="80"/>
  <c r="B6" i="80"/>
  <c r="B7" i="80" s="1"/>
  <c r="B31" i="79"/>
  <c r="B42" i="79"/>
  <c r="B6" i="79"/>
  <c r="B7" i="79" s="1"/>
  <c r="B22" i="78"/>
  <c r="B17" i="78"/>
  <c r="B6" i="78"/>
  <c r="B7" i="78" s="1"/>
  <c r="B54" i="77"/>
  <c r="B47" i="77"/>
  <c r="B6" i="77"/>
  <c r="B7" i="77" s="1"/>
  <c r="B103" i="76"/>
  <c r="B109" i="76"/>
  <c r="B6" i="76"/>
  <c r="B7" i="76" s="1"/>
  <c r="B29" i="75"/>
  <c r="B23" i="75"/>
  <c r="B30" i="75" s="1"/>
  <c r="B6" i="75"/>
  <c r="B7" i="75" s="1"/>
  <c r="B24" i="74"/>
  <c r="B17" i="74"/>
  <c r="B6" i="74"/>
  <c r="B7" i="74" s="1"/>
  <c r="B24" i="73"/>
  <c r="B17" i="73"/>
  <c r="B7" i="73"/>
  <c r="B6" i="73"/>
  <c r="B160" i="131" l="1"/>
  <c r="B90" i="130"/>
  <c r="B91" i="130" s="1"/>
  <c r="B82" i="129"/>
  <c r="B83" i="129" s="1"/>
  <c r="B44" i="128"/>
  <c r="B45" i="128" s="1"/>
  <c r="B45" i="127"/>
  <c r="B46" i="127" s="1"/>
  <c r="B80" i="125"/>
  <c r="B81" i="125" s="1"/>
  <c r="B61" i="124"/>
  <c r="B62" i="124" s="1"/>
  <c r="B141" i="123"/>
  <c r="B142" i="123" s="1"/>
  <c r="B66" i="122"/>
  <c r="B67" i="122" s="1"/>
  <c r="B48" i="121"/>
  <c r="B49" i="121" s="1"/>
  <c r="B103" i="120"/>
  <c r="B104" i="120" s="1"/>
  <c r="B73" i="119"/>
  <c r="B74" i="119" s="1"/>
  <c r="B179" i="118"/>
  <c r="B180" i="118" s="1"/>
  <c r="B61" i="117"/>
  <c r="B62" i="117" s="1"/>
  <c r="B65" i="116"/>
  <c r="B66" i="116" s="1"/>
  <c r="B60" i="115"/>
  <c r="B61" i="115" s="1"/>
  <c r="B75" i="114"/>
  <c r="B76" i="114" s="1"/>
  <c r="B89" i="112"/>
  <c r="B90" i="112" s="1"/>
  <c r="B107" i="111"/>
  <c r="B108" i="111" s="1"/>
  <c r="B72" i="110"/>
  <c r="B73" i="110" s="1"/>
  <c r="B85" i="109"/>
  <c r="B86" i="109" s="1"/>
  <c r="B68" i="108"/>
  <c r="B69" i="108" s="1"/>
  <c r="B61" i="107"/>
  <c r="B62" i="107" s="1"/>
  <c r="B103" i="106"/>
  <c r="B104" i="106" s="1"/>
  <c r="B44" i="104"/>
  <c r="B45" i="104" s="1"/>
  <c r="B85" i="103"/>
  <c r="B86" i="103" s="1"/>
  <c r="B33" i="102"/>
  <c r="B34" i="102" s="1"/>
  <c r="B39" i="101"/>
  <c r="B40" i="101" s="1"/>
  <c r="B51" i="100"/>
  <c r="B52" i="100" s="1"/>
  <c r="B43" i="99"/>
  <c r="B44" i="99" s="1"/>
  <c r="B61" i="98"/>
  <c r="B62" i="98" s="1"/>
  <c r="B85" i="97"/>
  <c r="B86" i="97" s="1"/>
  <c r="B67" i="95"/>
  <c r="B68" i="95" s="1"/>
  <c r="B91" i="94"/>
  <c r="B92" i="94" s="1"/>
  <c r="B26" i="93"/>
  <c r="B57" i="92"/>
  <c r="B58" i="92" s="1"/>
  <c r="B68" i="91"/>
  <c r="B69" i="91" s="1"/>
  <c r="B41" i="88"/>
  <c r="B42" i="88" s="1"/>
  <c r="B58" i="87"/>
  <c r="B59" i="87" s="1"/>
  <c r="B87" i="86"/>
  <c r="B75" i="84"/>
  <c r="B76" i="84" s="1"/>
  <c r="B91" i="83"/>
  <c r="B92" i="83" s="1"/>
  <c r="B31" i="82"/>
  <c r="B32" i="82" s="1"/>
  <c r="B25" i="81"/>
  <c r="B26" i="81" s="1"/>
  <c r="B25" i="80"/>
  <c r="B26" i="80" s="1"/>
  <c r="B43" i="79"/>
  <c r="B44" i="79"/>
  <c r="B23" i="78"/>
  <c r="B24" i="78" s="1"/>
  <c r="B55" i="77"/>
  <c r="B56" i="77" s="1"/>
  <c r="B110" i="76"/>
  <c r="B111" i="76" s="1"/>
  <c r="B31" i="75"/>
  <c r="B25" i="74"/>
  <c r="B26" i="74" s="1"/>
  <c r="B25" i="73"/>
  <c r="B26" i="73" s="1"/>
  <c r="B24" i="72"/>
  <c r="B25" i="72" s="1"/>
  <c r="B17" i="72"/>
  <c r="B6" i="72"/>
  <c r="B7" i="72" s="1"/>
  <c r="B78" i="93" l="1"/>
  <c r="B79" i="93" s="1"/>
  <c r="B80" i="93" s="1"/>
  <c r="B26" i="72"/>
  <c r="B26" i="71"/>
  <c r="B27" i="71" s="1"/>
  <c r="B19" i="71"/>
  <c r="B6" i="71"/>
  <c r="B7" i="71" s="1"/>
  <c r="B28" i="71" l="1"/>
  <c r="B26" i="70"/>
  <c r="B27" i="70" s="1"/>
  <c r="B19" i="70"/>
  <c r="B6" i="70"/>
  <c r="B7" i="70" s="1"/>
  <c r="B28" i="70" l="1"/>
  <c r="B27" i="69"/>
  <c r="B34" i="69"/>
  <c r="B6" i="69"/>
  <c r="B7" i="69" s="1"/>
  <c r="B35" i="69" l="1"/>
  <c r="B36" i="69" s="1"/>
  <c r="B29" i="68"/>
  <c r="B22" i="68"/>
  <c r="B6" i="68"/>
  <c r="B7" i="68" s="1"/>
  <c r="B30" i="68" l="1"/>
  <c r="B31" i="68" s="1"/>
  <c r="B29" i="67"/>
  <c r="B21" i="67"/>
  <c r="B6" i="67"/>
  <c r="B7" i="67" s="1"/>
  <c r="B30" i="67" l="1"/>
  <c r="B31" i="67"/>
  <c r="B25" i="66"/>
  <c r="B35" i="66"/>
  <c r="B6" i="66"/>
  <c r="B7" i="66" s="1"/>
  <c r="B36" i="66" l="1"/>
  <c r="B37" i="66" s="1"/>
  <c r="B22" i="64"/>
  <c r="B17" i="64"/>
  <c r="B36" i="65"/>
  <c r="B37" i="65" s="1"/>
  <c r="B35" i="65"/>
  <c r="B25" i="65"/>
  <c r="B6" i="65"/>
  <c r="B7" i="65" s="1"/>
  <c r="B6" i="64" l="1"/>
  <c r="B7" i="64" s="1"/>
  <c r="B23" i="64" l="1"/>
  <c r="B24" i="64" s="1"/>
  <c r="B40" i="63"/>
  <c r="B25" i="63"/>
  <c r="B6" i="63"/>
  <c r="B7" i="63" s="1"/>
  <c r="B41" i="63" l="1"/>
  <c r="B42" i="63" s="1"/>
  <c r="B30" i="62"/>
  <c r="B21" i="62"/>
  <c r="B6" i="62"/>
  <c r="B7" i="62" s="1"/>
  <c r="B31" i="62" l="1"/>
  <c r="B32" i="62" s="1"/>
  <c r="B34" i="61"/>
  <c r="B23" i="61"/>
  <c r="B6" i="61"/>
  <c r="B7" i="61" s="1"/>
  <c r="B35" i="61" l="1"/>
  <c r="B36" i="61" s="1"/>
  <c r="B22" i="60"/>
  <c r="B32" i="60"/>
  <c r="B6" i="60"/>
  <c r="B7" i="60" s="1"/>
  <c r="B33" i="60" l="1"/>
  <c r="B34" i="60" s="1"/>
  <c r="B26" i="59"/>
  <c r="B19" i="59"/>
  <c r="B6" i="59"/>
  <c r="B7" i="59" s="1"/>
  <c r="B27" i="59" l="1"/>
  <c r="B28" i="59" s="1"/>
  <c r="B26" i="58"/>
  <c r="B19" i="58"/>
  <c r="B6" i="58"/>
  <c r="B7" i="58" s="1"/>
  <c r="B27" i="58" l="1"/>
  <c r="B28" i="58" s="1"/>
  <c r="B40" i="57"/>
  <c r="B33" i="57"/>
  <c r="B6" i="57"/>
  <c r="B7" i="57" s="1"/>
  <c r="B41" i="57" l="1"/>
  <c r="B42" i="57" s="1"/>
  <c r="B28" i="56"/>
  <c r="B20" i="56"/>
  <c r="B6" i="56"/>
  <c r="B7" i="56" s="1"/>
  <c r="B29" i="56" l="1"/>
  <c r="B30" i="56" s="1"/>
  <c r="B15" i="55"/>
  <c r="B19" i="55"/>
  <c r="B20" i="55" s="1"/>
  <c r="B6" i="55"/>
  <c r="B7" i="55" s="1"/>
  <c r="B21" i="55" l="1"/>
  <c r="B15" i="54"/>
  <c r="B19" i="54"/>
  <c r="B6" i="54"/>
  <c r="B7" i="54" s="1"/>
  <c r="B20" i="54" l="1"/>
  <c r="B21" i="54" s="1"/>
  <c r="B16" i="53"/>
  <c r="B12" i="53"/>
  <c r="B17" i="53" s="1"/>
  <c r="B6" i="53"/>
  <c r="B7" i="53" s="1"/>
  <c r="B18" i="53" l="1"/>
  <c r="B32" i="52"/>
  <c r="B28" i="52"/>
  <c r="B6" i="52"/>
  <c r="B7" i="52" s="1"/>
  <c r="B33" i="52" l="1"/>
  <c r="B34" i="52" s="1"/>
  <c r="B28" i="51"/>
  <c r="B32" i="51"/>
  <c r="B6" i="51"/>
  <c r="B7" i="51" s="1"/>
  <c r="B33" i="51" l="1"/>
  <c r="B34" i="51" s="1"/>
  <c r="B27" i="50"/>
  <c r="B19" i="50"/>
  <c r="B6" i="50"/>
  <c r="B7" i="50" s="1"/>
  <c r="B28" i="50" l="1"/>
  <c r="B29" i="50" s="1"/>
  <c r="B7" i="49"/>
  <c r="B29" i="49"/>
  <c r="B20" i="49"/>
  <c r="B6" i="49"/>
  <c r="B30" i="49" l="1"/>
  <c r="B31" i="49" s="1"/>
  <c r="B29" i="48"/>
  <c r="B30" i="48" s="1"/>
  <c r="B28" i="48"/>
  <c r="B18" i="48"/>
  <c r="B6" i="48"/>
  <c r="B18" i="47" l="1"/>
  <c r="B27" i="47"/>
  <c r="B6" i="47"/>
  <c r="B7" i="47" s="1"/>
  <c r="B28" i="47" l="1"/>
  <c r="B29" i="47" s="1"/>
  <c r="B24" i="46"/>
  <c r="B15" i="46"/>
  <c r="B6" i="46"/>
  <c r="B7" i="46" s="1"/>
  <c r="B25" i="46" l="1"/>
  <c r="B26" i="46" s="1"/>
  <c r="B24" i="45"/>
  <c r="B15" i="45"/>
  <c r="B6" i="45"/>
  <c r="B7" i="45" s="1"/>
  <c r="B25" i="45" l="1"/>
  <c r="B26" i="45" s="1"/>
  <c r="B24" i="44"/>
  <c r="B15" i="44"/>
  <c r="B6" i="44"/>
  <c r="B7" i="44" s="1"/>
  <c r="B25" i="44" l="1"/>
  <c r="B26" i="44" s="1"/>
  <c r="B29" i="43"/>
  <c r="B20" i="43"/>
  <c r="B6" i="43"/>
  <c r="B7" i="43" s="1"/>
  <c r="B30" i="43" l="1"/>
  <c r="B31" i="43" s="1"/>
  <c r="B21" i="42"/>
  <c r="B14" i="42"/>
  <c r="B6" i="42"/>
  <c r="B7" i="42" s="1"/>
  <c r="B22" i="42" l="1"/>
  <c r="B23" i="42" s="1"/>
  <c r="B21" i="41"/>
  <c r="B14" i="41"/>
  <c r="B6" i="41"/>
  <c r="B7" i="41" s="1"/>
  <c r="B22" i="41" l="1"/>
  <c r="B23" i="41" s="1"/>
  <c r="B24" i="40"/>
  <c r="B17" i="40"/>
  <c r="B6" i="40"/>
  <c r="B7" i="40" s="1"/>
  <c r="B25" i="40" l="1"/>
  <c r="B26" i="40"/>
  <c r="B24" i="39"/>
  <c r="B17" i="39"/>
  <c r="B6" i="39"/>
  <c r="B7" i="39" s="1"/>
  <c r="B25" i="39" l="1"/>
  <c r="B26" i="39" s="1"/>
  <c r="B24" i="38"/>
  <c r="B17" i="38"/>
  <c r="B6" i="38"/>
  <c r="B7" i="38" s="1"/>
  <c r="B25" i="38" l="1"/>
  <c r="B26" i="38" s="1"/>
  <c r="B30" i="37"/>
  <c r="B22" i="37"/>
  <c r="B6" i="37"/>
  <c r="B7" i="37" s="1"/>
  <c r="B31" i="37" l="1"/>
  <c r="B32" i="37" s="1"/>
  <c r="B16" i="36"/>
  <c r="B21" i="36"/>
  <c r="B6" i="36"/>
  <c r="B7" i="36" s="1"/>
  <c r="B22" i="36" l="1"/>
  <c r="B23" i="36" s="1"/>
  <c r="B31" i="35"/>
  <c r="B13" i="35"/>
  <c r="B6" i="35"/>
  <c r="B7" i="35" s="1"/>
  <c r="B32" i="35" l="1"/>
  <c r="B33" i="35" s="1"/>
  <c r="B34" i="34"/>
  <c r="B13" i="34"/>
  <c r="B6" i="34"/>
  <c r="B7" i="34" s="1"/>
  <c r="B35" i="34" l="1"/>
  <c r="B36" i="34" s="1"/>
  <c r="B23" i="33"/>
  <c r="B36" i="33"/>
  <c r="B6" i="33"/>
  <c r="B7" i="33" s="1"/>
  <c r="B37" i="33" l="1"/>
  <c r="B38" i="33" s="1"/>
  <c r="B32" i="32"/>
  <c r="B19" i="32"/>
  <c r="B6" i="32"/>
  <c r="B7" i="32" s="1"/>
  <c r="B33" i="32" l="1"/>
  <c r="B34" i="32" s="1"/>
  <c r="B32" i="31"/>
  <c r="B19" i="31"/>
  <c r="B6" i="31"/>
  <c r="B7" i="31" s="1"/>
  <c r="B33" i="31" l="1"/>
  <c r="B34" i="31"/>
  <c r="B19" i="30"/>
  <c r="B32" i="30"/>
  <c r="B6" i="30"/>
  <c r="B7" i="30" s="1"/>
  <c r="B33" i="30" l="1"/>
  <c r="B34" i="30" s="1"/>
  <c r="B25" i="29"/>
  <c r="B12" i="29" l="1"/>
  <c r="B26" i="29" s="1"/>
  <c r="B6" i="29"/>
  <c r="B7" i="29" s="1"/>
  <c r="B27" i="29" l="1"/>
  <c r="B25" i="28"/>
  <c r="B19" i="28"/>
  <c r="B6" i="28"/>
  <c r="B7" i="28" s="1"/>
  <c r="B26" i="28" l="1"/>
  <c r="B27" i="28" s="1"/>
  <c r="B19" i="27"/>
  <c r="B13" i="27"/>
  <c r="B6" i="27"/>
  <c r="B7" i="27" s="1"/>
  <c r="B20" i="27" l="1"/>
  <c r="B21" i="27" s="1"/>
  <c r="B13" i="26"/>
  <c r="B19" i="26"/>
  <c r="B6" i="26"/>
  <c r="B7" i="26" s="1"/>
  <c r="B20" i="26" l="1"/>
  <c r="B21" i="26" s="1"/>
  <c r="B17" i="25"/>
  <c r="B11" i="25"/>
  <c r="B6" i="25"/>
  <c r="B7" i="25" s="1"/>
  <c r="B18" i="25" l="1"/>
  <c r="B19" i="25"/>
  <c r="B24" i="24"/>
  <c r="B18" i="24"/>
  <c r="B6" i="24"/>
  <c r="B7" i="24" s="1"/>
  <c r="B25" i="24" l="1"/>
  <c r="B26" i="24"/>
  <c r="B25" i="23"/>
  <c r="B18" i="23"/>
  <c r="B6" i="23"/>
  <c r="B7" i="23" s="1"/>
  <c r="B26" i="23" l="1"/>
  <c r="B27" i="23" s="1"/>
  <c r="B25" i="22"/>
  <c r="B18" i="22"/>
  <c r="B6" i="22"/>
  <c r="B7" i="22" s="1"/>
  <c r="B26" i="22" l="1"/>
  <c r="B27" i="22"/>
  <c r="B25" i="21"/>
  <c r="B18" i="21"/>
  <c r="B6" i="21"/>
  <c r="B7" i="21" s="1"/>
  <c r="B26" i="21" l="1"/>
  <c r="B27" i="21" s="1"/>
  <c r="B24" i="20"/>
  <c r="B17" i="20"/>
  <c r="B6" i="20"/>
  <c r="B7" i="20" s="1"/>
  <c r="B25" i="20" l="1"/>
  <c r="B26" i="20" s="1"/>
  <c r="B22" i="19"/>
  <c r="B15" i="19"/>
  <c r="B6" i="19"/>
  <c r="B7" i="19" s="1"/>
  <c r="B23" i="19" l="1"/>
  <c r="B24" i="19" s="1"/>
  <c r="B21" i="18"/>
  <c r="B15" i="18"/>
  <c r="B6" i="18"/>
  <c r="B7" i="18" s="1"/>
  <c r="B22" i="18" l="1"/>
  <c r="B23" i="18" s="1"/>
  <c r="B21" i="17"/>
  <c r="B14" i="17"/>
  <c r="B22" i="17" s="1"/>
  <c r="B6" i="17"/>
  <c r="B7" i="17" s="1"/>
  <c r="B23" i="17" l="1"/>
  <c r="B27" i="16"/>
  <c r="B22" i="16"/>
  <c r="B6" i="16"/>
  <c r="B7" i="16" s="1"/>
  <c r="B28" i="16" l="1"/>
  <c r="B29" i="16" s="1"/>
  <c r="B26" i="15"/>
  <c r="B23" i="15"/>
  <c r="B6" i="15"/>
  <c r="B7" i="15" s="1"/>
  <c r="B27" i="15" l="1"/>
  <c r="B28" i="15" s="1"/>
  <c r="B26" i="14"/>
  <c r="B23" i="14"/>
  <c r="B6" i="14"/>
  <c r="B7" i="14" s="1"/>
  <c r="B27" i="14" l="1"/>
  <c r="B28" i="14" s="1"/>
  <c r="B25" i="13"/>
  <c r="B18" i="13"/>
  <c r="B6" i="13"/>
  <c r="B7" i="13" s="1"/>
  <c r="B26" i="13" l="1"/>
  <c r="B27" i="13"/>
  <c r="B18" i="12"/>
  <c r="B25" i="12" l="1"/>
  <c r="B6" i="12"/>
  <c r="B7" i="12" s="1"/>
  <c r="B26" i="12" l="1"/>
  <c r="B27" i="12" s="1"/>
  <c r="B34" i="11"/>
  <c r="B11" i="11"/>
  <c r="B7" i="11"/>
  <c r="B8" i="11" s="1"/>
  <c r="B35" i="11" l="1"/>
  <c r="B36" i="11" s="1"/>
  <c r="B11" i="10"/>
  <c r="B32" i="10"/>
  <c r="B7" i="10"/>
  <c r="B8" i="10" s="1"/>
  <c r="B33" i="10" l="1"/>
  <c r="B34" i="10" s="1"/>
  <c r="B7" i="9"/>
  <c r="B41" i="9"/>
  <c r="B11" i="9"/>
  <c r="B8" i="9"/>
  <c r="B42" i="9" l="1"/>
  <c r="B43" i="9" s="1"/>
  <c r="B41" i="8"/>
  <c r="B11" i="8"/>
  <c r="B7" i="8"/>
  <c r="B8" i="8" s="1"/>
  <c r="B42" i="8" l="1"/>
  <c r="B43" i="8" s="1"/>
  <c r="B34" i="7"/>
  <c r="B11" i="7"/>
  <c r="B7" i="7"/>
  <c r="B8" i="7" s="1"/>
  <c r="B35" i="7" l="1"/>
  <c r="B36" i="7" s="1"/>
  <c r="B34" i="6"/>
  <c r="B11" i="6"/>
  <c r="B7" i="6"/>
  <c r="B8" i="6" s="1"/>
  <c r="B35" i="6" l="1"/>
  <c r="B36" i="6" s="1"/>
  <c r="B34" i="5"/>
  <c r="B11" i="5"/>
  <c r="B7" i="5"/>
  <c r="B8" i="5" s="1"/>
  <c r="B35" i="5" l="1"/>
  <c r="B36" i="5" s="1"/>
  <c r="B35" i="4"/>
  <c r="B11" i="4"/>
  <c r="B7" i="4"/>
  <c r="B8" i="4" s="1"/>
  <c r="B36" i="4" l="1"/>
  <c r="B37" i="4" s="1"/>
  <c r="B38" i="3"/>
  <c r="B11" i="3"/>
  <c r="B7" i="3"/>
  <c r="B8" i="3" s="1"/>
  <c r="B7" i="2" l="1"/>
  <c r="B8" i="2" s="1"/>
  <c r="B14" i="2"/>
  <c r="B33" i="2"/>
  <c r="B34" i="2" s="1"/>
  <c r="B35" i="2" l="1"/>
  <c r="B39" i="3"/>
  <c r="B40" i="3" s="1"/>
</calcChain>
</file>

<file path=xl/sharedStrings.xml><?xml version="1.0" encoding="utf-8"?>
<sst xmlns="http://schemas.openxmlformats.org/spreadsheetml/2006/main" count="7740" uniqueCount="3786">
  <si>
    <t>Variance</t>
  </si>
  <si>
    <t>Net adjustments</t>
  </si>
  <si>
    <t>On statement-not on GL</t>
  </si>
  <si>
    <t>On schedule-not on statement</t>
  </si>
  <si>
    <t>Difference</t>
  </si>
  <si>
    <t>Total GL</t>
  </si>
  <si>
    <t>GL Balances</t>
  </si>
  <si>
    <t>Total Outstanding per stmt</t>
  </si>
  <si>
    <t>Floorplan Reconciliation-Ada Dodge Chrysler Jeep Ram</t>
  </si>
  <si>
    <t>EH298301</t>
  </si>
  <si>
    <t>EH303127</t>
  </si>
  <si>
    <t>EW255798</t>
  </si>
  <si>
    <t>EW337913</t>
  </si>
  <si>
    <t>EL300852</t>
  </si>
  <si>
    <t>ES317282</t>
  </si>
  <si>
    <t>ES317285</t>
  </si>
  <si>
    <t>EG260275</t>
  </si>
  <si>
    <t>ES326108</t>
  </si>
  <si>
    <t>ED862134 - D1020</t>
  </si>
  <si>
    <t>EW256464 - J5138</t>
  </si>
  <si>
    <t>FN518808 - C1011</t>
  </si>
  <si>
    <t>ES301939 - R1100</t>
  </si>
  <si>
    <t>ES326109 - R1102</t>
  </si>
  <si>
    <t>EG244410 - R1101</t>
  </si>
  <si>
    <t>BOA Floored 5/30</t>
  </si>
  <si>
    <t>BOA Floored 5/27</t>
  </si>
  <si>
    <t>BOA Floored 5/9</t>
  </si>
  <si>
    <t>BOA Floored 5/5</t>
  </si>
  <si>
    <t>BOA Floored 5/28</t>
  </si>
  <si>
    <t>BOA Floored 5/8</t>
  </si>
  <si>
    <t>BOA Floored 5/16</t>
  </si>
  <si>
    <t>BOA Floored 4/30</t>
  </si>
  <si>
    <t>BOA Floored 4/29</t>
  </si>
  <si>
    <t>BOA Floored 5/6 INV'D 6/5</t>
  </si>
  <si>
    <t>BOA Floored 4/16 INV'D 6/5</t>
  </si>
  <si>
    <t>BOA Floored 5/22 INV'D 6/5</t>
  </si>
  <si>
    <t>BOA Floored 4/10 INV'D 6/5</t>
  </si>
  <si>
    <t>BOA Floored 4/1 INV'D 6/5</t>
  </si>
  <si>
    <t>BOA Floored 5/16 INV'D 6/5</t>
  </si>
  <si>
    <t>ED904158 - D1025</t>
  </si>
  <si>
    <t>EFN503074 - C1014</t>
  </si>
  <si>
    <t>ES381261 - R1114</t>
  </si>
  <si>
    <t>EC589592 - J5151</t>
  </si>
  <si>
    <t>EC580136 - J5150</t>
  </si>
  <si>
    <t>EC580137 - J5149</t>
  </si>
  <si>
    <t>EC572558 - J5152</t>
  </si>
  <si>
    <t>ES317282 - R1115</t>
  </si>
  <si>
    <t>BOA Floored 6/24 inv'd 7/7</t>
  </si>
  <si>
    <t>BOA Floored 6/17 inv'd 7/7</t>
  </si>
  <si>
    <t>BOA Floored 6/18 inv'd 7/7</t>
  </si>
  <si>
    <t>BOA Floored 6/26 inv'd 7/7</t>
  </si>
  <si>
    <t>BOA Floored 6/25 inv'd 7/7</t>
  </si>
  <si>
    <t>BOA Floored 5/25 inv'd 7/7</t>
  </si>
  <si>
    <t>BOA Floored 5/8 inv'd 7/7</t>
  </si>
  <si>
    <t>EH327755 - C1015</t>
  </si>
  <si>
    <t>BOA Floored 6/26 inv'd 7/10</t>
  </si>
  <si>
    <t>EC581324 - J5156</t>
  </si>
  <si>
    <t>BOA Floored 6/25 inv'd 7/10</t>
  </si>
  <si>
    <t>EG292192 - R1116</t>
  </si>
  <si>
    <t>BOA Floored 6/23 inv'd 7/10</t>
  </si>
  <si>
    <t>EG292193 - R1117</t>
  </si>
  <si>
    <t>BOA Floored 6/27 inv'd 7/10</t>
  </si>
  <si>
    <t>ES317285 - R1121</t>
  </si>
  <si>
    <t>BOA Floored 5/16 inv'd 7/14</t>
  </si>
  <si>
    <t>EG296885 - R1118</t>
  </si>
  <si>
    <t>BOA Floored 6/20 inv'd 7/10</t>
  </si>
  <si>
    <t>EC559886 - J5155</t>
  </si>
  <si>
    <t>ES337913 - R1129</t>
  </si>
  <si>
    <t>BOA Floored 5/5 inv'd 7/15</t>
  </si>
  <si>
    <t>ES412471 - R1119</t>
  </si>
  <si>
    <t>BOA Floored 6/30 inv'd 7/10</t>
  </si>
  <si>
    <t>EG288982 - R1125</t>
  </si>
  <si>
    <t>BOA Floored 6/26 inv'd 7/15</t>
  </si>
  <si>
    <t>EG288983 - R1124</t>
  </si>
  <si>
    <t>BOA Floored 6/18 inv'd 7/15</t>
  </si>
  <si>
    <t>ES403798 IN TRANSIT</t>
  </si>
  <si>
    <t>ES403800 IN TRANSIT</t>
  </si>
  <si>
    <t>EG297601 IN TRANSIT</t>
  </si>
  <si>
    <t>EL300852  IN TRANSIT</t>
  </si>
  <si>
    <t>ES386107   IN TRANSIT</t>
  </si>
  <si>
    <t>EG288590   IN TRANSIT</t>
  </si>
  <si>
    <t>BOA floored 6/23 PER RICK DEL. 7/21</t>
  </si>
  <si>
    <t>BOA Floored 6/20 PER RICK DEL. 7/21</t>
  </si>
  <si>
    <t>BOA Floored 6/20 PER RICK DEL. 7/30</t>
  </si>
  <si>
    <t>BOA Floored 5/28 PER RICK DEL. 7/25</t>
  </si>
  <si>
    <t>BOA Floored 6/2 PER RICK DEL. 7/28</t>
  </si>
  <si>
    <t>BOA Floored 6/30 PER RICK DEL. 8/6</t>
  </si>
  <si>
    <t>ER221778</t>
  </si>
  <si>
    <t>ED898408</t>
  </si>
  <si>
    <t>EG318230</t>
  </si>
  <si>
    <t>EG321641</t>
  </si>
  <si>
    <t>EG321642</t>
  </si>
  <si>
    <t>EG321643</t>
  </si>
  <si>
    <t>EG321644</t>
  </si>
  <si>
    <t>EG321629</t>
  </si>
  <si>
    <t>EG321630</t>
  </si>
  <si>
    <t>EG321631</t>
  </si>
  <si>
    <t>EG288590</t>
  </si>
  <si>
    <t>ED904159 - D1032</t>
  </si>
  <si>
    <t>EW324052 - J5162</t>
  </si>
  <si>
    <t>ES403798 - R1137</t>
  </si>
  <si>
    <t>EC589321 - J5163</t>
  </si>
  <si>
    <t>ES386107 - R1145</t>
  </si>
  <si>
    <t>EG286433 - R1143</t>
  </si>
  <si>
    <t>EG302400 - R1144</t>
  </si>
  <si>
    <t>BOA floored 7/22 inv'd 8/4</t>
  </si>
  <si>
    <t>BOA floored 7/15 inv'd 8/4</t>
  </si>
  <si>
    <t>BOA floored 7/18 inv'd 8/4</t>
  </si>
  <si>
    <t>BOA floored 6/2 inv'd 8/4</t>
  </si>
  <si>
    <t>BOA floored 7/8 inv'd 8/4</t>
  </si>
  <si>
    <t>BOA floored 7/9 inv'd 8/4</t>
  </si>
  <si>
    <t>BOA fl'd 7/28 in-t eta 8/11</t>
  </si>
  <si>
    <t>BOA fl'd 7/29 in-t eta 8/11</t>
  </si>
  <si>
    <t>BOA fl'd 7/22 in-t eta 8/18</t>
  </si>
  <si>
    <t>BOA fl'd 6/20 st'd in 7/28 not pt'd 8/6</t>
  </si>
  <si>
    <t>BOA fl'd 7/29 in-t eta 8/14</t>
  </si>
  <si>
    <t>BOA fl'd 7/29 in-t eta 8/18</t>
  </si>
  <si>
    <t>BOA fl'd 6/30 in-t eta 8/7</t>
  </si>
  <si>
    <t>FT531729</t>
  </si>
  <si>
    <t>EG332988</t>
  </si>
  <si>
    <t>FH702574</t>
  </si>
  <si>
    <t>D1041 - FH701653</t>
  </si>
  <si>
    <t>FR514450</t>
  </si>
  <si>
    <t>EC596638</t>
  </si>
  <si>
    <t>FR514447</t>
  </si>
  <si>
    <t>C1019 - FR514448</t>
  </si>
  <si>
    <t>FW524787</t>
  </si>
  <si>
    <t>C1018 - FR514449</t>
  </si>
  <si>
    <t>EC589320</t>
  </si>
  <si>
    <t>R1179 - EG296887</t>
  </si>
  <si>
    <t>R1181 - EG321712</t>
  </si>
  <si>
    <t>EG323873</t>
  </si>
  <si>
    <t>R1180 - EG315982</t>
  </si>
  <si>
    <t>BOA FLOORED 8/14 INV'D 9/3</t>
  </si>
  <si>
    <t>BOA FLOORED 8/20 INV'D 9/3</t>
  </si>
  <si>
    <t>BOA FLOORED 8/20INV'D 9/3</t>
  </si>
  <si>
    <t>BOA FLOORED 8/19 INV'D 9/3</t>
  </si>
  <si>
    <t>BOA FLOORED 8/15 INV'D 9/3</t>
  </si>
  <si>
    <t>BOA FLOORED 8/18 INV'D 9/3</t>
  </si>
  <si>
    <t>BOA FLOORED 8/28 in transit</t>
  </si>
  <si>
    <t>BOA FLOORED 8/27 in transit</t>
  </si>
  <si>
    <t>BOA FLOORED 8/21 in transit</t>
  </si>
  <si>
    <t>BOA FLOORED 8/22 in transit</t>
  </si>
  <si>
    <t>BOA FLOORED 8/25 in transit</t>
  </si>
  <si>
    <t>BOA FLOORED 8/26 in transit</t>
  </si>
  <si>
    <t xml:space="preserve">BOA FLOORED 8/20 in transit </t>
  </si>
  <si>
    <t>FD149594</t>
  </si>
  <si>
    <t>FD141533</t>
  </si>
  <si>
    <t>FR512395</t>
  </si>
  <si>
    <t>FL545966</t>
  </si>
  <si>
    <t>FH701121</t>
  </si>
  <si>
    <t>FL545967</t>
  </si>
  <si>
    <t>EC970428</t>
  </si>
  <si>
    <t>FW564551</t>
  </si>
  <si>
    <t>FG515487</t>
  </si>
  <si>
    <t>FR542740</t>
  </si>
  <si>
    <t>BOA floored 9/26 in transit</t>
  </si>
  <si>
    <t>BOA floored 9/16 in transit</t>
  </si>
  <si>
    <t>BOA floored 9/30 in transit</t>
  </si>
  <si>
    <t>BOA floored 9/22 in transit</t>
  </si>
  <si>
    <t>BOA floored 8/28 in transit</t>
  </si>
  <si>
    <t>BOA floored 9/29 in transit</t>
  </si>
  <si>
    <t>BOA floored 9/23 in transit</t>
  </si>
  <si>
    <t>FD173207</t>
  </si>
  <si>
    <t>FW589833</t>
  </si>
  <si>
    <t>FG549363</t>
  </si>
  <si>
    <t>FR546432</t>
  </si>
  <si>
    <t>FG524764</t>
  </si>
  <si>
    <t>FL566890</t>
  </si>
  <si>
    <t>FL566898</t>
  </si>
  <si>
    <t>FS507832</t>
  </si>
  <si>
    <t>FS515392</t>
  </si>
  <si>
    <t>FS500747 - R1213</t>
  </si>
  <si>
    <t>FS504648 - R1216</t>
  </si>
  <si>
    <t>FS504645 - R1215</t>
  </si>
  <si>
    <t>FS502584 - R1214</t>
  </si>
  <si>
    <t>FG520079 - R1212</t>
  </si>
  <si>
    <t>BOA FLOORED 10/17 INV 11/5</t>
  </si>
  <si>
    <t>BOA FLOORED 10/22 inv'd 11/5</t>
  </si>
  <si>
    <t>BOA FLOORED 10/21 inv'd 11/5</t>
  </si>
  <si>
    <t>BOA FLOORED 10/28 - ETA 11/17</t>
  </si>
  <si>
    <t>BOA FLOORED 10/30 - ETA 11/17</t>
  </si>
  <si>
    <t>BOA FLOORED 10/31 - ETA 11/14</t>
  </si>
  <si>
    <t>BOA FLOORED 10/28 - ETA 11/10</t>
  </si>
  <si>
    <t>BOA FLOORED 10/27 - ETA 11/12</t>
  </si>
  <si>
    <t>BOA FLOORED 10/23 - ETA 11/10</t>
  </si>
  <si>
    <t>BOA FLOORED 10/28 - ETA 11/14</t>
  </si>
  <si>
    <t>BOA FLOORED 10/29 - ETA 11/14</t>
  </si>
  <si>
    <t>FD200858</t>
  </si>
  <si>
    <t>FW611838</t>
  </si>
  <si>
    <t>FW611907</t>
  </si>
  <si>
    <t xml:space="preserve">FR615188 </t>
  </si>
  <si>
    <t>FN629570</t>
  </si>
  <si>
    <t>FN622507</t>
  </si>
  <si>
    <t>FG559697 - R1238</t>
  </si>
  <si>
    <t>FH724935</t>
  </si>
  <si>
    <t>FH724913</t>
  </si>
  <si>
    <t>FH728860</t>
  </si>
  <si>
    <t>FH721698</t>
  </si>
  <si>
    <t>FH724891</t>
  </si>
  <si>
    <t>FS554186</t>
  </si>
  <si>
    <t>FS554254</t>
  </si>
  <si>
    <t>FC702367 - D1072</t>
  </si>
  <si>
    <t>FL583607 - J5215</t>
  </si>
  <si>
    <t>FG557982 - R1239</t>
  </si>
  <si>
    <t>FG563018</t>
  </si>
  <si>
    <t>FC697739</t>
  </si>
  <si>
    <t>FS518974</t>
  </si>
  <si>
    <t>FS515393 - R1236</t>
  </si>
  <si>
    <t>FG550961</t>
  </si>
  <si>
    <t>FG550963</t>
  </si>
  <si>
    <t>FG550657</t>
  </si>
  <si>
    <t>FG550658 - R1237</t>
  </si>
  <si>
    <t>FG561381</t>
  </si>
  <si>
    <t>FG550965</t>
  </si>
  <si>
    <t>BOA Floored 11/14, GL 12/2</t>
  </si>
  <si>
    <t>BOA floored 11/19, GL 12/2</t>
  </si>
  <si>
    <t>BOA floored 11/18, GL 12/2</t>
  </si>
  <si>
    <t>BOA floored 11/13, GL 12/2</t>
  </si>
  <si>
    <t>BOA floored 11/12 in transit</t>
  </si>
  <si>
    <t>BOA floored 11/26 in transit</t>
  </si>
  <si>
    <t>BOA floored 11/20 in transit</t>
  </si>
  <si>
    <t>BOA floored 11/25 in transit</t>
  </si>
  <si>
    <t>BOA floored 11/24 in transit</t>
  </si>
  <si>
    <t>BOA floored 11/28 in transit</t>
  </si>
  <si>
    <t>BOA Floored 11/14 in transit</t>
  </si>
  <si>
    <t>BOA floored 11/19 in transit</t>
  </si>
  <si>
    <t>BOA floored 11/07 in transit</t>
  </si>
  <si>
    <t>FT617682</t>
  </si>
  <si>
    <t>FN634614</t>
  </si>
  <si>
    <t>FH742839</t>
  </si>
  <si>
    <t>FH742865</t>
  </si>
  <si>
    <t>FH733387</t>
  </si>
  <si>
    <t>FS543662</t>
  </si>
  <si>
    <t>FS548193</t>
  </si>
  <si>
    <t xml:space="preserve">FN634615 - C1026 </t>
  </si>
  <si>
    <t>FS580697 - R1270</t>
  </si>
  <si>
    <t>FS516392 - R1269</t>
  </si>
  <si>
    <t>FC730315 - D1093</t>
  </si>
  <si>
    <t>FH739593 - D1092</t>
  </si>
  <si>
    <t>FG570231 - R1271</t>
  </si>
  <si>
    <t>BOA floored 12/23  INV'D 1/6</t>
  </si>
  <si>
    <t>BOA floored 12/29  INV'D 1/6</t>
  </si>
  <si>
    <t>BOA floored 12/10  INV'D 1/6</t>
  </si>
  <si>
    <t>BOA floored 12/15  INV'D 1/6</t>
  </si>
  <si>
    <t>BOA floored 12/16  INV'D 1/6</t>
  </si>
  <si>
    <t>BOA floored 12/2  INV'D 1/6</t>
  </si>
  <si>
    <t>BOA floored 12/23 - IN TRANSIT</t>
  </si>
  <si>
    <t>BOA floored 12/18 - IN TRANSIT</t>
  </si>
  <si>
    <t>BOA floored 12/26 - IN TRANSIT</t>
  </si>
  <si>
    <t>BOA floored 12/12 - IN TRANSIT</t>
  </si>
  <si>
    <t>BOA floored 12/24 - IN TRANSIT</t>
  </si>
  <si>
    <t>J5231 - FD263785</t>
  </si>
  <si>
    <t>D1098 - FR687187</t>
  </si>
  <si>
    <t>FW656695</t>
  </si>
  <si>
    <t>FL623058</t>
  </si>
  <si>
    <t>FH761282</t>
  </si>
  <si>
    <t>FH758203</t>
  </si>
  <si>
    <t>J5230 - FL619234</t>
  </si>
  <si>
    <t>D1099 - FH761395</t>
  </si>
  <si>
    <t>FG600670</t>
  </si>
  <si>
    <t>INV'D 2/3, BOA floored 1/27</t>
  </si>
  <si>
    <t>INV'D 2/3, BOA floored 1/16</t>
  </si>
  <si>
    <t>INV'D 2/3, BOA floored 1/20</t>
  </si>
  <si>
    <t>INV'D 2/3, BOA floored 1/21</t>
  </si>
  <si>
    <t>BOA floored 1/21 - In Transit</t>
  </si>
  <si>
    <t>BOA floored 1/29 - In Transit</t>
  </si>
  <si>
    <t>BOA floored 1/23 - In Transit</t>
  </si>
  <si>
    <t>BOA floored 1/15 - In Transit</t>
  </si>
  <si>
    <t>P150 - AB106307</t>
  </si>
  <si>
    <t xml:space="preserve">FD299182 - </t>
  </si>
  <si>
    <t xml:space="preserve">FD299183 - </t>
  </si>
  <si>
    <t xml:space="preserve">FD301438 - </t>
  </si>
  <si>
    <t xml:space="preserve">FD297276 - </t>
  </si>
  <si>
    <t xml:space="preserve">FS623477 - </t>
  </si>
  <si>
    <t xml:space="preserve">FG617606 - </t>
  </si>
  <si>
    <t xml:space="preserve">FG620352 - </t>
  </si>
  <si>
    <t xml:space="preserve">FG617036 - </t>
  </si>
  <si>
    <t xml:space="preserve">FH794136 - </t>
  </si>
  <si>
    <t xml:space="preserve">FG613992 - </t>
  </si>
  <si>
    <t xml:space="preserve">FS605772 - </t>
  </si>
  <si>
    <t xml:space="preserve">FG620415 - </t>
  </si>
  <si>
    <t>FH761282 - D1108</t>
  </si>
  <si>
    <t>FH761283 - D1109</t>
  </si>
  <si>
    <t>FL646803 - J5253</t>
  </si>
  <si>
    <t>FS620712 - R1291</t>
  </si>
  <si>
    <t>FS614775 - R1292</t>
  </si>
  <si>
    <t>FS621429 - R1290</t>
  </si>
  <si>
    <t>FC779173 - J5254</t>
  </si>
  <si>
    <t>FG598755 - R1289</t>
  </si>
  <si>
    <t>INV'D 3/3, BOA floored 1/23</t>
  </si>
  <si>
    <t>INV'D 3/3, BOA floored 2/17</t>
  </si>
  <si>
    <t>INV'D 3/3, BOA floored 2/12</t>
  </si>
  <si>
    <t>INV'D 3/3, BOA floored 2/24</t>
  </si>
  <si>
    <t>INV'D 3/3, BOA floored 2/20</t>
  </si>
  <si>
    <t>INV'D 3/3, BOA floored 2/18</t>
  </si>
  <si>
    <t>INV'D 3/3, BOA floored 2/10</t>
  </si>
  <si>
    <t>BOA not floored, check to Manhiem 3/2</t>
  </si>
  <si>
    <t>BOA floored 2/24, in transit</t>
  </si>
  <si>
    <t>BOA floored 2/23, in transit</t>
  </si>
  <si>
    <t>BOA floored 2/25, in transit</t>
  </si>
  <si>
    <t>BOA floored 2/26, in transit</t>
  </si>
  <si>
    <t>BOA floored 2/27, in transit</t>
  </si>
  <si>
    <t>BOA floored 2/10, in transit</t>
  </si>
  <si>
    <t>Floorplan Reconciliation - Hiley Cars Huntsville</t>
  </si>
  <si>
    <t>M5408 - G1472217</t>
  </si>
  <si>
    <t xml:space="preserve">A1876 - G1103554 </t>
  </si>
  <si>
    <t xml:space="preserve">M5486 - G0100685 </t>
  </si>
  <si>
    <t>A1792 - GA144228</t>
  </si>
  <si>
    <t>M5486 -G0100685</t>
  </si>
  <si>
    <t>M5485 - G0793649</t>
  </si>
  <si>
    <t>Outstanding on STMT</t>
  </si>
  <si>
    <t>BOA payoff 6/30, GL payoff 7/1</t>
  </si>
  <si>
    <t>$90 difference, Sandra correcting July</t>
  </si>
  <si>
    <t>M5556 - G1486841</t>
  </si>
  <si>
    <t>M5557 - G0110791</t>
  </si>
  <si>
    <t>M5558 - G0111103</t>
  </si>
  <si>
    <t>A1912 - HA010654</t>
  </si>
  <si>
    <t>A1913 - HA010048</t>
  </si>
  <si>
    <t>A1905 - HD021660</t>
  </si>
  <si>
    <t>A1915 - HD022374</t>
  </si>
  <si>
    <t>GL 7/27, BOA floored 8/1</t>
  </si>
  <si>
    <t>GL 7/28, BOA floored 8/1</t>
  </si>
  <si>
    <t>GL 7/29, BOA floored 8/1</t>
  </si>
  <si>
    <t>GL 7/28, BOA floored 8/3</t>
  </si>
  <si>
    <t>GL 7/30, BOA floored 8/4</t>
  </si>
  <si>
    <t>V3993 - GM032470</t>
  </si>
  <si>
    <t>V4041 - HM229393</t>
  </si>
  <si>
    <t>M5290 - G0127941</t>
  </si>
  <si>
    <t>V4039 - HM225736</t>
  </si>
  <si>
    <t>M5597 - G0844136</t>
  </si>
  <si>
    <t>M5438 - G0114508</t>
  </si>
  <si>
    <t>A1868 - G1101590</t>
  </si>
  <si>
    <t>V4040 - HW511058</t>
  </si>
  <si>
    <t>A1959 - HN026468</t>
  </si>
  <si>
    <t>M5596 - G0113760</t>
  </si>
  <si>
    <t>A1958 - H1003204</t>
  </si>
  <si>
    <t>A1775 - GN008708</t>
  </si>
  <si>
    <t>BOA PAYOFF 8/31 POSTED GL 9/1</t>
  </si>
  <si>
    <t>GL 8/31, BOA 9/1</t>
  </si>
  <si>
    <t>V4038 - HM228232</t>
  </si>
  <si>
    <t>M5578 - GL $31866, BOA $31865 EMAILED SANDRA, corrected in Sept</t>
  </si>
  <si>
    <t>V5022 - HC028414</t>
  </si>
  <si>
    <t>V5024 - HC028959</t>
  </si>
  <si>
    <t>V5021 - HC028883</t>
  </si>
  <si>
    <t>V5025 - HC027892</t>
  </si>
  <si>
    <t>M5646 - G0869634</t>
  </si>
  <si>
    <t>V5026 - HC028631</t>
  </si>
  <si>
    <t>M5647 - G0869388</t>
  </si>
  <si>
    <t xml:space="preserve">V5020 - HC026850 </t>
  </si>
  <si>
    <t xml:space="preserve">V5023 - HC021105 </t>
  </si>
  <si>
    <t>A1754 - HB006174</t>
  </si>
  <si>
    <t xml:space="preserve">A1631 - GN092149 </t>
  </si>
  <si>
    <t>M5656 - HM100255</t>
  </si>
  <si>
    <t>HC026120</t>
  </si>
  <si>
    <t>M5645 - G0867591</t>
  </si>
  <si>
    <t>GL 10/29, BOA 11/1</t>
  </si>
  <si>
    <t>GL 10/31, BOA 11/1</t>
  </si>
  <si>
    <t>BOA 10/31, GL 11/7</t>
  </si>
  <si>
    <t>BOA 10/26, ON THE LOT, NOT STOCKED IN 11/9 PER SANDRA</t>
  </si>
  <si>
    <t>BOA PAYOFF 10/26, AUDI CORP CAR PER ERIC HEDGES PAPERWORK COMING</t>
  </si>
  <si>
    <t>BOA PAYOFF 10/11, AUDI CORP CAR PER ERIC HEDGES PAPERWORK COMING</t>
  </si>
  <si>
    <t>A2082 - HD035388</t>
  </si>
  <si>
    <t>GL FLOOR 11/30, BOA FLOOR 12/2</t>
  </si>
  <si>
    <t>A2083 - HD035125</t>
  </si>
  <si>
    <t xml:space="preserve">HC026120 </t>
  </si>
  <si>
    <t>BOA FLOOR 11/30, GL 12/1</t>
  </si>
  <si>
    <t>M7502 - G0123177</t>
  </si>
  <si>
    <t>M7503 - G0123174</t>
  </si>
  <si>
    <t>BOA FLOOR 10/26, courtesy delivery unit see email</t>
  </si>
  <si>
    <t>M5784 - H0159883</t>
  </si>
  <si>
    <t>M5785 - H1113953</t>
  </si>
  <si>
    <t>V5125 - HC017962</t>
  </si>
  <si>
    <t>M5779 - H1118362</t>
  </si>
  <si>
    <t>HC041717</t>
  </si>
  <si>
    <t>GL FLOORED 12/30, BOA 1/3</t>
  </si>
  <si>
    <t>GL FLOORED 12/29, BOA 1/3</t>
  </si>
  <si>
    <t>invoiced to Crown, delivered to us, check cut to Crown for payment 1/10 see email</t>
  </si>
  <si>
    <t>not delivered, VW manager looking into it see email</t>
  </si>
  <si>
    <t>1/31//17</t>
  </si>
  <si>
    <t>V5175 - HM279597</t>
  </si>
  <si>
    <t>M5840 - H1125814</t>
  </si>
  <si>
    <t>M5841 - H1133871</t>
  </si>
  <si>
    <t>M5831 - H1123791</t>
  </si>
  <si>
    <t>M5838 - H0161722</t>
  </si>
  <si>
    <t>M5839 - H1126618</t>
  </si>
  <si>
    <t>GL FLOOR 1/31, BOA 2/1</t>
  </si>
  <si>
    <t>BOA FLOOR 1/30, GL 2/1</t>
  </si>
  <si>
    <t>BOA FLOOR 1/31, GL 2/2</t>
  </si>
  <si>
    <t>BOA FLOOR 1/31, GL 2/1</t>
  </si>
  <si>
    <t>V5208 - HM286601</t>
  </si>
  <si>
    <t>V5205 - HM317232</t>
  </si>
  <si>
    <t>V5204 - HM281580</t>
  </si>
  <si>
    <t>V5206 - HM266450</t>
  </si>
  <si>
    <t>V5207 - HM278098</t>
  </si>
  <si>
    <t>V5203 - HM296192</t>
  </si>
  <si>
    <t>M5886 - H0103126</t>
  </si>
  <si>
    <t>M5894 - HM131159</t>
  </si>
  <si>
    <t>HM131434</t>
  </si>
  <si>
    <t>HC056896</t>
  </si>
  <si>
    <t>HM132902</t>
  </si>
  <si>
    <t>GL FLOORED 2/28, BOA FLOORED 3/1</t>
  </si>
  <si>
    <t>BOA FLOORED 2/22, GL FLOORED 3/6</t>
  </si>
  <si>
    <t>BOA FLOORED 2/22, see attached email</t>
  </si>
  <si>
    <t>BOA FLOORED 2/28, see attached email</t>
  </si>
  <si>
    <t>M5920 - H1141665</t>
  </si>
  <si>
    <t>M5922 - H0100791</t>
  </si>
  <si>
    <t>M5900 - H1138475</t>
  </si>
  <si>
    <t>M5921 - H0103963</t>
  </si>
  <si>
    <t>A2235 - H7904364</t>
  </si>
  <si>
    <t>V5259 - HM020504</t>
  </si>
  <si>
    <t>V5261 - HM031905</t>
  </si>
  <si>
    <t>GL FLOORED 3/31, BOA FLOORED 4/6</t>
  </si>
  <si>
    <t>EMAILED SANDRA - CORRECTING IN APRIL</t>
  </si>
  <si>
    <t>GL FLOORED 3/31, BOA FLOORED 4/10</t>
  </si>
  <si>
    <t>BOA FLOORED 3/30, GL NOT FLOORED AS OF 4/10</t>
  </si>
  <si>
    <t>BOA FLOORED 2/28, never left port, Joseph is requesting a credit see email.</t>
  </si>
  <si>
    <t>M5961 - H0119193</t>
  </si>
  <si>
    <t>M5956 - H0115190</t>
  </si>
  <si>
    <t>M5957 - H0115765</t>
  </si>
  <si>
    <t>M5959 - H0119111</t>
  </si>
  <si>
    <t>M5958 - H0117595</t>
  </si>
  <si>
    <t>A2248 - HN016324</t>
  </si>
  <si>
    <t>M5960 - H0105004</t>
  </si>
  <si>
    <t>GL FLOORED 4/28, BOA FLOORED 5/2</t>
  </si>
  <si>
    <t>GL FLOORED 4/27, BOA FLOORED 5/1</t>
  </si>
  <si>
    <t>BOA CREDIT 4/19, See Sandra's email</t>
  </si>
  <si>
    <t>M6026 - HM149890</t>
  </si>
  <si>
    <t>M6027 - H0105441</t>
  </si>
  <si>
    <t>A2313 - JR000072</t>
  </si>
  <si>
    <t>FLOORED WRONG AMOUNT, CORRECTED IN JUNE</t>
  </si>
  <si>
    <t>M6025 - H0105425</t>
  </si>
  <si>
    <t>GL FLOORED 5/31, BOA FLOORED 6/5</t>
  </si>
  <si>
    <t>M6092 - HM157234</t>
  </si>
  <si>
    <t>M6093 - HM156805</t>
  </si>
  <si>
    <t>M6094 - HM155875</t>
  </si>
  <si>
    <t>M6095 - HM156738</t>
  </si>
  <si>
    <t>M6090 - H0153480</t>
  </si>
  <si>
    <t>M6089 - H0153369</t>
  </si>
  <si>
    <t xml:space="preserve">M6091 - H0153483 </t>
  </si>
  <si>
    <t>M6336 - H0140585</t>
  </si>
  <si>
    <t>V5074 - HM276399</t>
  </si>
  <si>
    <t>GL FLOORED 6/28, BOA FLOORED 7/3</t>
  </si>
  <si>
    <t>BOA PAID OFF 6/5, SANDRA VOIDED IN JULY</t>
  </si>
  <si>
    <t>CORRECT STOCK M6036, SANDRA VOIDED IN JULY</t>
  </si>
  <si>
    <t>V5396 - JM004483</t>
  </si>
  <si>
    <t>V5386 - HM414264</t>
  </si>
  <si>
    <t>M6109 - H0159629</t>
  </si>
  <si>
    <t>M6108 - H0159266</t>
  </si>
  <si>
    <t>GL FLOORED 7/31, BOA FLOORED 8/2</t>
  </si>
  <si>
    <t>BOA FLOORED 7/20, GL FLOORED 8/7</t>
  </si>
  <si>
    <t>BOA FLOORED 7/27, GL FLOORED 8/9</t>
  </si>
  <si>
    <t>BOA FLOORED 7/20, GL FLOORED 8/10</t>
  </si>
  <si>
    <t>A2354 - HN131672</t>
  </si>
  <si>
    <t>A2466 - J2034730</t>
  </si>
  <si>
    <t>A2430 - JN008711</t>
  </si>
  <si>
    <t>M6195 - JM165030</t>
  </si>
  <si>
    <t>BOA PAYOFF 8/24, GL PAYOFF 9/1</t>
  </si>
  <si>
    <t>GL FLOORED 8/31, BOA FLOORED 9/5</t>
  </si>
  <si>
    <t>BOA FLOORED 8/30, GL FLOORED 9/7</t>
  </si>
  <si>
    <t>BOA PAY OFF 8/24, service loaner Sandra voided invoice 9/13</t>
  </si>
  <si>
    <t>A2510 - J1014617</t>
  </si>
  <si>
    <t>A2508 - JD007980</t>
  </si>
  <si>
    <t>V5483 - HM071186</t>
  </si>
  <si>
    <t>V5483 -HM071186</t>
  </si>
  <si>
    <t>GL FLOORED 9/29, BOA FLOORED 10/3</t>
  </si>
  <si>
    <t>GL FLOORED 9/28</t>
  </si>
  <si>
    <t>Sandra Corrected in Oct</t>
  </si>
  <si>
    <t>A2554 - JA061517</t>
  </si>
  <si>
    <t>A2552 - JA063823</t>
  </si>
  <si>
    <t>A2555 - JR011697</t>
  </si>
  <si>
    <t>A2559 - J2076095</t>
  </si>
  <si>
    <t>A2556 - J2070452</t>
  </si>
  <si>
    <t>A2557 - J2048732</t>
  </si>
  <si>
    <t>A2553 - J2073650</t>
  </si>
  <si>
    <t>A2558 - JD012527</t>
  </si>
  <si>
    <t>GL FLOORED 10/31, BOA FLOORED 11/1</t>
  </si>
  <si>
    <t>V5609 - JC542991</t>
  </si>
  <si>
    <t>V5763 - JK001277</t>
  </si>
  <si>
    <t>V5610 - JC543697</t>
  </si>
  <si>
    <t>V5765 - JW172694</t>
  </si>
  <si>
    <t>V5764 - JW183504</t>
  </si>
  <si>
    <t>BOA PAYOFF 3/19, GL PAYOFF 4/9</t>
  </si>
  <si>
    <t>BOA FLOORED, 3/30, GL FLOORED 4/2</t>
  </si>
  <si>
    <t>GL PAYOFF 3/20, BOA PAYOFF 4/9</t>
  </si>
  <si>
    <t>BOA FLOORED 3/30, GL FLOORED 4/2</t>
  </si>
  <si>
    <t>JM212960 - M6483</t>
  </si>
  <si>
    <t>JM212809 - M6482</t>
  </si>
  <si>
    <t>JM207626 - M6481</t>
  </si>
  <si>
    <t>BOA FLOORED 3/28, GL FLOORED 4/10</t>
  </si>
  <si>
    <t>BOA FLOORED 3/20, GL FLOORED 4/10</t>
  </si>
  <si>
    <t>M6527 - J1377580</t>
  </si>
  <si>
    <t>M6530 - J0378477</t>
  </si>
  <si>
    <t>M6532 - J1378918</t>
  </si>
  <si>
    <t>M6531 - J1374402</t>
  </si>
  <si>
    <t>M6528 - J1378929</t>
  </si>
  <si>
    <t>M6529 - J0377395</t>
  </si>
  <si>
    <t>GL FLOORED 4/30, BOA FLOORED 5/1</t>
  </si>
  <si>
    <t>V5846 - JC041822</t>
  </si>
  <si>
    <t>V5844 - JC570776</t>
  </si>
  <si>
    <t>V5847 - JC572192</t>
  </si>
  <si>
    <t>V5845 - JC567854</t>
  </si>
  <si>
    <t>JM156823 - V5848</t>
  </si>
  <si>
    <t>GL FLOORED 5/31, BOA FLOORED 6/1</t>
  </si>
  <si>
    <t>BOA FLOORED 5/31, GL FLOORED 6/5</t>
  </si>
  <si>
    <t>A2939 - J2198259</t>
  </si>
  <si>
    <t>GL FLOORED 6/30, BOA FLOORED 7/9</t>
  </si>
  <si>
    <t>V5930 - JM177650</t>
  </si>
  <si>
    <t>V5726 - JM108532</t>
  </si>
  <si>
    <t>V5895 - JM025421</t>
  </si>
  <si>
    <t>V5843 - JM156516</t>
  </si>
  <si>
    <t>V5918 - JM174366</t>
  </si>
  <si>
    <t>V5921 - JM179324</t>
  </si>
  <si>
    <t>A2994 - J1089080</t>
  </si>
  <si>
    <t>M6737 - J1320639</t>
  </si>
  <si>
    <t>V5936 - JM182493</t>
  </si>
  <si>
    <t>V5858 - JM159391</t>
  </si>
  <si>
    <t>A2993 - JA211562</t>
  </si>
  <si>
    <t>A2991 - J1079925</t>
  </si>
  <si>
    <t>A2992 - JN021489</t>
  </si>
  <si>
    <t>JM177650 - V5930</t>
  </si>
  <si>
    <t xml:space="preserve">JM025421 - V5895 </t>
  </si>
  <si>
    <t>JM108532 - V5726</t>
  </si>
  <si>
    <t>JM156516 - V5843</t>
  </si>
  <si>
    <t>JM174366 - V5918</t>
  </si>
  <si>
    <t>JM179324 - V5921</t>
  </si>
  <si>
    <t>JM182493 - V5936</t>
  </si>
  <si>
    <t>JM159391 - V5858</t>
  </si>
  <si>
    <t>SANDRA CORRECTED IN AUG</t>
  </si>
  <si>
    <t>SEE ABOVE</t>
  </si>
  <si>
    <t>JD052095 - A2997</t>
  </si>
  <si>
    <t>GL FLOORED 7/31, BOA FLOORED 8/1</t>
  </si>
  <si>
    <t>BOA FLOORED 7/31, GL FLOORED 8/2</t>
  </si>
  <si>
    <t>M6786 - J1445014</t>
  </si>
  <si>
    <t>M6787 - J1448111</t>
  </si>
  <si>
    <t>V5939 - JM180731</t>
  </si>
  <si>
    <t>KM077974 - V6047</t>
  </si>
  <si>
    <t>KM091057 - V6046</t>
  </si>
  <si>
    <t>KM088991 - V6044</t>
  </si>
  <si>
    <t>JM180731 - V5939</t>
  </si>
  <si>
    <t>JM197017 - V6042</t>
  </si>
  <si>
    <t>JM203344 - V6048</t>
  </si>
  <si>
    <t>JM204995 - V6043</t>
  </si>
  <si>
    <t>JM517410 - V6045</t>
  </si>
  <si>
    <t>JM202387 -V5996</t>
  </si>
  <si>
    <t>JA229814 - A3047</t>
  </si>
  <si>
    <t>JA218075 - A3059</t>
  </si>
  <si>
    <t>JA199435 - A3021</t>
  </si>
  <si>
    <t>JC592004 - V6007</t>
  </si>
  <si>
    <t>J2187721 - A3060</t>
  </si>
  <si>
    <t>JA128844 - A3037</t>
  </si>
  <si>
    <t>JD050707 - A2986</t>
  </si>
  <si>
    <t>GL FLOORED 8/29, BOA FLOORED 9/4</t>
  </si>
  <si>
    <t>BOA FLOORED 8/31, GL FLOORED 9/6</t>
  </si>
  <si>
    <t>GL PAID OFF 8/31, BOA PAID OFF 9/5</t>
  </si>
  <si>
    <t>PER SANDRA, REINVOICED, CONTACTING BOA TO FIND OUT WHY THEY HAVEN'T RECEIVED NEW INVOICE</t>
  </si>
  <si>
    <t>PER SANDRA, SERVICE LOANER, BOA SHOULD BE GETTING CREDIT FROM AUDI</t>
  </si>
  <si>
    <t>A2918 - J2145305</t>
  </si>
  <si>
    <t>A3063 - J2234561</t>
  </si>
  <si>
    <t>JM219521 - V6113</t>
  </si>
  <si>
    <t>JM220541 - V6111</t>
  </si>
  <si>
    <t>JM220673 - V6112</t>
  </si>
  <si>
    <t>J2210699 - A3074</t>
  </si>
  <si>
    <t>J2227276 - A3085</t>
  </si>
  <si>
    <t>J2229320 - A3084</t>
  </si>
  <si>
    <t>REINVOICE ISSUE FROM AUG, PAID OFF 10/9</t>
  </si>
  <si>
    <t>GL FLOORED 9/10; BOA FLOORED 10/1</t>
  </si>
  <si>
    <t>BOA PAID OFF 9/25, MOVED TO LOANER ON GL 10/9</t>
  </si>
  <si>
    <t>BOA FLOORED 9/28, GL FLOORED 10/4</t>
  </si>
  <si>
    <t>BOA FLOORED 9/24, GL FLOORED 10/1</t>
  </si>
  <si>
    <t>BOA FLOORED 9/28, GL FLOORED 10/2</t>
  </si>
  <si>
    <t>BOA FLOORED 8/20, SERVICE LOANER NOT POSTED TO GL, BOA SHOULD GET CREDIT FROM AUDI PER SANDRA</t>
  </si>
  <si>
    <t>V6155 - KC006328</t>
  </si>
  <si>
    <t>M6925 - J1472459</t>
  </si>
  <si>
    <t>V6156 - JC598689</t>
  </si>
  <si>
    <t>V6150 - JC598602</t>
  </si>
  <si>
    <t>V6152 - JC596953</t>
  </si>
  <si>
    <t>V6151 - KC506998</t>
  </si>
  <si>
    <t>GL FL/PO</t>
  </si>
  <si>
    <t>BOA FL/PO</t>
  </si>
  <si>
    <t>J1471665 - M6908</t>
  </si>
  <si>
    <t>J2245775 - A3127</t>
  </si>
  <si>
    <t xml:space="preserve">BOA FL/PO </t>
  </si>
  <si>
    <t>M6971 - K1508929</t>
  </si>
  <si>
    <t>M6970 - K0507492</t>
  </si>
  <si>
    <t>M6968 - K1509517</t>
  </si>
  <si>
    <t>M6969 - K0511199</t>
  </si>
  <si>
    <t>V6216 - KC515825</t>
  </si>
  <si>
    <t>V6210 - KC509403</t>
  </si>
  <si>
    <t>V6215 - KC513569</t>
  </si>
  <si>
    <t>V6214 - KC515402</t>
  </si>
  <si>
    <t>V6211 - KC502257</t>
  </si>
  <si>
    <t>V6212 - KC503321</t>
  </si>
  <si>
    <t>V6213 - KC501868</t>
  </si>
  <si>
    <t>A3103 - J2247045</t>
  </si>
  <si>
    <t>KM040916 - V6228</t>
  </si>
  <si>
    <t>KM114812 - V6227</t>
  </si>
  <si>
    <t>KM028976 - V6229</t>
  </si>
  <si>
    <t>KM029458 - V6226</t>
  </si>
  <si>
    <t>KM030106 - V6230</t>
  </si>
  <si>
    <t>GL Floored</t>
  </si>
  <si>
    <t>BOA Floored</t>
  </si>
  <si>
    <t>Didn't know until 12/12 that this was rejected at delivery, it's out of inventory now</t>
  </si>
  <si>
    <t>A3206 - KA007796</t>
  </si>
  <si>
    <t>KM035073 - V6280</t>
  </si>
  <si>
    <t>KA010194 - A3226</t>
  </si>
  <si>
    <t>KD018373 - A3218</t>
  </si>
  <si>
    <t>V6315 - KM147403</t>
  </si>
  <si>
    <t>V6316 - KM030464</t>
  </si>
  <si>
    <t>V6295 - KC532051</t>
  </si>
  <si>
    <t>A3270 - KN000626</t>
  </si>
  <si>
    <t>A3267 - KN000581</t>
  </si>
  <si>
    <t>A3268 - KD018380</t>
  </si>
  <si>
    <t>KC532051 - V6295</t>
  </si>
  <si>
    <t>SANDRA CORRECTED 2/11</t>
  </si>
  <si>
    <t>V6379 - KC543782</t>
  </si>
  <si>
    <t>V6380 - KC533702</t>
  </si>
  <si>
    <t>KA033525 - A3274</t>
  </si>
  <si>
    <t>PER SANDRA, AUDI SHOULD PAYOFF BECAUSE LOANER, SEE MAIL</t>
  </si>
  <si>
    <t>A3338 - KA028459</t>
  </si>
  <si>
    <t>A3209 - KA900950</t>
  </si>
  <si>
    <t>A3224 - KA900863</t>
  </si>
  <si>
    <t>A3294 - KA902751</t>
  </si>
  <si>
    <t>KA900950 - A3209</t>
  </si>
  <si>
    <t>KA900863 - A3224</t>
  </si>
  <si>
    <t>KA902751 - A3294</t>
  </si>
  <si>
    <t>BOA FLOORED</t>
  </si>
  <si>
    <t>reinvoiced, BOA corrected 3/27, Tiffany 4/9</t>
  </si>
  <si>
    <t>GL FLOORED</t>
  </si>
  <si>
    <t>SAME AS LAST MONTH, AUDI SHOULD PAYOFF FLOORPLAN, EMAIL ATTACHED AGAIN</t>
  </si>
  <si>
    <t>V6318 - KC537873</t>
  </si>
  <si>
    <t>V6341 - KC540414</t>
  </si>
  <si>
    <t>A3375 - KN011506</t>
  </si>
  <si>
    <t>A3373 - K2084306</t>
  </si>
  <si>
    <t>BOA PAID OFF</t>
  </si>
  <si>
    <t>GL PAID OFF</t>
  </si>
  <si>
    <t>FLOORED 5/1</t>
  </si>
  <si>
    <t>FLOORED 4/30</t>
  </si>
  <si>
    <t>MOVED TO LOANER 5/13</t>
  </si>
  <si>
    <t>SAME AS LAST MONTH, AUDI SHOULD PAYOFF FLOORPLAN, EMAIL ATTACHED AGAIN, NO NEW ANSWERS</t>
  </si>
  <si>
    <t>V6427-KM166515</t>
  </si>
  <si>
    <t>V6575-KM701142</t>
  </si>
  <si>
    <t>V6574-KM100227</t>
  </si>
  <si>
    <t>V6573-KM099292</t>
  </si>
  <si>
    <t>V6577-KM016284</t>
  </si>
  <si>
    <t>M7263-K0324743</t>
  </si>
  <si>
    <t>FLOORED 5/30</t>
  </si>
  <si>
    <t>FLOORED 5/29</t>
  </si>
  <si>
    <t>FLOORED 5/31</t>
  </si>
  <si>
    <t>K1573724 - M7146</t>
  </si>
  <si>
    <t>K1505332 - M6964</t>
  </si>
  <si>
    <t>K1578418 - M7238</t>
  </si>
  <si>
    <t>K0589154 - M7179</t>
  </si>
  <si>
    <t>K2083639 - A3386</t>
  </si>
  <si>
    <t>KN049400 - A3193</t>
  </si>
  <si>
    <t>JD043104 - A2911</t>
  </si>
  <si>
    <t>V6576-KM020291</t>
  </si>
  <si>
    <t>V6572-KM098368</t>
  </si>
  <si>
    <t>PAID OFF 6/5</t>
  </si>
  <si>
    <t>PAID OFF 5/30</t>
  </si>
  <si>
    <t>GL NOTES</t>
  </si>
  <si>
    <t>BOA NOTES</t>
  </si>
  <si>
    <t>FLOORED 6/3</t>
  </si>
  <si>
    <t>M7262-K1132902</t>
  </si>
  <si>
    <t>PAID OFF 6/13</t>
  </si>
  <si>
    <t>PAID OFF 5/31</t>
  </si>
  <si>
    <t>PAID OFF 6/6</t>
  </si>
  <si>
    <t>M7320 - K1633256</t>
  </si>
  <si>
    <t xml:space="preserve">M7321 - K1633111 </t>
  </si>
  <si>
    <t>M7322 - K0308997</t>
  </si>
  <si>
    <t>M7319 - K0638024</t>
  </si>
  <si>
    <t>FLOORED 6/28</t>
  </si>
  <si>
    <t>KM211821 - V6648</t>
  </si>
  <si>
    <t>KM211339 - V6646</t>
  </si>
  <si>
    <t>KM210365 - V6647</t>
  </si>
  <si>
    <t>KM163348 - V6645</t>
  </si>
  <si>
    <t>FLOORED 7/1</t>
  </si>
  <si>
    <t>FLOORED 7/2</t>
  </si>
  <si>
    <t>FLOORED 6/26</t>
  </si>
  <si>
    <t xml:space="preserve">M7329 - K1506600 </t>
  </si>
  <si>
    <t>K1506600 - M7329</t>
  </si>
  <si>
    <t>A3216 - KD021147</t>
  </si>
  <si>
    <t>A3223 - KD021471</t>
  </si>
  <si>
    <t>PAID OFF 8/2</t>
  </si>
  <si>
    <t>PAID OFF 7/30</t>
  </si>
  <si>
    <t>PAID OFF 8/3</t>
  </si>
  <si>
    <t>PAID OFF 7/18</t>
  </si>
  <si>
    <t>SEE NOTE ABOVE</t>
  </si>
  <si>
    <t>POSTED FOR WRONG AMOUNT, Sandra corrected in Aug</t>
  </si>
  <si>
    <t>V6759 - KC597381</t>
  </si>
  <si>
    <t xml:space="preserve">KN017813 - </t>
  </si>
  <si>
    <t>FL 8/27</t>
  </si>
  <si>
    <t>FLOORED 9/4</t>
  </si>
  <si>
    <t>floored by factory 8/23, didn't take delivery because damaged, factory credited back on 9/10</t>
  </si>
  <si>
    <t>M7481 - K0684397</t>
  </si>
  <si>
    <t>M7482 - K0684084</t>
  </si>
  <si>
    <t>V6836 - KC603750</t>
  </si>
  <si>
    <t>V6839 - KC604667</t>
  </si>
  <si>
    <t>V6838 - KC606034</t>
  </si>
  <si>
    <t>V6835 - KC604833</t>
  </si>
  <si>
    <t>V6837 - KC606267</t>
  </si>
  <si>
    <t>KN021153 - A3590</t>
  </si>
  <si>
    <t xml:space="preserve">BOA FLOORED </t>
  </si>
  <si>
    <t>SERVICE LOANER, AUDI TO REINVOICE</t>
  </si>
  <si>
    <t>A3492-KB011783</t>
  </si>
  <si>
    <t>L1014551 - A3654</t>
  </si>
  <si>
    <t>L1015086 - A3652</t>
  </si>
  <si>
    <t>L1014455 - A3653</t>
  </si>
  <si>
    <t>KB021773 - A3655</t>
  </si>
  <si>
    <t>KD045762 - A3651</t>
  </si>
  <si>
    <t>KB011783 - A3492</t>
  </si>
  <si>
    <t>REINVOICED, TIFFANY CORRECTED TO LESSER AMOUNT 11/11</t>
  </si>
  <si>
    <t>REINVOICED, TIFFANY CORRECTED TO THIS AMOUNT 11/11</t>
  </si>
  <si>
    <t>V6933 - LC005923</t>
  </si>
  <si>
    <t>V6937 - LC005683</t>
  </si>
  <si>
    <t>M7585 - L0721904</t>
  </si>
  <si>
    <t>V6934 - LC005014</t>
  </si>
  <si>
    <t>M7584 - L0722306</t>
  </si>
  <si>
    <t>V6938 - KC609872</t>
  </si>
  <si>
    <t>V6935 - KC619247</t>
  </si>
  <si>
    <t>V6936 - KC618039</t>
  </si>
  <si>
    <t>KD047140 - A3669</t>
  </si>
  <si>
    <t>SERVICE LOANER, NOT POSTED TO GL</t>
  </si>
  <si>
    <t>PAID OFF 12/2</t>
  </si>
  <si>
    <t>M7658 - L0401976</t>
  </si>
  <si>
    <t>M7734 - L1159982</t>
  </si>
  <si>
    <t>M7742 - L1161653</t>
  </si>
  <si>
    <t>M7744 - L1161457</t>
  </si>
  <si>
    <t>M7736 - LM112254</t>
  </si>
  <si>
    <t>M7737 - LM112441</t>
  </si>
  <si>
    <t>M7741 - L1161391</t>
  </si>
  <si>
    <t>M7751 - L0767895</t>
  </si>
  <si>
    <t>M7733 - L1160461</t>
  </si>
  <si>
    <t>M7750 - L0769493</t>
  </si>
  <si>
    <t>M7745 - L0766341</t>
  </si>
  <si>
    <t>M7735 - LM112390</t>
  </si>
  <si>
    <t>M7740 - L0770524</t>
  </si>
  <si>
    <t>M7749 - L0767470</t>
  </si>
  <si>
    <t>M7732 - L0767489</t>
  </si>
  <si>
    <t>M7748 - L0771219</t>
  </si>
  <si>
    <t>M7739 - L0412618</t>
  </si>
  <si>
    <t>M7747 - L0412384</t>
  </si>
  <si>
    <t>LM083437 - V6995</t>
  </si>
  <si>
    <t>M7746 - L0767786</t>
  </si>
  <si>
    <t>SERVICE LOANER</t>
  </si>
  <si>
    <t>FL 1/7; PO 2/5</t>
  </si>
  <si>
    <t>M7813 - L1779096</t>
  </si>
  <si>
    <t>M7812 - L0784415</t>
  </si>
  <si>
    <t>V7047 - LC014499</t>
  </si>
  <si>
    <t>M7815 - L0781042</t>
  </si>
  <si>
    <t>V7053 - LM110517</t>
  </si>
  <si>
    <t>M7814- L1777114</t>
  </si>
  <si>
    <t>V7048 - LC504636</t>
  </si>
  <si>
    <t>V7050 - LC505078</t>
  </si>
  <si>
    <t>V7049 - LC505985</t>
  </si>
  <si>
    <t>V6878 - KC613659</t>
  </si>
  <si>
    <t>PAID OFF 3/17</t>
  </si>
  <si>
    <t>COLLATERAL SWAP SANDRA TOOK OUT OF INVENTORY 4/21</t>
  </si>
  <si>
    <t>V7137 - LC200830</t>
  </si>
  <si>
    <t>V7139 - LC201834</t>
  </si>
  <si>
    <t>V7138 - LC206425</t>
  </si>
  <si>
    <t>V7140 - MC502200</t>
  </si>
  <si>
    <t>A3843 - LD006599</t>
  </si>
  <si>
    <t>FLOORED 4/29</t>
  </si>
  <si>
    <t>FLOORED 5/4</t>
  </si>
  <si>
    <t>M7981 - L1174284</t>
  </si>
  <si>
    <t>M7980 - L1174599</t>
  </si>
  <si>
    <t>M7979 - L1165375</t>
  </si>
  <si>
    <t>M7982 - L1523331</t>
  </si>
  <si>
    <t>M7983 - L1522578</t>
  </si>
  <si>
    <t>A3854 - LN000449</t>
  </si>
  <si>
    <t>LN000449 - A3854</t>
  </si>
  <si>
    <t>REINVOICED - TIFFANY CORRECTED IN JUNE</t>
  </si>
  <si>
    <t>M8048 - L0414671</t>
  </si>
  <si>
    <t>M8050 - L0813133</t>
  </si>
  <si>
    <t>M8051 - L0813518</t>
  </si>
  <si>
    <t>V7244 - MC507526</t>
  </si>
  <si>
    <t>V7243 - MC507892</t>
  </si>
  <si>
    <t>M8047 - L0412870</t>
  </si>
  <si>
    <t>M8049 - L0413323</t>
  </si>
  <si>
    <t>V7251 - MC507790</t>
  </si>
  <si>
    <t>V7242 - LC217910</t>
  </si>
  <si>
    <t>V7241 - LC218156</t>
  </si>
  <si>
    <t>A3831 - LD006832</t>
  </si>
  <si>
    <t>L1091852 - A3930</t>
  </si>
  <si>
    <t>L1080476 - A3929</t>
  </si>
  <si>
    <t>LD009043 - A3926</t>
  </si>
  <si>
    <t>LD009170 - A3927</t>
  </si>
  <si>
    <t>LD008975 - A3928</t>
  </si>
  <si>
    <t>DAMAGED SANDRA REVERSED ENTRY 7/13</t>
  </si>
  <si>
    <t>M8182 - L0829029</t>
  </si>
  <si>
    <t>M8179 - L1829194</t>
  </si>
  <si>
    <t>M8190 - L0829896</t>
  </si>
  <si>
    <t>M8178 - L1831030</t>
  </si>
  <si>
    <t>M8180 - L0829957</t>
  </si>
  <si>
    <t>M8177 - L1831070</t>
  </si>
  <si>
    <t>M8189 - L0828961</t>
  </si>
  <si>
    <t>M8181 - L0830047</t>
  </si>
  <si>
    <t>M8198 - L1829246</t>
  </si>
  <si>
    <t>M8176 - L1829224</t>
  </si>
  <si>
    <t>M8195 - L1828569</t>
  </si>
  <si>
    <t>M8174 - L0830956</t>
  </si>
  <si>
    <t>M8197 - L1828018</t>
  </si>
  <si>
    <t>M8175 - L1828035</t>
  </si>
  <si>
    <t>M8196 - L1828660</t>
  </si>
  <si>
    <t>M8188 - L0830481</t>
  </si>
  <si>
    <t>M8187 - L0830461</t>
  </si>
  <si>
    <t>M8194 - L0423028</t>
  </si>
  <si>
    <t>M8186 - L0422937</t>
  </si>
  <si>
    <t>M8185 - L0422938</t>
  </si>
  <si>
    <t>M8184 - L0422784</t>
  </si>
  <si>
    <t>M8183 - L0422996</t>
  </si>
  <si>
    <t>A3823 - LA003767</t>
  </si>
  <si>
    <t>DAMAGED AT PORT, BOA PAID OFF 7/6, SANDRA REVERSED POSTING 8/12</t>
  </si>
  <si>
    <t>M8294 - L0850472</t>
  </si>
  <si>
    <t>M8293 - L0848327</t>
  </si>
  <si>
    <t>M8296 - L0415872</t>
  </si>
  <si>
    <t>M8295 - L0848101</t>
  </si>
  <si>
    <t>M8393 - M1501649</t>
  </si>
  <si>
    <t>M8395 - MM204156</t>
  </si>
  <si>
    <t>M8394 - M1301746</t>
  </si>
  <si>
    <t>M8392 - L1527567</t>
  </si>
  <si>
    <t>M8389 - M0502871</t>
  </si>
  <si>
    <t>M8388 - M0502622</t>
  </si>
  <si>
    <t>M8390 - M0802332</t>
  </si>
  <si>
    <t>M8391 - M0502130</t>
  </si>
  <si>
    <t>M8472 - MM213935</t>
  </si>
  <si>
    <t>M8470 - M0309937</t>
  </si>
  <si>
    <t>M8479 - L0418839</t>
  </si>
  <si>
    <t>M8469 - M0505637</t>
  </si>
  <si>
    <t>M8468 - M0506283</t>
  </si>
  <si>
    <t>M8403 - M1501658</t>
  </si>
  <si>
    <t>M8400 - M1502817</t>
  </si>
  <si>
    <t>M1501658 - M8403</t>
  </si>
  <si>
    <t>M1502817 - M8400</t>
  </si>
  <si>
    <t>M8464 - M0303262</t>
  </si>
  <si>
    <t>M0303262 - M8464</t>
  </si>
  <si>
    <t>LM106674 - V7580</t>
  </si>
  <si>
    <t>recontracted 10/16</t>
  </si>
  <si>
    <t>Sandra adjusted payoff posting 11/12</t>
  </si>
  <si>
    <t>see above</t>
  </si>
  <si>
    <t>Tiffany corrected posting error 11/11</t>
  </si>
  <si>
    <t>see below</t>
  </si>
  <si>
    <t>M8471 - M0303137</t>
  </si>
  <si>
    <t>M8544 - M1505558</t>
  </si>
  <si>
    <t>V7568 - MM001414</t>
  </si>
  <si>
    <t>M8546 - M0324717</t>
  </si>
  <si>
    <t>M8543 - MM225330</t>
  </si>
  <si>
    <t>V7611 - MM023617</t>
  </si>
  <si>
    <t>V7612 - MM001637</t>
  </si>
  <si>
    <t>A4159 - M1038028</t>
  </si>
  <si>
    <t>A4160 - M1041312</t>
  </si>
  <si>
    <t>A4161 - M1032936</t>
  </si>
  <si>
    <t>A4162 - M1040266</t>
  </si>
  <si>
    <t>M8477 - M1307121</t>
  </si>
  <si>
    <t>M1307121 - M8477</t>
  </si>
  <si>
    <t>MM001414 - V7568</t>
  </si>
  <si>
    <t>A4152 - M2005457</t>
  </si>
  <si>
    <t>MN001002 - A4166</t>
  </si>
  <si>
    <t>MA900592 - A4164</t>
  </si>
  <si>
    <t>TIFFANY CORRECTED POSTING 12/8</t>
  </si>
  <si>
    <t>MC553310 - V7642</t>
  </si>
  <si>
    <t>V7642 - MC553310</t>
  </si>
  <si>
    <t>A4234 - MD021028</t>
  </si>
  <si>
    <t>CORRECTED POSTING 1/6 WHEN PAID OFF</t>
  </si>
  <si>
    <t>V7738 - MM060353</t>
  </si>
  <si>
    <t>M8706 - M0451335</t>
  </si>
  <si>
    <t>M8707 - M0354675</t>
  </si>
  <si>
    <t>V7737 - MM011634</t>
  </si>
  <si>
    <t>M8709 - M0358094</t>
  </si>
  <si>
    <t>M8708 - M0355526</t>
  </si>
  <si>
    <t>A4295 - M1072601</t>
  </si>
  <si>
    <t>V7736 - MC561231</t>
  </si>
  <si>
    <t>A4297 - M2049059</t>
  </si>
  <si>
    <t>A4296 - MN045429</t>
  </si>
  <si>
    <t>A4294 - M1063433</t>
  </si>
  <si>
    <t>A4298 - MN007033</t>
  </si>
  <si>
    <t>LM104618 - V7546</t>
  </si>
  <si>
    <t>LM082104 - V7424</t>
  </si>
  <si>
    <t>M1332853 - M8627</t>
  </si>
  <si>
    <t>MM237216 - M8666</t>
  </si>
  <si>
    <t>M0514354 - M8655</t>
  </si>
  <si>
    <t>M0515707 - M8699</t>
  </si>
  <si>
    <t>MA005349 - A4163</t>
  </si>
  <si>
    <t>MA019893 - A4227</t>
  </si>
  <si>
    <t>MB004033 - A4096</t>
  </si>
  <si>
    <t>MN905060 - A4269</t>
  </si>
  <si>
    <t>MD020561 - A4280</t>
  </si>
  <si>
    <t>PO POSTED 1/31</t>
  </si>
  <si>
    <t>PAID OFF 2/4</t>
  </si>
  <si>
    <t>M8795 - MM244302</t>
  </si>
  <si>
    <t>M8796 - MM243433</t>
  </si>
  <si>
    <t>M8800 - M0367994</t>
  </si>
  <si>
    <t>M8801 - M0368408</t>
  </si>
  <si>
    <t>M8797 -M0367774</t>
  </si>
  <si>
    <t>M8798 - M0362776</t>
  </si>
  <si>
    <t>M8782 - M0364008</t>
  </si>
  <si>
    <t>M8794 - M0358761</t>
  </si>
  <si>
    <t>V7810 - MC565479</t>
  </si>
  <si>
    <t>V7808 - MC567520</t>
  </si>
  <si>
    <t>M8799 - M0517578</t>
  </si>
  <si>
    <t>M8804 - M0518604</t>
  </si>
  <si>
    <t>V7809 - MC567277</t>
  </si>
  <si>
    <t>M0364008 - M8782</t>
  </si>
  <si>
    <t>POSTED WRONG, CORRECTED ON FP PAYOFF</t>
  </si>
  <si>
    <t>M8885 - M1377883</t>
  </si>
  <si>
    <t>A4405 - M1091685</t>
  </si>
  <si>
    <t>A4403 - M2066217</t>
  </si>
  <si>
    <t>V7863 - MM084925</t>
  </si>
  <si>
    <t>A4402 - M2067664</t>
  </si>
  <si>
    <t>A4404 - MD032732</t>
  </si>
  <si>
    <t>MM084925 - V7863</t>
  </si>
  <si>
    <t>MM042166 - V7862</t>
  </si>
  <si>
    <t>2 UNITS POSTED, SAME STOCK, SANDRA CORRECTED 4/22</t>
  </si>
  <si>
    <t>THIS WAS SECOND UNIT, SEE ABOVE</t>
  </si>
  <si>
    <t>M8946 - M0388843</t>
  </si>
  <si>
    <t>V8027 - MM107777</t>
  </si>
  <si>
    <t>V8028 - MM109107</t>
  </si>
  <si>
    <t>V8025 - MC225829</t>
  </si>
  <si>
    <t>V8024 - MC229057</t>
  </si>
  <si>
    <t>V7955 - MC559492</t>
  </si>
  <si>
    <t>V8022 - MC585087</t>
  </si>
  <si>
    <t>V8026 - MC584604</t>
  </si>
  <si>
    <t>V8023 - MC579118</t>
  </si>
  <si>
    <t>V8021 - MC585704</t>
  </si>
  <si>
    <t>A4465 - M2079715</t>
  </si>
  <si>
    <t>A4464 - M2082011</t>
  </si>
  <si>
    <t>A4463 - M2080396</t>
  </si>
  <si>
    <t>MM056253 - V8034</t>
  </si>
  <si>
    <t>MM058642 - V8035</t>
  </si>
  <si>
    <t>MM114191 - V8036</t>
  </si>
  <si>
    <t>LM073642 - V7499</t>
  </si>
  <si>
    <t>M2080502 - A4472</t>
  </si>
  <si>
    <t>M2059752 - A4471</t>
  </si>
  <si>
    <t>MN017679 - A4473</t>
  </si>
  <si>
    <t>SEE SANDRA'S EMAIL, MANUAL FLOORING MIX UP, CORRECTED IN MAY</t>
  </si>
  <si>
    <t>M9070 - M1339535</t>
  </si>
  <si>
    <t xml:space="preserve">M9073 - M0408694 </t>
  </si>
  <si>
    <t>M9074 - M0407926</t>
  </si>
  <si>
    <t>M9071 - M0456539</t>
  </si>
  <si>
    <t>M9069 - M0456397</t>
  </si>
  <si>
    <t>M9075 - M0407809</t>
  </si>
  <si>
    <t>M9076 - M0526734</t>
  </si>
  <si>
    <t>M9072 - M0407955</t>
  </si>
  <si>
    <t>L0417010 - U1801</t>
  </si>
  <si>
    <t>PAID OFF 6/8, SEE EMAIL</t>
  </si>
  <si>
    <t>M9187 - MM267367</t>
  </si>
  <si>
    <t>M9177 - M1343785</t>
  </si>
  <si>
    <t>M9186 - MM266458</t>
  </si>
  <si>
    <t>M9183 - MM266041</t>
  </si>
  <si>
    <t>M9181 - MM265988</t>
  </si>
  <si>
    <t>M9182 - MM267342</t>
  </si>
  <si>
    <t>M9176 - M1343282</t>
  </si>
  <si>
    <t>M9178 - M0458123</t>
  </si>
  <si>
    <t xml:space="preserve">M9179 - M0420368 </t>
  </si>
  <si>
    <t>M9185 - M0420567</t>
  </si>
  <si>
    <t>M9180 - M0419411</t>
  </si>
  <si>
    <t>V8238 - MM032745</t>
  </si>
  <si>
    <t>M9261 - M1348832</t>
  </si>
  <si>
    <t>V8237 - MM036486</t>
  </si>
  <si>
    <t>M9259 - M0443170</t>
  </si>
  <si>
    <t>M9257 - M1616728</t>
  </si>
  <si>
    <t>M9253 - M0436269</t>
  </si>
  <si>
    <t>M9256 - M0434508</t>
  </si>
  <si>
    <t>M9262 - M0459200</t>
  </si>
  <si>
    <t>M9254 - M0433141</t>
  </si>
  <si>
    <t>M9255 - M1435871</t>
  </si>
  <si>
    <t>M9258 - M0459420</t>
  </si>
  <si>
    <t>M9252 - M0433078</t>
  </si>
  <si>
    <t>A4644 - M1138165</t>
  </si>
  <si>
    <t>A4642 - M1140758</t>
  </si>
  <si>
    <t>A4643 - MD040899</t>
  </si>
  <si>
    <t>A4645 - MD040980</t>
  </si>
  <si>
    <t>A4646 - MD041462</t>
  </si>
  <si>
    <t>A4687 - N7900129</t>
  </si>
  <si>
    <t>A4704 - NA004806</t>
  </si>
  <si>
    <t>A4705 - N2003197</t>
  </si>
  <si>
    <t>M9465 - M0473174</t>
  </si>
  <si>
    <t>M9527 - MM315649</t>
  </si>
  <si>
    <t>M9526 - M0486210</t>
  </si>
  <si>
    <t>M9525 - M0486059</t>
  </si>
  <si>
    <t>M9524 - M0486164</t>
  </si>
  <si>
    <t>NC002950 - V8389</t>
  </si>
  <si>
    <t>10/27 P/O 12/3</t>
  </si>
  <si>
    <t>SERVICE LOANER, 10/25 - 11/30</t>
  </si>
  <si>
    <t>V8556 - NM053712</t>
  </si>
  <si>
    <t>A4850 - N1066595</t>
  </si>
  <si>
    <t>A4855 - N1046026</t>
  </si>
  <si>
    <t>V8547 - MP063801</t>
  </si>
  <si>
    <t>V8555 - MP066500</t>
  </si>
  <si>
    <t>A4848 - NA007637</t>
  </si>
  <si>
    <t>A4852 - ND008529</t>
  </si>
  <si>
    <t>A4856 - ND008769</t>
  </si>
  <si>
    <t>A4849 - ND008652</t>
  </si>
  <si>
    <t>A4853 - NB009759</t>
  </si>
  <si>
    <t>A4851 - ND006077</t>
  </si>
  <si>
    <t>A4854 - NA901066</t>
  </si>
  <si>
    <t>PER TIFFANY, SHOULD BE HERE AND FLOORED BY END OF MARCH</t>
  </si>
  <si>
    <t>M9742 - N1515018</t>
  </si>
  <si>
    <t>M9746 - N1514566</t>
  </si>
  <si>
    <t>M9747 - N1513569</t>
  </si>
  <si>
    <t>M9752 - N1511550</t>
  </si>
  <si>
    <t>M9659 - N0566422</t>
  </si>
  <si>
    <t>M9666 - N0566389</t>
  </si>
  <si>
    <t>M9663 - N0567239</t>
  </si>
  <si>
    <t>M9665 - N0571258</t>
  </si>
  <si>
    <t>M9749 - N1514685</t>
  </si>
  <si>
    <t>M9664 - N0561076</t>
  </si>
  <si>
    <t>M9667 - N0570659</t>
  </si>
  <si>
    <t>M9661 - N0567627</t>
  </si>
  <si>
    <t>M9709 - N0559823</t>
  </si>
  <si>
    <t>M9673 - N1567836</t>
  </si>
  <si>
    <t>M9689 - N1575597</t>
  </si>
  <si>
    <t>M9755 - N1510862</t>
  </si>
  <si>
    <t xml:space="preserve">M9753 - N1514519 </t>
  </si>
  <si>
    <t>M9702 - N0568312</t>
  </si>
  <si>
    <t>M9713 - N1565432</t>
  </si>
  <si>
    <t>M9684 - N1568897</t>
  </si>
  <si>
    <t>M9711 - N0570658</t>
  </si>
  <si>
    <t>M9705 - N0569503</t>
  </si>
  <si>
    <t>M9685 - N1578426</t>
  </si>
  <si>
    <t>M9672 - N1553063</t>
  </si>
  <si>
    <t>M9678 - N0569805</t>
  </si>
  <si>
    <t>M9687 - N1559092</t>
  </si>
  <si>
    <t>M9686 - N0576870</t>
  </si>
  <si>
    <t>M9674 - N0563784</t>
  </si>
  <si>
    <t>M9698 - N1578310</t>
  </si>
  <si>
    <t>M9754 - N1513556</t>
  </si>
  <si>
    <t>M9710 - N0562303</t>
  </si>
  <si>
    <t>M9682 - N0570865</t>
  </si>
  <si>
    <t>M9694 - N0566180</t>
  </si>
  <si>
    <t>M9677 - N1573659</t>
  </si>
  <si>
    <t>M9691 - N0577235</t>
  </si>
  <si>
    <t>M9703 - N0569346</t>
  </si>
  <si>
    <t>M9701 - N0566883</t>
  </si>
  <si>
    <t>M9675 - N0571383</t>
  </si>
  <si>
    <t>M9700 - N1579246</t>
  </si>
  <si>
    <t>M9671 - N0545907</t>
  </si>
  <si>
    <t>M9697 - N1569204</t>
  </si>
  <si>
    <t>M9704 - N1540469</t>
  </si>
  <si>
    <t>M9696 - N1566741</t>
  </si>
  <si>
    <t>M9669 - N0542246</t>
  </si>
  <si>
    <t>M9690 - N0575954</t>
  </si>
  <si>
    <t>M9699 - N1579179</t>
  </si>
  <si>
    <t>M9676 - N0580908</t>
  </si>
  <si>
    <t>M9688 - N1563613</t>
  </si>
  <si>
    <t>M9681 - N0542905</t>
  </si>
  <si>
    <t>M9707 - N1563565</t>
  </si>
  <si>
    <t>M9751 - N1510443</t>
  </si>
  <si>
    <t>M9719 - N1554466</t>
  </si>
  <si>
    <t>M9720 - N0577180</t>
  </si>
  <si>
    <t>M9715 - N0575231</t>
  </si>
  <si>
    <t>M9714 - N0549406</t>
  </si>
  <si>
    <t>M9731 - N0581138</t>
  </si>
  <si>
    <t>M9721 - N0553745</t>
  </si>
  <si>
    <t>M9732 - N0579690</t>
  </si>
  <si>
    <t>M9730 - N0580040</t>
  </si>
  <si>
    <t>M9722 - N1552962</t>
  </si>
  <si>
    <t>M9727 - N1544856</t>
  </si>
  <si>
    <t>M9723 - N0576905</t>
  </si>
  <si>
    <t>M9725 - N1573787</t>
  </si>
  <si>
    <t>M9724 - N0577190</t>
  </si>
  <si>
    <t>M9736 - N0501857</t>
  </si>
  <si>
    <t>M9738 - N0501936</t>
  </si>
  <si>
    <t>M9737 - N0501715</t>
  </si>
  <si>
    <t>M9739 - N0502027</t>
  </si>
  <si>
    <t>M9655 - N0575017</t>
  </si>
  <si>
    <t>M9762 - N0612912</t>
  </si>
  <si>
    <t>M9794 - PN100235</t>
  </si>
  <si>
    <t>M9735 - N0555339</t>
  </si>
  <si>
    <t>M9761 - N0609430</t>
  </si>
  <si>
    <t>M9734 - N0561289</t>
  </si>
  <si>
    <t>M9733 - N0555151</t>
  </si>
  <si>
    <t>M9756 - N0608239</t>
  </si>
  <si>
    <t>M9759 - N0613637</t>
  </si>
  <si>
    <t>M9757 - N0609036</t>
  </si>
  <si>
    <t>M9765 - N0608415</t>
  </si>
  <si>
    <t>M9760 - N0609556</t>
  </si>
  <si>
    <t>M9768 - N0612564</t>
  </si>
  <si>
    <t>M9771 - N0612414</t>
  </si>
  <si>
    <t>M9769 - N0609205</t>
  </si>
  <si>
    <t>M9764 - N0612438</t>
  </si>
  <si>
    <t>M9772 - N0609456</t>
  </si>
  <si>
    <t>M9766 - N0609015</t>
  </si>
  <si>
    <t>M9770 - N0610483</t>
  </si>
  <si>
    <t>M9767 - N0613650</t>
  </si>
  <si>
    <t>M9776 - N0609690</t>
  </si>
  <si>
    <t>M9773 - N0609586</t>
  </si>
  <si>
    <t>M9775 - N0612709</t>
  </si>
  <si>
    <t>ETA FIRST WEEK OF APRIL</t>
  </si>
  <si>
    <t>AT PORT, RELEASED TO CARRIER</t>
  </si>
  <si>
    <t>AT PORT ETA UNKNOWN</t>
  </si>
  <si>
    <t>SHIPPED FROM PORT, EN ROUTE 3/29</t>
  </si>
  <si>
    <t>AT MTMUS, WAITING ON CHECK, SEE EMAIL</t>
  </si>
  <si>
    <t>M9729 - N0554052</t>
  </si>
  <si>
    <t>PORT SWAPPED TO NELSON MAZDA, REMOVED FROM INV 3/28</t>
  </si>
  <si>
    <t>PORT SWAPPED TO NELSON MAZDA, REMOVED FROM INV 3/29</t>
  </si>
  <si>
    <t>PORT SWAPPED TO NELSON MAZDA, REMOVED FROM INV 3/11</t>
  </si>
  <si>
    <t>M9809 - N0584856</t>
  </si>
  <si>
    <t>M9803 - N0582431</t>
  </si>
  <si>
    <t>M9807 - N0584022</t>
  </si>
  <si>
    <t>M9813 - N0584110</t>
  </si>
  <si>
    <t>M9753 - N1514519</t>
  </si>
  <si>
    <t>M9819 - N1580142</t>
  </si>
  <si>
    <t>M9806 - N1580192</t>
  </si>
  <si>
    <t>M9808 - N0584287</t>
  </si>
  <si>
    <t>V8630 - NM071196</t>
  </si>
  <si>
    <t>M9818 - N1582210</t>
  </si>
  <si>
    <t>M9815 - N1583744</t>
  </si>
  <si>
    <t>M9825 - N1580299</t>
  </si>
  <si>
    <t>M9811 - N0582697</t>
  </si>
  <si>
    <t>M9816 - N1583550</t>
  </si>
  <si>
    <t>M9804 - N1580249</t>
  </si>
  <si>
    <t>M9840 - PN102252</t>
  </si>
  <si>
    <t>M9841 - PN102261</t>
  </si>
  <si>
    <t>M9839 - PN102121</t>
  </si>
  <si>
    <t>M9820 - N0613855</t>
  </si>
  <si>
    <t>A4912 - N2077848</t>
  </si>
  <si>
    <t>A4911 - N2081152</t>
  </si>
  <si>
    <t>A4910 - N2080393</t>
  </si>
  <si>
    <t>N0575954 - M9690</t>
  </si>
  <si>
    <t>N0613855 - M9820</t>
  </si>
  <si>
    <t>PAID OFF 4/1 ADJUSTED FLOORPLAN AT PAYOFF</t>
  </si>
  <si>
    <t>PAID OFF 4/5 ADJUSTED FLOORPLAN AT PAYOFF</t>
  </si>
  <si>
    <t>AT PORT, ACCESS COMP. ETA MONTH END</t>
  </si>
  <si>
    <t>AT PORT, RELEASED, ETA 4/22</t>
  </si>
  <si>
    <t>AT US PORT, ETA IS TBD</t>
  </si>
  <si>
    <t>PAPERWORK SUBMITTED FOR PAYMENT</t>
  </si>
  <si>
    <t>MICHAEL PONTER</t>
  </si>
  <si>
    <t>U1918 - M1345413</t>
  </si>
  <si>
    <t>U1919 - L1784044</t>
  </si>
  <si>
    <t>V8678 - NC534364</t>
  </si>
  <si>
    <t>V8676 - NC535688</t>
  </si>
  <si>
    <t>V8679 - NC217797</t>
  </si>
  <si>
    <t>A4916 - NA056315</t>
  </si>
  <si>
    <t>V8752 - NM015688</t>
  </si>
  <si>
    <t>V8753 - NM015679</t>
  </si>
  <si>
    <t>V8749 - NM065787</t>
  </si>
  <si>
    <t>V8746 - NM016502</t>
  </si>
  <si>
    <t>V8750 - NM100123</t>
  </si>
  <si>
    <t>V8751 - NM101771</t>
  </si>
  <si>
    <t>V8748 - NM102726</t>
  </si>
  <si>
    <t>V8747 - NM103051</t>
  </si>
  <si>
    <t>V8757 - NM064487</t>
  </si>
  <si>
    <t>V8742 - NC221323</t>
  </si>
  <si>
    <t>V8739 - NC544292</t>
  </si>
  <si>
    <t>V8740 - NC221874</t>
  </si>
  <si>
    <t>A5012 - N2104254</t>
  </si>
  <si>
    <t>A5014 - N2104671</t>
  </si>
  <si>
    <t>A5013 - N2102706</t>
  </si>
  <si>
    <t>A5011 - N2108119</t>
  </si>
  <si>
    <t>A5015 - N2104680</t>
  </si>
  <si>
    <t>A5018 - N7008727</t>
  </si>
  <si>
    <t>TAKEN OUT OF INV 5/31</t>
  </si>
  <si>
    <t>N1078361 - A4913</t>
  </si>
  <si>
    <t>NN009001 - A4891</t>
  </si>
  <si>
    <t>N2098031 - A4968</t>
  </si>
  <si>
    <t>N2086082 - A4947</t>
  </si>
  <si>
    <t>N2087629 - A4938</t>
  </si>
  <si>
    <t>N2077562 - A4921</t>
  </si>
  <si>
    <t>ND012935 - A4933</t>
  </si>
  <si>
    <t>ND011370 - A4934</t>
  </si>
  <si>
    <t>FP REIMBURSE 6/3</t>
  </si>
  <si>
    <t>V8741 - NC541897</t>
  </si>
  <si>
    <t>A5010 - N2107334</t>
  </si>
  <si>
    <t>GL PAYOFF POSTED</t>
  </si>
  <si>
    <t>V8845 - NC553773</t>
  </si>
  <si>
    <t>V8846 - NC554629</t>
  </si>
  <si>
    <t>V8848 - NC556707</t>
  </si>
  <si>
    <t>V8851 - NC227096</t>
  </si>
  <si>
    <t>V8849 - NC227478</t>
  </si>
  <si>
    <t>V8850 - NC557018</t>
  </si>
  <si>
    <t>A5005 - NA035755</t>
  </si>
  <si>
    <t>V8844 - NC550409</t>
  </si>
  <si>
    <t>V8843 - NC545928</t>
  </si>
  <si>
    <t>A4995 - ND021477</t>
  </si>
  <si>
    <t>PAID OFF 6/28</t>
  </si>
  <si>
    <t>V8958 - NM026880</t>
  </si>
  <si>
    <t>V8957 - NM027015</t>
  </si>
  <si>
    <t>V8952 - NM089135</t>
  </si>
  <si>
    <t>V8951 - NM069244</t>
  </si>
  <si>
    <t>V8955 - NM134824</t>
  </si>
  <si>
    <t>V8956 - NM135081</t>
  </si>
  <si>
    <t>V8954 - NM133501</t>
  </si>
  <si>
    <t>V8953 - NW218865</t>
  </si>
  <si>
    <t>A5097 - N2090721</t>
  </si>
  <si>
    <t>U1990 - M0353024</t>
  </si>
  <si>
    <t>V9013 - NM022611</t>
  </si>
  <si>
    <t>V8978 - NM137613</t>
  </si>
  <si>
    <t>V9012 - PC507238</t>
  </si>
  <si>
    <t>A5155 - N1149421</t>
  </si>
  <si>
    <t>A5150 - N1150193</t>
  </si>
  <si>
    <t>V9011 - PC203711</t>
  </si>
  <si>
    <t>A5157 - P2007671</t>
  </si>
  <si>
    <t>A5151 - PA006976</t>
  </si>
  <si>
    <t>A5149 - PA006456</t>
  </si>
  <si>
    <t>A5152 - ND019856</t>
  </si>
  <si>
    <t>A5153 - ND019941</t>
  </si>
  <si>
    <t>A5156 - ND034039</t>
  </si>
  <si>
    <t>A5154 - NN009298</t>
  </si>
  <si>
    <t>A5158 - P2001537</t>
  </si>
  <si>
    <t>PER SANDRA, SHOULD BE FLOORED IN SEPT</t>
  </si>
  <si>
    <t>DEALER TRADE POSTED WRONG, SANDRA MOVED CHECK 52707 ON 9/6</t>
  </si>
  <si>
    <t>Floorplan Reconciliation - Hiley Cars Fort Worth</t>
  </si>
  <si>
    <t>S29394 - P1701767</t>
  </si>
  <si>
    <t>S29388 - P8212629</t>
  </si>
  <si>
    <t>S29390 - PH215784</t>
  </si>
  <si>
    <t>NB146915</t>
  </si>
  <si>
    <t>S29391 - P9700892</t>
  </si>
  <si>
    <t>S29389 - NH502525</t>
  </si>
  <si>
    <t>S29393 - NH502430</t>
  </si>
  <si>
    <t>S29395 - N3465245</t>
  </si>
  <si>
    <t>S29387 - N3462029</t>
  </si>
  <si>
    <t>S29392 - N3465223</t>
  </si>
  <si>
    <t>B29362 - ND161236</t>
  </si>
  <si>
    <t>PJ134750</t>
  </si>
  <si>
    <t>PZ130851</t>
  </si>
  <si>
    <t>NZ592063</t>
  </si>
  <si>
    <t>NZ589606</t>
  </si>
  <si>
    <t>NZ557732</t>
  </si>
  <si>
    <t>NG679215</t>
  </si>
  <si>
    <t>NG676815</t>
  </si>
  <si>
    <t>NG677078</t>
  </si>
  <si>
    <t>NG605950</t>
  </si>
  <si>
    <t>NG600418</t>
  </si>
  <si>
    <t>NG603705</t>
  </si>
  <si>
    <t>NG665687</t>
  </si>
  <si>
    <t>NG591345</t>
  </si>
  <si>
    <t>NG676006</t>
  </si>
  <si>
    <t>BZ597359</t>
  </si>
  <si>
    <t>NG676613</t>
  </si>
  <si>
    <t>NZ562248</t>
  </si>
  <si>
    <t>NR335738</t>
  </si>
  <si>
    <t>PF116956</t>
  </si>
  <si>
    <t>PR167878</t>
  </si>
  <si>
    <t>G29329 - PF131563</t>
  </si>
  <si>
    <t>PL108975 - G29432</t>
  </si>
  <si>
    <t>PL107375 - G29433</t>
  </si>
  <si>
    <t>PL107429 - G29402</t>
  </si>
  <si>
    <t>N1296284 - G29437</t>
  </si>
  <si>
    <t>PZ131046 - G29544</t>
  </si>
  <si>
    <t>PZ131430 - G29427</t>
  </si>
  <si>
    <t>NG597646 - G29434</t>
  </si>
  <si>
    <t>NZ596338 - G29467</t>
  </si>
  <si>
    <t>NG656708 - G29487</t>
  </si>
  <si>
    <t xml:space="preserve">NG656700 </t>
  </si>
  <si>
    <t>NG653716 - G29500</t>
  </si>
  <si>
    <t>NG638728 - G29540</t>
  </si>
  <si>
    <t>NG606141 - G29558</t>
  </si>
  <si>
    <t>NG669866 - G29420</t>
  </si>
  <si>
    <t>NR299286 - G29397</t>
  </si>
  <si>
    <t>NR300000 - G29398</t>
  </si>
  <si>
    <t>NG644808 - G29568</t>
  </si>
  <si>
    <t>NR298266 - G29396</t>
  </si>
  <si>
    <t>NG605542 - G29458</t>
  </si>
  <si>
    <t>NG606125 - G29563</t>
  </si>
  <si>
    <t>NR299967 - G29440</t>
  </si>
  <si>
    <t>NZ609508 - G29514</t>
  </si>
  <si>
    <t>NG675842 - G29566</t>
  </si>
  <si>
    <t>NG665418 - G29436</t>
  </si>
  <si>
    <t>NG660937 - G29419</t>
  </si>
  <si>
    <t>NG607685 - G29569</t>
  </si>
  <si>
    <t>NG664553 - G29435</t>
  </si>
  <si>
    <t>NZ605050 - G29517</t>
  </si>
  <si>
    <t>NG614170 - G29565</t>
  </si>
  <si>
    <t>NG678733 - G29561</t>
  </si>
  <si>
    <t>NG678787 - G29570</t>
  </si>
  <si>
    <t>NG678789 - G29564</t>
  </si>
  <si>
    <t>NG680167 - G29423</t>
  </si>
  <si>
    <t>NG680215 - G29562</t>
  </si>
  <si>
    <t>NR300363 - G29401</t>
  </si>
  <si>
    <t>NR297986 - G29399</t>
  </si>
  <si>
    <t>NR299053 - G29400</t>
  </si>
  <si>
    <t>PR165285 - G29417</t>
  </si>
  <si>
    <t>PR166274 - G29413</t>
  </si>
  <si>
    <t>PF116765 - G29516</t>
  </si>
  <si>
    <t>PF131563 - G29329</t>
  </si>
  <si>
    <t>PF136009 - G29421</t>
  </si>
  <si>
    <t>PR167917 - G29430</t>
  </si>
  <si>
    <t>PR148784 - G59486</t>
  </si>
  <si>
    <t>10//19</t>
  </si>
  <si>
    <t>POSTING CORRECTED 10/14</t>
  </si>
  <si>
    <t>DELAYED PER BRIAN</t>
  </si>
  <si>
    <t>3800</t>
  </si>
  <si>
    <t>4200</t>
  </si>
  <si>
    <t>4800</t>
  </si>
  <si>
    <t>NG630549 - G29589</t>
  </si>
  <si>
    <t>B29425 - ND161504</t>
  </si>
  <si>
    <t>B29424 - ND161129</t>
  </si>
  <si>
    <t>B29426 - ND160319</t>
  </si>
  <si>
    <t>PZ142306</t>
  </si>
  <si>
    <t xml:space="preserve">PZ141684 </t>
  </si>
  <si>
    <t>PZ140862</t>
  </si>
  <si>
    <t>PJ153318 - B29647</t>
  </si>
  <si>
    <t>PJ152470 - B29637</t>
  </si>
  <si>
    <t>PJ134750 - B29646</t>
  </si>
  <si>
    <t>PZ130851 - G29652</t>
  </si>
  <si>
    <t>NG688563</t>
  </si>
  <si>
    <t>NG689998</t>
  </si>
  <si>
    <t>NG690002</t>
  </si>
  <si>
    <t>NG690006</t>
  </si>
  <si>
    <t>PZ143513</t>
  </si>
  <si>
    <t>PG103991 - G29651</t>
  </si>
  <si>
    <t>PJ142369 - B29648</t>
  </si>
  <si>
    <t>PJ143179 - B29653</t>
  </si>
  <si>
    <t>PG106881</t>
  </si>
  <si>
    <t>PG108080</t>
  </si>
  <si>
    <t>PG108083</t>
  </si>
  <si>
    <t>PJ147817</t>
  </si>
  <si>
    <t>PJ153418 - B29627</t>
  </si>
  <si>
    <t>NG638644</t>
  </si>
  <si>
    <t>NG599322</t>
  </si>
  <si>
    <t>NZ556193</t>
  </si>
  <si>
    <t>NZ643970</t>
  </si>
  <si>
    <t>NG688933</t>
  </si>
  <si>
    <t>NG691665</t>
  </si>
  <si>
    <t>NG605530</t>
  </si>
  <si>
    <t>NR274289</t>
  </si>
  <si>
    <t>NG603520</t>
  </si>
  <si>
    <t>NZ639009 - G29668</t>
  </si>
  <si>
    <t>NG685632</t>
  </si>
  <si>
    <t>NG684285</t>
  </si>
  <si>
    <t>NG680217</t>
  </si>
  <si>
    <t>NF240561</t>
  </si>
  <si>
    <t>NG687868</t>
  </si>
  <si>
    <t>NZ597359 - G29643</t>
  </si>
  <si>
    <t>NZ640025</t>
  </si>
  <si>
    <t>NZ640463</t>
  </si>
  <si>
    <t>PF160372</t>
  </si>
  <si>
    <t>NZ560233</t>
  </si>
  <si>
    <t>NZ562070</t>
  </si>
  <si>
    <t>PF159530 - G29638</t>
  </si>
  <si>
    <t>PF139291</t>
  </si>
  <si>
    <t>NR335738 - G29642</t>
  </si>
  <si>
    <t>PF147304 - G29644</t>
  </si>
  <si>
    <t>NZ562779</t>
  </si>
  <si>
    <t>PF149436 - G29669</t>
  </si>
  <si>
    <t>NB146915 - B29673</t>
  </si>
  <si>
    <t>PJ139802 - B29678</t>
  </si>
  <si>
    <t>ORDER ON HOLDER AT DEALERSHIP</t>
  </si>
  <si>
    <t>ORDER PLACED AT DEALERSHIP</t>
  </si>
  <si>
    <t>ORDER ENTERED INTO SYSTEM</t>
  </si>
  <si>
    <t>ORDER ENTERED VIA WEB</t>
  </si>
  <si>
    <t>ORDER ACCEPTED BY GM</t>
  </si>
  <si>
    <t>ORDER GENERATED TO DEALER</t>
  </si>
  <si>
    <t>ORDER PLACED BY GM PROSPEC ORDER</t>
  </si>
  <si>
    <t>ORDER EDITED BY GM</t>
  </si>
  <si>
    <t>ORDER CHANGED THRU WEB</t>
  </si>
  <si>
    <t>ORDER PREFERENCED, SENT TO PRODUCTION</t>
  </si>
  <si>
    <t>ORDER ACCEPTED BY CONTROL</t>
  </si>
  <si>
    <t>ORDER AVAILABLE TO SEQUENCE</t>
  </si>
  <si>
    <t>ORDER SELECTED, SCHEDULED FOR PRODUCTION</t>
  </si>
  <si>
    <t>ORDER BROADCAST FOR PRODUCTION</t>
  </si>
  <si>
    <t>IMPORT VEHICLE PRODUCED</t>
  </si>
  <si>
    <t>IMPROT VEHICLE SHIPPED FROM PORT OF ORIGIN</t>
  </si>
  <si>
    <t>IMPORT VEHICLE RECEIVED AT PORT OF ENTRY</t>
  </si>
  <si>
    <t>ORDER PRODUCED, VIN AVAILABLE</t>
  </si>
  <si>
    <t>VEHICLE AVAILABLE TO SHIP</t>
  </si>
  <si>
    <t>BAILMENT RELEASED</t>
  </si>
  <si>
    <t>BAILMENT INVOICE</t>
  </si>
  <si>
    <t>VEHICLE INVOICED</t>
  </si>
  <si>
    <t>4B00</t>
  </si>
  <si>
    <t>ORDER BAYED; VEHCILED WAITING ON TRANSPORT</t>
  </si>
  <si>
    <t>ORDER SHIPPED</t>
  </si>
  <si>
    <t>INTERMEDIATE DELIVERY</t>
  </si>
  <si>
    <t>RAIL RAMP UNLOAD</t>
  </si>
  <si>
    <t>DELIVERED</t>
  </si>
  <si>
    <t>3800 - ORDER PRDUCED, VIN AVAILABLE</t>
  </si>
  <si>
    <t>4200 - ORDER SHIPPED</t>
  </si>
  <si>
    <t>4800 - RAIL RAMP UNLOAD</t>
  </si>
  <si>
    <t>S29786 - PH264559</t>
  </si>
  <si>
    <t>S29781 - P3006371</t>
  </si>
  <si>
    <t>S29779 - NH522752</t>
  </si>
  <si>
    <t>S29783 - NH527699</t>
  </si>
  <si>
    <t>S29787 - NH525399</t>
  </si>
  <si>
    <t>S29784 - NH527757</t>
  </si>
  <si>
    <t>S29788 - NH527194</t>
  </si>
  <si>
    <t>S29659 - N3470193</t>
  </si>
  <si>
    <t>S29664 - N3469837</t>
  </si>
  <si>
    <t>S29791 - P3141304</t>
  </si>
  <si>
    <t>S29790 - P3143591</t>
  </si>
  <si>
    <t>S29780 - P3138304</t>
  </si>
  <si>
    <t>S29789 - P3141756</t>
  </si>
  <si>
    <t>S29571 - N3469250</t>
  </si>
  <si>
    <t>S29793 - P3141310</t>
  </si>
  <si>
    <t>S29794 - P3402557</t>
  </si>
  <si>
    <t>S29785 - P3402292</t>
  </si>
  <si>
    <t>S29633 - N3469613</t>
  </si>
  <si>
    <t>S29553 - N3465116</t>
  </si>
  <si>
    <t>S29792 - P3404208</t>
  </si>
  <si>
    <t>PZ141684</t>
  </si>
  <si>
    <t>S29795 - P3400934</t>
  </si>
  <si>
    <t>S29650 - N3470364</t>
  </si>
  <si>
    <t>S29537 - N3465204</t>
  </si>
  <si>
    <t>S29796 - P3404410</t>
  </si>
  <si>
    <t>PJ156831</t>
  </si>
  <si>
    <t>PJ157955</t>
  </si>
  <si>
    <t>PZ152521</t>
  </si>
  <si>
    <t>PZ153696</t>
  </si>
  <si>
    <t>PZ153164</t>
  </si>
  <si>
    <t>PZ154267</t>
  </si>
  <si>
    <t>G29766 - PZ140957</t>
  </si>
  <si>
    <t>G29765 - PZ140972</t>
  </si>
  <si>
    <t>G29641 - PR201770</t>
  </si>
  <si>
    <t>PZ127787</t>
  </si>
  <si>
    <t>N3470193 - S29659</t>
  </si>
  <si>
    <t>S29782 - P3404407</t>
  </si>
  <si>
    <t>N3469837 - S29664</t>
  </si>
  <si>
    <t>N3469250 - S29571</t>
  </si>
  <si>
    <t>N3469613 - S29633</t>
  </si>
  <si>
    <t>N3465116 - S29553</t>
  </si>
  <si>
    <t>N3470364 - S29650</t>
  </si>
  <si>
    <t>N3465204 - S29537</t>
  </si>
  <si>
    <t>N1323398 - G29799</t>
  </si>
  <si>
    <t>PZ145461 - G29826</t>
  </si>
  <si>
    <t>PZ144783 - G29827</t>
  </si>
  <si>
    <t>NG594833 - G29818</t>
  </si>
  <si>
    <t xml:space="preserve">NZ643970 </t>
  </si>
  <si>
    <t>NG597090 - G29819</t>
  </si>
  <si>
    <t>PR207862 - G29850</t>
  </si>
  <si>
    <t>NF240561 - G29838</t>
  </si>
  <si>
    <t>PG140037 - G29801</t>
  </si>
  <si>
    <t>PG128480 - G29823</t>
  </si>
  <si>
    <t>PG128481 - G29814</t>
  </si>
  <si>
    <t>PG127000 - G29820</t>
  </si>
  <si>
    <t>PG140040 - G29821</t>
  </si>
  <si>
    <t>PR202385 - G29640</t>
  </si>
  <si>
    <t>PZ127789 - G29800</t>
  </si>
  <si>
    <t>NZ640463 - G29870</t>
  </si>
  <si>
    <t>NZ562779 - G29816</t>
  </si>
  <si>
    <t>PF116956 - G29843</t>
  </si>
  <si>
    <t>PR167878 - G29822</t>
  </si>
  <si>
    <t>REINVOICED IN NOV, TARA CORRECTED 12/14</t>
  </si>
  <si>
    <t>PAYOFF POSTING ERROR, MG CORRECTED 12/8</t>
  </si>
  <si>
    <t>PZ143513 - G29872</t>
  </si>
  <si>
    <t>DELAYED</t>
  </si>
  <si>
    <t>3800 - ORDER PRODUCED, VIN AVAILABLE</t>
  </si>
  <si>
    <t>1000 - ORDER ON HOLDER AT DEALERSHIP</t>
  </si>
  <si>
    <t>1100 - ORDER PLACED AT DEALERSHIP</t>
  </si>
  <si>
    <t>1101 - ORDER ENTERED INTO SYSTEM</t>
  </si>
  <si>
    <t>1102 - ORDER ENTERED VIA WEB</t>
  </si>
  <si>
    <t>2000 - ORDER ACCEPTED BY GM</t>
  </si>
  <si>
    <t>2001 - ORDER GENERATED TO DEALER</t>
  </si>
  <si>
    <t>2005 - ORDER PLACED BY GM PROSPEC ORDER</t>
  </si>
  <si>
    <t>2030 - ORDER EDITED BY GM</t>
  </si>
  <si>
    <t>2051 - ORDER CHANGED THRU WEB</t>
  </si>
  <si>
    <t>2500 - ORDER PREFERENCED, SENT TO PRODUCTION</t>
  </si>
  <si>
    <t>3000 - ORDER ACCEPTED BY CONTROL</t>
  </si>
  <si>
    <t>3100 - ORDER AVAILABLE TO SEQUENCE</t>
  </si>
  <si>
    <t>3300 - ORDER SELECTED, SCHEDULED FOR PRODUCTION</t>
  </si>
  <si>
    <t>3400 - ORDER BROADCAST FOR PRODUCTION</t>
  </si>
  <si>
    <t>3450 - IMPORT VEHICLE PRODUCED</t>
  </si>
  <si>
    <t>3550 - IMPROT VEHICLE SHIPPED FROM PORT OF ORIGIN</t>
  </si>
  <si>
    <t>3575 - IMPORT VEHICLE RECEIVED AT PORT OF ENTRY</t>
  </si>
  <si>
    <t>4000 - VEHICLE AVAILABLE TO SHIP</t>
  </si>
  <si>
    <t>4104 - BAILMENT INVOICE</t>
  </si>
  <si>
    <t>4106 - BAILMENT RELEASED</t>
  </si>
  <si>
    <t>4150 - VEHICLE INVOICED</t>
  </si>
  <si>
    <t>4B00 - ORDER BAYED; VEHCILED WAITING ON TRANSPORT</t>
  </si>
  <si>
    <t>4300 - INTERMEDIATE DELIVERY</t>
  </si>
  <si>
    <t>5000 - DELIVERED</t>
  </si>
  <si>
    <t>S29992 - PH279655</t>
  </si>
  <si>
    <t>S29991 - N9025215</t>
  </si>
  <si>
    <t>B29828 - PD013765</t>
  </si>
  <si>
    <t>S29974 - PA004683</t>
  </si>
  <si>
    <t>PZ159853</t>
  </si>
  <si>
    <t>G29980 - PR167255</t>
  </si>
  <si>
    <t>G29982 - PR173933</t>
  </si>
  <si>
    <t>PZ132062</t>
  </si>
  <si>
    <t>G29981 - PR176015</t>
  </si>
  <si>
    <t>G29984 - PF208074</t>
  </si>
  <si>
    <t>PZ164263</t>
  </si>
  <si>
    <t>B29837 - PD013730</t>
  </si>
  <si>
    <t>PL155257 - G30013</t>
  </si>
  <si>
    <t>PZ157600 - G30043</t>
  </si>
  <si>
    <t>PZ157717 - G30045</t>
  </si>
  <si>
    <t>PJ188467 - B30005</t>
  </si>
  <si>
    <t>PJ189502 - B30006</t>
  </si>
  <si>
    <t>PJ188831 - B30007</t>
  </si>
  <si>
    <t>PZ153696 - G30044</t>
  </si>
  <si>
    <t>PZ164220 - G29994</t>
  </si>
  <si>
    <t>NZ589606 - G30079</t>
  </si>
  <si>
    <t>PG138710 - G30022</t>
  </si>
  <si>
    <t>PG138598 - G30021</t>
  </si>
  <si>
    <t>PZ127787 - G30081</t>
  </si>
  <si>
    <t>PF188732 - G30068</t>
  </si>
  <si>
    <t>NZ560233 - G30080</t>
  </si>
  <si>
    <t>PR248345 - G30055</t>
  </si>
  <si>
    <t>N1330893 - G30112</t>
  </si>
  <si>
    <t>N1310626 - G30113</t>
  </si>
  <si>
    <t>PG132965 - G30093</t>
  </si>
  <si>
    <t>PG133211 - G30094</t>
  </si>
  <si>
    <t>PG132906 - G30092</t>
  </si>
  <si>
    <t>PG132908 - G30090</t>
  </si>
  <si>
    <t>PG132821 - G30091</t>
  </si>
  <si>
    <t>PF207212 - G30107</t>
  </si>
  <si>
    <t>PER BRIAN DELAYED</t>
  </si>
  <si>
    <t>B30190 - PB053591</t>
  </si>
  <si>
    <t>PD031872</t>
  </si>
  <si>
    <t>PD023424</t>
  </si>
  <si>
    <t>PD019913</t>
  </si>
  <si>
    <t>B30172 - PD047481</t>
  </si>
  <si>
    <t>B30184 - PD021343</t>
  </si>
  <si>
    <t>PD021296</t>
  </si>
  <si>
    <t>PD021339</t>
  </si>
  <si>
    <t>G30188 - PZ175451</t>
  </si>
  <si>
    <t>PJ161547</t>
  </si>
  <si>
    <t>PZ177746</t>
  </si>
  <si>
    <t>PH283869 - S30029</t>
  </si>
  <si>
    <t>PZ141684 - G30211</t>
  </si>
  <si>
    <t>PZ159853 - G30192</t>
  </si>
  <si>
    <t>PG194875 - G30213</t>
  </si>
  <si>
    <t>PR254509 - G30196</t>
  </si>
  <si>
    <t>PF209656 - G30208</t>
  </si>
  <si>
    <t>PR272396 - G30195</t>
  </si>
  <si>
    <t>DEALER TRADE POSTING ERROR MG TO PAYOFF 2/15</t>
  </si>
  <si>
    <t>PZ142306 - G30286</t>
  </si>
  <si>
    <t>PZ140862 - G30274</t>
  </si>
  <si>
    <t>PJ156831 - B30285</t>
  </si>
  <si>
    <t>PF213700 - G30308</t>
  </si>
  <si>
    <t>NZ640025 - G30305</t>
  </si>
  <si>
    <t>PF208409 - G30309</t>
  </si>
  <si>
    <t>S30100 - N8026825</t>
  </si>
  <si>
    <t>S30099 - N8027405</t>
  </si>
  <si>
    <t>B30297 - PD026044</t>
  </si>
  <si>
    <t>B30350 - PJ210272</t>
  </si>
  <si>
    <t>NZ599700</t>
  </si>
  <si>
    <t>PZ211095</t>
  </si>
  <si>
    <t>PZ209215</t>
  </si>
  <si>
    <t>PZ211104</t>
  </si>
  <si>
    <t>PZ206806</t>
  </si>
  <si>
    <t>PZ206823</t>
  </si>
  <si>
    <t>G30346 - PF249102</t>
  </si>
  <si>
    <t>G30370 - PR309286</t>
  </si>
  <si>
    <t>PD031872 - B30377</t>
  </si>
  <si>
    <t>N8026825 - S30100</t>
  </si>
  <si>
    <t>N8027405 - S30099</t>
  </si>
  <si>
    <t>PD023424 - B30398</t>
  </si>
  <si>
    <t>PD019913 - B30397</t>
  </si>
  <si>
    <t>PL162925 - G30362</t>
  </si>
  <si>
    <t>PD021339 - B30399</t>
  </si>
  <si>
    <t>PG220772 - G30376</t>
  </si>
  <si>
    <t>PZ209227 - G30364</t>
  </si>
  <si>
    <t>PZ211033 - G30375</t>
  </si>
  <si>
    <t>PZ203716 - G30365</t>
  </si>
  <si>
    <t>PF241921 - G30363</t>
  </si>
  <si>
    <t>PR300503 - G30372</t>
  </si>
  <si>
    <t>PL161674 - G30361</t>
  </si>
  <si>
    <t>THIS WENT IN AND OUT OF LOANER STATUS PAID OFF IN MARCH</t>
  </si>
  <si>
    <t>PER BRIAN, GM TAKING OUT OF INV</t>
  </si>
  <si>
    <t>S30532 - P3190818</t>
  </si>
  <si>
    <t>PZ201828</t>
  </si>
  <si>
    <t>PL205246</t>
  </si>
  <si>
    <t>B30351 - PD021296</t>
  </si>
  <si>
    <t>P1125122</t>
  </si>
  <si>
    <t>PZ188098</t>
  </si>
  <si>
    <t>P1134006</t>
  </si>
  <si>
    <t>P1134231</t>
  </si>
  <si>
    <t>PZ198195</t>
  </si>
  <si>
    <t>PZ197438</t>
  </si>
  <si>
    <t>PZ197897</t>
  </si>
  <si>
    <t>PG243088</t>
  </si>
  <si>
    <t>G30559 - PG220766</t>
  </si>
  <si>
    <t>G30554 - PG240568</t>
  </si>
  <si>
    <t>G30553 - PG241900</t>
  </si>
  <si>
    <t>G30558 - PG241487</t>
  </si>
  <si>
    <t>G30556 - PG241829</t>
  </si>
  <si>
    <t>PG241308</t>
  </si>
  <si>
    <t>PG232301</t>
  </si>
  <si>
    <t>G30561 - PG216160</t>
  </si>
  <si>
    <t>PG246914</t>
  </si>
  <si>
    <t>PG168401</t>
  </si>
  <si>
    <t>G30557 - PG240492</t>
  </si>
  <si>
    <t>G30555 - PG240504</t>
  </si>
  <si>
    <t>G30560 - PG240481</t>
  </si>
  <si>
    <t>G30550 - PR336595</t>
  </si>
  <si>
    <t>G30551 - PR338037</t>
  </si>
  <si>
    <t>G30552 - PR335533</t>
  </si>
  <si>
    <t>RF106255</t>
  </si>
  <si>
    <t>PR312176</t>
  </si>
  <si>
    <t>PL212150 - G30593</t>
  </si>
  <si>
    <t>PL212286 - G30595</t>
  </si>
  <si>
    <t xml:space="preserve">PZ201221 </t>
  </si>
  <si>
    <t>PL202933 - G30594</t>
  </si>
  <si>
    <t>PZ244916 - G30569</t>
  </si>
  <si>
    <t>PG226608 - G30570</t>
  </si>
  <si>
    <t>PG243827 - G30598</t>
  </si>
  <si>
    <t>PG243602 - G30597</t>
  </si>
  <si>
    <t>PG247516 - G30568</t>
  </si>
  <si>
    <t>PG247519 - G30604</t>
  </si>
  <si>
    <t>PG247515 - G30603</t>
  </si>
  <si>
    <t>PG247443 - G30602</t>
  </si>
  <si>
    <t>PG233760 - G30571</t>
  </si>
  <si>
    <t>PG238533 - G30572</t>
  </si>
  <si>
    <t>PG235859 - G30573</t>
  </si>
  <si>
    <t>PZ209215 - G30600</t>
  </si>
  <si>
    <t>PG247373 - G30567</t>
  </si>
  <si>
    <t>PZ206806 - G30601</t>
  </si>
  <si>
    <t>PZ206823 - G30599</t>
  </si>
  <si>
    <t xml:space="preserve">RF106221 </t>
  </si>
  <si>
    <t>TAKEN OUT OF INV PER BRIAN</t>
  </si>
  <si>
    <t>PG240787 - G30635</t>
  </si>
  <si>
    <t>PB153429</t>
  </si>
  <si>
    <t>PB153445</t>
  </si>
  <si>
    <t>PB153455</t>
  </si>
  <si>
    <t>PB153461</t>
  </si>
  <si>
    <t>PB153820</t>
  </si>
  <si>
    <t>PB153011</t>
  </si>
  <si>
    <t>PB153119</t>
  </si>
  <si>
    <t>PB153282</t>
  </si>
  <si>
    <t>PB153435</t>
  </si>
  <si>
    <t>G30725 - P1163965</t>
  </si>
  <si>
    <t>P1146723</t>
  </si>
  <si>
    <t>PG240625</t>
  </si>
  <si>
    <t>G30722 - PR367404</t>
  </si>
  <si>
    <t>G30723 - PR366058</t>
  </si>
  <si>
    <t>G30724 - PR366459</t>
  </si>
  <si>
    <t>G30710 - PR365174</t>
  </si>
  <si>
    <t>PB152270 - B30751</t>
  </si>
  <si>
    <t>PB152297 - B30773</t>
  </si>
  <si>
    <t>PB154517 - B30780</t>
  </si>
  <si>
    <t>PL244376 - G30753</t>
  </si>
  <si>
    <t>PZ214303 - G30733</t>
  </si>
  <si>
    <t>PD021296 - B30351</t>
  </si>
  <si>
    <t>DID NOT RECEIVE</t>
  </si>
  <si>
    <t>PZ249442 - G30737</t>
  </si>
  <si>
    <t>PZ249533 - G30748</t>
  </si>
  <si>
    <t>PZ247773 - G30736</t>
  </si>
  <si>
    <t>PZ210110 - G30740</t>
  </si>
  <si>
    <t>PZ197897 - G30739</t>
  </si>
  <si>
    <t>PJ242265 - B30741</t>
  </si>
  <si>
    <t>PG232301 - G30779</t>
  </si>
  <si>
    <t>PG248244 - G30738</t>
  </si>
  <si>
    <t>PG248240 - G30750</t>
  </si>
  <si>
    <t>RF125537 - G30734</t>
  </si>
  <si>
    <t>RF108546 - G30775</t>
  </si>
  <si>
    <t>RF125515 - G30744</t>
  </si>
  <si>
    <t>RF128718 - G30745</t>
  </si>
  <si>
    <t>RF106221 - G30769</t>
  </si>
  <si>
    <t>RF106255 - G30735</t>
  </si>
  <si>
    <t>P/O 3/30, RE-FL 4/7</t>
  </si>
  <si>
    <t>REMOVED FROM INV 4/11</t>
  </si>
  <si>
    <t>DELAYED AT PORT IN MEXICO</t>
  </si>
  <si>
    <t>S30947 - R8219395</t>
  </si>
  <si>
    <t>S30939 - R3104710</t>
  </si>
  <si>
    <t>S30940 -R3105300</t>
  </si>
  <si>
    <t>S30941 - R3107120</t>
  </si>
  <si>
    <t>S30931 - R3104222</t>
  </si>
  <si>
    <t>S30942 - R3104966</t>
  </si>
  <si>
    <t>S30943 - R3105071</t>
  </si>
  <si>
    <t>S30932 - R3105063</t>
  </si>
  <si>
    <t>S30946 - P3442414</t>
  </si>
  <si>
    <t>S30945 - P3442440</t>
  </si>
  <si>
    <t>S30938 - PA019363</t>
  </si>
  <si>
    <t>PZ273251</t>
  </si>
  <si>
    <t>RF136995</t>
  </si>
  <si>
    <t>RF142743</t>
  </si>
  <si>
    <t>RF141880</t>
  </si>
  <si>
    <t>RF143283</t>
  </si>
  <si>
    <t>RF141845</t>
  </si>
  <si>
    <t>RF145118</t>
  </si>
  <si>
    <t>PL268046 - G30974</t>
  </si>
  <si>
    <t>PL270452 - G30963</t>
  </si>
  <si>
    <t>PL265217 - G30964</t>
  </si>
  <si>
    <t>P1146723 - G30973</t>
  </si>
  <si>
    <t>PJ262692 - B30972</t>
  </si>
  <si>
    <t>PJ259699 - B30949</t>
  </si>
  <si>
    <t>PR386541 - G30998</t>
  </si>
  <si>
    <t>RF148982 - G30987</t>
  </si>
  <si>
    <t>RF149020 - G30858</t>
  </si>
  <si>
    <t>RF149089 - G30856</t>
  </si>
  <si>
    <t>RF148233 - G30864</t>
  </si>
  <si>
    <t>RF148276 - G30866</t>
  </si>
  <si>
    <t>RF148288 - G30865</t>
  </si>
  <si>
    <t>RF148705 - G30862</t>
  </si>
  <si>
    <t>RF149137 - G30869</t>
  </si>
  <si>
    <t>RF142786 - G30960</t>
  </si>
  <si>
    <t>RF142800 - G30859</t>
  </si>
  <si>
    <t>RF142808 - G30857</t>
  </si>
  <si>
    <t>RF142718 - G30863</t>
  </si>
  <si>
    <t>RF142735 - G30860</t>
  </si>
  <si>
    <t>RF142821 - G30868</t>
  </si>
  <si>
    <t>RF142838 - G30867</t>
  </si>
  <si>
    <t>PZ254779 - G30962</t>
  </si>
  <si>
    <t>RF141809 - G30855</t>
  </si>
  <si>
    <t>RF142883 - G30971</t>
  </si>
  <si>
    <t>RF141830 - G30985</t>
  </si>
  <si>
    <t>RF132859 - G30948</t>
  </si>
  <si>
    <t>PR362792 - G30970</t>
  </si>
  <si>
    <t xml:space="preserve">PB154503 </t>
  </si>
  <si>
    <t>S30944 - R3104703</t>
  </si>
  <si>
    <t>FLOORED AGAIN 4/7</t>
  </si>
  <si>
    <t>ETA 6/19 PER DAVID</t>
  </si>
  <si>
    <t>RF148394 - G30861</t>
  </si>
  <si>
    <t>TARA POSTED BACK INTO INV 6/16</t>
  </si>
  <si>
    <t>P1134006 - G31040</t>
  </si>
  <si>
    <t>PZ269143 - G31015</t>
  </si>
  <si>
    <t>PZ269422 - G31017</t>
  </si>
  <si>
    <t>PZ273378 - G31016</t>
  </si>
  <si>
    <t>RF148920 - G31019</t>
  </si>
  <si>
    <t>RF141872 - G31013</t>
  </si>
  <si>
    <t>PZ261283 - G31018</t>
  </si>
  <si>
    <t>PB154503</t>
  </si>
  <si>
    <t>S31078 - R8231272</t>
  </si>
  <si>
    <t>S31150 - PH478748</t>
  </si>
  <si>
    <t>S31148 - R3705651</t>
  </si>
  <si>
    <t>S31147 - R3705787</t>
  </si>
  <si>
    <t>S31149 - R3706090</t>
  </si>
  <si>
    <t>S31151 - PH484560</t>
  </si>
  <si>
    <t>S31152 - PH484637</t>
  </si>
  <si>
    <t>PZ237247</t>
  </si>
  <si>
    <t>S31144 - R3123952</t>
  </si>
  <si>
    <t>S31145 - P3448823</t>
  </si>
  <si>
    <t>PZ236359</t>
  </si>
  <si>
    <t>PZ236371</t>
  </si>
  <si>
    <t>PZ290257</t>
  </si>
  <si>
    <t>PZ290312</t>
  </si>
  <si>
    <t>PZ290449</t>
  </si>
  <si>
    <t>PJ268367</t>
  </si>
  <si>
    <t>G31140 - P1193137</t>
  </si>
  <si>
    <t>PZ236361</t>
  </si>
  <si>
    <t>S31153 - PA024044</t>
  </si>
  <si>
    <t>RJ101431</t>
  </si>
  <si>
    <t>RJ101156</t>
  </si>
  <si>
    <t>PG253446</t>
  </si>
  <si>
    <t>PG253647</t>
  </si>
  <si>
    <t>PJ267802</t>
  </si>
  <si>
    <t>PG328934</t>
  </si>
  <si>
    <t>PG261413</t>
  </si>
  <si>
    <t>PG260202</t>
  </si>
  <si>
    <t>PG260257</t>
  </si>
  <si>
    <t>PG260265</t>
  </si>
  <si>
    <t>PG261982</t>
  </si>
  <si>
    <t>G31099 - P1195986</t>
  </si>
  <si>
    <t>PZ283635</t>
  </si>
  <si>
    <t>PG254404</t>
  </si>
  <si>
    <t>PG254455</t>
  </si>
  <si>
    <t>PG326159</t>
  </si>
  <si>
    <t>PG326442</t>
  </si>
  <si>
    <t>RF166340</t>
  </si>
  <si>
    <t>RF166356</t>
  </si>
  <si>
    <t>RF166710</t>
  </si>
  <si>
    <t>RF166855</t>
  </si>
  <si>
    <t>RF166680</t>
  </si>
  <si>
    <t>RF174383</t>
  </si>
  <si>
    <t>RF174599</t>
  </si>
  <si>
    <t>RF174680</t>
  </si>
  <si>
    <t>PZ298808</t>
  </si>
  <si>
    <t>RF168299</t>
  </si>
  <si>
    <t>RF168531</t>
  </si>
  <si>
    <t>RF168547</t>
  </si>
  <si>
    <t>RF168551</t>
  </si>
  <si>
    <t>RF168613</t>
  </si>
  <si>
    <t>P1134231 - G31170</t>
  </si>
  <si>
    <t>PZ235806 - G31159</t>
  </si>
  <si>
    <t>PZ235828 - G31157</t>
  </si>
  <si>
    <t>PZ235790 - G31158</t>
  </si>
  <si>
    <t>PG260205</t>
  </si>
  <si>
    <t>RU100247 - G31103</t>
  </si>
  <si>
    <t>INCOMING D/T CORRECTED 7/5</t>
  </si>
  <si>
    <t>ON THE SHOWROOM, NOT FOR SALE, PER DAVID</t>
  </si>
  <si>
    <t>PL267629 - G31190</t>
  </si>
  <si>
    <t>RJ101483 - B31183</t>
  </si>
  <si>
    <t>RF142743 - G31174</t>
  </si>
  <si>
    <t>RF145632 - G31178</t>
  </si>
  <si>
    <t>RF145118 - G31179</t>
  </si>
  <si>
    <t>PZ266627 - G31191</t>
  </si>
  <si>
    <t>P1125415 - G31195</t>
  </si>
  <si>
    <t>R1082 - R8248496</t>
  </si>
  <si>
    <t>R1084 - R8252830</t>
  </si>
  <si>
    <t>R1085 - PH497496</t>
  </si>
  <si>
    <t>R1086 - PH496783</t>
  </si>
  <si>
    <t>R1083 - P9811706</t>
  </si>
  <si>
    <t>R1087 - PH501456</t>
  </si>
  <si>
    <t>R1090 - PH501850</t>
  </si>
  <si>
    <t>R1088 - PH501621</t>
  </si>
  <si>
    <t>R1089 - PH503207</t>
  </si>
  <si>
    <t>RL117525</t>
  </si>
  <si>
    <t>RL117482</t>
  </si>
  <si>
    <t>RJ104654</t>
  </si>
  <si>
    <t>G31229 - PZ331704</t>
  </si>
  <si>
    <t>PZ309761</t>
  </si>
  <si>
    <t>PZ237247 - G31266</t>
  </si>
  <si>
    <t xml:space="preserve">RJ101431 </t>
  </si>
  <si>
    <t>RJ106254 - B31247</t>
  </si>
  <si>
    <t>RJ106303 - B31246</t>
  </si>
  <si>
    <t>RF166855 - G31232</t>
  </si>
  <si>
    <t>RF166680 - G31252</t>
  </si>
  <si>
    <t>RF174599 - G31241</t>
  </si>
  <si>
    <t>RF143283 - G31243</t>
  </si>
  <si>
    <t>RF177223 - G31242</t>
  </si>
  <si>
    <t>PR458597 - G31259</t>
  </si>
  <si>
    <t>RF167199 - G31244</t>
  </si>
  <si>
    <t>R1210 - R3010928</t>
  </si>
  <si>
    <t>R1189 - R3010953</t>
  </si>
  <si>
    <t>R1198 - R3010990</t>
  </si>
  <si>
    <t>R1209 - R3010860</t>
  </si>
  <si>
    <t>R1216 - P9813530</t>
  </si>
  <si>
    <t>R1214 - P9814167</t>
  </si>
  <si>
    <t>R1215 - P9814246</t>
  </si>
  <si>
    <t>R1201 - PH509473</t>
  </si>
  <si>
    <t>R1171 - PH511241</t>
  </si>
  <si>
    <t>R1202 - PH508904</t>
  </si>
  <si>
    <t>R1190 - R3152433</t>
  </si>
  <si>
    <t>R1212 - R3152856</t>
  </si>
  <si>
    <t>R1211 - R3152893</t>
  </si>
  <si>
    <t>R1196 - PH522145</t>
  </si>
  <si>
    <t>R1195 - PH528031</t>
  </si>
  <si>
    <t>R1193 -PH513448</t>
  </si>
  <si>
    <t>R1194 - PH523597</t>
  </si>
  <si>
    <t>R1205 - PH508891</t>
  </si>
  <si>
    <t>R1203 - PH520410</t>
  </si>
  <si>
    <t>R1204 - PH523131</t>
  </si>
  <si>
    <t>R1197 - PH523239</t>
  </si>
  <si>
    <t>R1192 - P3456984</t>
  </si>
  <si>
    <t>R1217 - P9814432</t>
  </si>
  <si>
    <t>R1200 - R3151109</t>
  </si>
  <si>
    <t>R1191 - R3151308</t>
  </si>
  <si>
    <t>R1213 - P3455663</t>
  </si>
  <si>
    <t>R1199 - R3151208</t>
  </si>
  <si>
    <t>RZ104604</t>
  </si>
  <si>
    <t>RJ109028</t>
  </si>
  <si>
    <t>RJ110252</t>
  </si>
  <si>
    <t>P1226016</t>
  </si>
  <si>
    <t>RF208131</t>
  </si>
  <si>
    <t>RF208308</t>
  </si>
  <si>
    <t>RF208455</t>
  </si>
  <si>
    <t>RF217990</t>
  </si>
  <si>
    <t>RF217968</t>
  </si>
  <si>
    <t>RF218073</t>
  </si>
  <si>
    <t>RL114912 - G31329</t>
  </si>
  <si>
    <t>RF209821 - G31341</t>
  </si>
  <si>
    <t>RF209766 - G31342</t>
  </si>
  <si>
    <t>PZ283635 - G31376</t>
  </si>
  <si>
    <t>RF204565 - G31337</t>
  </si>
  <si>
    <t>PR486414 - G31331</t>
  </si>
  <si>
    <t>PZ298808 - G31335</t>
  </si>
  <si>
    <t>RF212172 - G31340</t>
  </si>
  <si>
    <t>PG347114 - G31336</t>
  </si>
  <si>
    <t>RF218142 - G31339</t>
  </si>
  <si>
    <t>PR481127 - G31332</t>
  </si>
  <si>
    <t>PR489165 - G31333</t>
  </si>
  <si>
    <t>PR485815 - G31330</t>
  </si>
  <si>
    <t>R1334 - R8276368</t>
  </si>
  <si>
    <t>R1335 - R8266090</t>
  </si>
  <si>
    <t>R1331 - R3721754</t>
  </si>
  <si>
    <t>R1332 - R3724378</t>
  </si>
  <si>
    <t>R1328 - R3161064</t>
  </si>
  <si>
    <t>R1336 - PH524341</t>
  </si>
  <si>
    <t>R1329 - R3162922</t>
  </si>
  <si>
    <t>R1330 - R3162697</t>
  </si>
  <si>
    <t>R1333 - P3462295</t>
  </si>
  <si>
    <t>RJ112684</t>
  </si>
  <si>
    <t>RJ112768</t>
  </si>
  <si>
    <t>G31432 - RG117998</t>
  </si>
  <si>
    <t>G31447 - RG112089</t>
  </si>
  <si>
    <t>G31445 - RG116706</t>
  </si>
  <si>
    <t>G31444 - RG116812</t>
  </si>
  <si>
    <t>G31433 - RG116814</t>
  </si>
  <si>
    <t>G31442 - RG117169</t>
  </si>
  <si>
    <t>G31440 - RG117260</t>
  </si>
  <si>
    <t>G31434 - RG117449</t>
  </si>
  <si>
    <t>G31441 - RG117452</t>
  </si>
  <si>
    <t>G31443 - RG114340</t>
  </si>
  <si>
    <t>G31446 - RG109265</t>
  </si>
  <si>
    <t>G31448 - RG109268</t>
  </si>
  <si>
    <t>G31451 - RF237705</t>
  </si>
  <si>
    <t>G31437 - RF237765</t>
  </si>
  <si>
    <t>G31452 - RF237780</t>
  </si>
  <si>
    <t>RZ104604 - G31456</t>
  </si>
  <si>
    <t>PG243088 - G31459</t>
  </si>
  <si>
    <t>PG253446 - G31460</t>
  </si>
  <si>
    <t>PG253647 - G31458</t>
  </si>
  <si>
    <t>PG328934 - G31457</t>
  </si>
  <si>
    <t>PG261413 - G31466</t>
  </si>
  <si>
    <t>PG260202 - G31469</t>
  </si>
  <si>
    <t xml:space="preserve">PG260257 </t>
  </si>
  <si>
    <t>PG260265 - G31465</t>
  </si>
  <si>
    <t>PG261982 - G31467</t>
  </si>
  <si>
    <t>PG246914 - G31468</t>
  </si>
  <si>
    <t>PG326159 - G31461</t>
  </si>
  <si>
    <t>PG326442 - G31462</t>
  </si>
  <si>
    <t>PR519039 - G31453</t>
  </si>
  <si>
    <t>PR517070 - G31463</t>
  </si>
  <si>
    <t>PR491330 - G31454</t>
  </si>
  <si>
    <t>4800 DELAYED</t>
  </si>
  <si>
    <t>RB064184</t>
  </si>
  <si>
    <t>R1424 - R3180886</t>
  </si>
  <si>
    <t>R1425 - R3181150</t>
  </si>
  <si>
    <t>R1426 - R3730136</t>
  </si>
  <si>
    <t>R1428 - RH408298</t>
  </si>
  <si>
    <t>R1430 - RH401743</t>
  </si>
  <si>
    <t>R1429 - RH402481</t>
  </si>
  <si>
    <t>R1431 - RH402627</t>
  </si>
  <si>
    <t>R1432 - RH408611</t>
  </si>
  <si>
    <t>R1427 - R3401458</t>
  </si>
  <si>
    <t>G31564 - RG145415</t>
  </si>
  <si>
    <t>G31518 - RG146374</t>
  </si>
  <si>
    <t>G31538 - RG146382</t>
  </si>
  <si>
    <t>G31547 - RG147850</t>
  </si>
  <si>
    <t>G31549 - RG147835</t>
  </si>
  <si>
    <t>G31563 - RG147760</t>
  </si>
  <si>
    <t>G31580 - RZ172599</t>
  </si>
  <si>
    <t>RF260154</t>
  </si>
  <si>
    <t>RF260193</t>
  </si>
  <si>
    <t>RF229295</t>
  </si>
  <si>
    <t>RB017484 - B31623</t>
  </si>
  <si>
    <t>RB017515 - B31609</t>
  </si>
  <si>
    <t>RJ112684 - B31608</t>
  </si>
  <si>
    <t>RJ112768 - B31591</t>
  </si>
  <si>
    <t>RF259645 - G31606</t>
  </si>
  <si>
    <t>RF259621 - G31615</t>
  </si>
  <si>
    <t>RF259247 - G31616</t>
  </si>
  <si>
    <t>R1587 - R3739390</t>
  </si>
  <si>
    <t>R1591 - RH421564</t>
  </si>
  <si>
    <t>R1180 - R3009858</t>
  </si>
  <si>
    <t>R1592 - RH425281</t>
  </si>
  <si>
    <t>R1594 - RH420313</t>
  </si>
  <si>
    <t>R1595 - RH403215</t>
  </si>
  <si>
    <t>R1593 - RH425302</t>
  </si>
  <si>
    <t>R1590 - P9818832</t>
  </si>
  <si>
    <t>R1144 - R3137543</t>
  </si>
  <si>
    <t>R1588 - R3406723</t>
  </si>
  <si>
    <t>R1238 - P3456433</t>
  </si>
  <si>
    <t>B31658 - PD184081</t>
  </si>
  <si>
    <t>B31654 - PD184135</t>
  </si>
  <si>
    <t>B31656 - PD184032</t>
  </si>
  <si>
    <t>B31659 - PD184304</t>
  </si>
  <si>
    <t xml:space="preserve">B31655 - PD184452 </t>
  </si>
  <si>
    <t>B31660 - PD146870</t>
  </si>
  <si>
    <t>R1589 - R3407992</t>
  </si>
  <si>
    <t>R1136 - P3452232</t>
  </si>
  <si>
    <t>B31594 - PD193632</t>
  </si>
  <si>
    <t>B31657 - PD194986</t>
  </si>
  <si>
    <t>G31689 - RG112274</t>
  </si>
  <si>
    <t>G31680 - RG184364</t>
  </si>
  <si>
    <t>G31677 - RG184664</t>
  </si>
  <si>
    <t>G31679 - RG184714</t>
  </si>
  <si>
    <t>G31678 - RG184711</t>
  </si>
  <si>
    <t>G31687 - RG185671</t>
  </si>
  <si>
    <t>G31688 - RG185838</t>
  </si>
  <si>
    <t>RF264673</t>
  </si>
  <si>
    <t>R3009858 - R1180</t>
  </si>
  <si>
    <t>R3137543 - R1144</t>
  </si>
  <si>
    <t>P3456433 - R1238</t>
  </si>
  <si>
    <t>RL149590 - G31690</t>
  </si>
  <si>
    <t>P3452232 - R1136</t>
  </si>
  <si>
    <t>P1260636 - G31693</t>
  </si>
  <si>
    <t>RR101526 - G31694</t>
  </si>
  <si>
    <t>RF281956 - G31721</t>
  </si>
  <si>
    <t>REINVOICED 11/21</t>
  </si>
  <si>
    <t>TARA CORRECTED POSTING 12/13</t>
  </si>
  <si>
    <t>IN MICHIGAN, ON HOLD, NO ETA PER DAVID</t>
  </si>
  <si>
    <t>R1710 - R3747258</t>
  </si>
  <si>
    <t>R1711 - R3747247</t>
  </si>
  <si>
    <t>R1706 - R3215169</t>
  </si>
  <si>
    <t>R1705 - R3215444</t>
  </si>
  <si>
    <t>R1708 - R3215149</t>
  </si>
  <si>
    <t>R1707 - R3215398</t>
  </si>
  <si>
    <t>R1709 - R3215409</t>
  </si>
  <si>
    <t>R1712 - R3412563</t>
  </si>
  <si>
    <t>B31780 - PD220824</t>
  </si>
  <si>
    <t>B31783 - PD220982</t>
  </si>
  <si>
    <t>B31781 - PD220737</t>
  </si>
  <si>
    <t>G31795 - RZ228850</t>
  </si>
  <si>
    <t>B31806 - RJ128233</t>
  </si>
  <si>
    <t>B31797 - RJ127894</t>
  </si>
  <si>
    <t>B31807 - RJ129394</t>
  </si>
  <si>
    <t>RF300807</t>
  </si>
  <si>
    <t>RZ218392 - G31811</t>
  </si>
  <si>
    <t>RZ218390 - G31812</t>
  </si>
  <si>
    <t>R1703 - RH436100</t>
  </si>
  <si>
    <t>PER ZACH DELAYED</t>
  </si>
  <si>
    <t>PER ZACH NO ETA</t>
  </si>
  <si>
    <t>RG184674 - G31834</t>
  </si>
  <si>
    <t>RL239561 - G31842</t>
  </si>
  <si>
    <t>RR132859 - G31838</t>
  </si>
  <si>
    <t>RR135728 - G31839</t>
  </si>
  <si>
    <t>RR135366 - G31841</t>
  </si>
  <si>
    <t>R1688 - R8320606</t>
  </si>
  <si>
    <t>G31882 - RG251025</t>
  </si>
  <si>
    <t>G31884 - RG251180</t>
  </si>
  <si>
    <t>G31883 - RG251182</t>
  </si>
  <si>
    <t>G31881 - RG249232</t>
  </si>
  <si>
    <t>G31880 - RG249847</t>
  </si>
  <si>
    <t>G31876 - RG249984</t>
  </si>
  <si>
    <t>G31877 - RG250171</t>
  </si>
  <si>
    <t>G31878 - RG251022</t>
  </si>
  <si>
    <t>G31879 - RG251027</t>
  </si>
  <si>
    <t>G31875 - RG251273</t>
  </si>
  <si>
    <t>RZ241068</t>
  </si>
  <si>
    <t>G31885 - RF327834</t>
  </si>
  <si>
    <t>RZ240073</t>
  </si>
  <si>
    <t>RZ243064</t>
  </si>
  <si>
    <t>RR157620</t>
  </si>
  <si>
    <t>REINVOICED - TARA CORRECTED POSTING 2/9</t>
  </si>
  <si>
    <t>R8320606 - R1688</t>
  </si>
  <si>
    <t>RF300807 - G31902</t>
  </si>
  <si>
    <t>ETA 2/21 PER CRAWFORD</t>
  </si>
  <si>
    <t>DELAYED PER CRAWFORD</t>
  </si>
  <si>
    <t>R1981 - RH343405</t>
  </si>
  <si>
    <t>RB024107</t>
  </si>
  <si>
    <t>R1982 - RH481532</t>
  </si>
  <si>
    <t>R1983 - RH485301</t>
  </si>
  <si>
    <t>R1984 - RH482233</t>
  </si>
  <si>
    <t>R1985 - RH481177</t>
  </si>
  <si>
    <t>R1979 - R3234579</t>
  </si>
  <si>
    <t>R1978 - R3238525</t>
  </si>
  <si>
    <t>R1115382</t>
  </si>
  <si>
    <t>R1107990</t>
  </si>
  <si>
    <t>R1980 - R3422656</t>
  </si>
  <si>
    <t>R1118018</t>
  </si>
  <si>
    <t>RZ256410</t>
  </si>
  <si>
    <t>RZ261130</t>
  </si>
  <si>
    <t>RZ258171</t>
  </si>
  <si>
    <t>RZ264824</t>
  </si>
  <si>
    <t>RZ262374</t>
  </si>
  <si>
    <t>RZ266090</t>
  </si>
  <si>
    <t>RZ265039</t>
  </si>
  <si>
    <t>RZ265446</t>
  </si>
  <si>
    <t>G31984 - RF344775</t>
  </si>
  <si>
    <t>G31979 - RF347269</t>
  </si>
  <si>
    <t>G32001 - RF347086</t>
  </si>
  <si>
    <t>G31997 - RF347100</t>
  </si>
  <si>
    <t>G31988 - RF347057</t>
  </si>
  <si>
    <t>G32002 - RF349265</t>
  </si>
  <si>
    <t>RG271811</t>
  </si>
  <si>
    <t>RB157833 - B32028</t>
  </si>
  <si>
    <t>RB154572 - B32054</t>
  </si>
  <si>
    <t>RB155572 - B32044</t>
  </si>
  <si>
    <t>RG256831 - G32033</t>
  </si>
  <si>
    <t>RG262822 - G32070</t>
  </si>
  <si>
    <t>RG274645 - G32042</t>
  </si>
  <si>
    <t>RG275622 - G32059</t>
  </si>
  <si>
    <t>RG275624 - G32035</t>
  </si>
  <si>
    <t>RG275628 - G32052</t>
  </si>
  <si>
    <t>RG275687 - G32064</t>
  </si>
  <si>
    <t>RG275688 - G32053</t>
  </si>
  <si>
    <t>RG275690 - G32034</t>
  </si>
  <si>
    <t>RG275698 - G32051</t>
  </si>
  <si>
    <t>RG275773 - G32040</t>
  </si>
  <si>
    <t>RG275358 - G32043</t>
  </si>
  <si>
    <t>RG275402 - G32065</t>
  </si>
  <si>
    <t>RG275492 - G32041</t>
  </si>
  <si>
    <t>RG271051 - G32058</t>
  </si>
  <si>
    <t>RG271055 - G32032</t>
  </si>
  <si>
    <t>RG271172 - G32049</t>
  </si>
  <si>
    <t>RG271182 - G32063</t>
  </si>
  <si>
    <t>RG271813 - G32036</t>
  </si>
  <si>
    <t>RG271816 - G32048</t>
  </si>
  <si>
    <t>RG271533 - G32020</t>
  </si>
  <si>
    <t>RG271547 - G32021</t>
  </si>
  <si>
    <t>RG271807 - G32022</t>
  </si>
  <si>
    <t>RG269855 - G32031</t>
  </si>
  <si>
    <t>RG269857 - G32069</t>
  </si>
  <si>
    <t>RG269255 - G32029</t>
  </si>
  <si>
    <t>RG269260 - G32030</t>
  </si>
  <si>
    <t>RZ261125 - G32024</t>
  </si>
  <si>
    <t>RZ261186 - G32055</t>
  </si>
  <si>
    <t>RZ261190 - G32025</t>
  </si>
  <si>
    <t>RZ261215 - G32026</t>
  </si>
  <si>
    <t>RZ258408 - G32023</t>
  </si>
  <si>
    <t>RZ262177 - G32027</t>
  </si>
  <si>
    <t>RZ262217 - G32047</t>
  </si>
  <si>
    <t>RZ267440 - G32067</t>
  </si>
  <si>
    <t>RZ266224 - G32057</t>
  </si>
  <si>
    <t>RZ266062 - G32056</t>
  </si>
  <si>
    <t>RZ265258 - G32068</t>
  </si>
  <si>
    <t>RF345269 - G32045</t>
  </si>
  <si>
    <t>RB015579</t>
  </si>
  <si>
    <t>RB024611</t>
  </si>
  <si>
    <t>R1139180</t>
  </si>
  <si>
    <t>R1107990 - G32238</t>
  </si>
  <si>
    <t>R2100 - R3425750</t>
  </si>
  <si>
    <t>G32212 - R1153470</t>
  </si>
  <si>
    <t>RZ293737 - G32255</t>
  </si>
  <si>
    <t xml:space="preserve">RA050334 </t>
  </si>
  <si>
    <t>R1118018 - G32239</t>
  </si>
  <si>
    <t>RZ295645 - G32232</t>
  </si>
  <si>
    <t>G32219 - RG305826</t>
  </si>
  <si>
    <t>G32218 - RG297417</t>
  </si>
  <si>
    <t>G32201 - RG314792</t>
  </si>
  <si>
    <t>G32221 - RG319280</t>
  </si>
  <si>
    <t>G32222 - RG298333</t>
  </si>
  <si>
    <t>G32200 - RG314786</t>
  </si>
  <si>
    <t>G32198 - RR224509</t>
  </si>
  <si>
    <t>G32224 - RG319456</t>
  </si>
  <si>
    <t>G32223 - RG319674</t>
  </si>
  <si>
    <t>G32220 - RG319676</t>
  </si>
  <si>
    <t>R1141481</t>
  </si>
  <si>
    <t>G32206 - RZ296996</t>
  </si>
  <si>
    <t>G32217 - RZ297233</t>
  </si>
  <si>
    <t>G32211 - RZ296122</t>
  </si>
  <si>
    <t>RF362660 - G32226</t>
  </si>
  <si>
    <t>G32214 - RF349125</t>
  </si>
  <si>
    <t>RR222160 - G32260</t>
  </si>
  <si>
    <t>AT FIVE STAR FOR AUTOSHOW</t>
  </si>
  <si>
    <t>R2279 - R8359588</t>
  </si>
  <si>
    <t>RB184759</t>
  </si>
  <si>
    <t>RB209981</t>
  </si>
  <si>
    <t>R2281 - R8359605</t>
  </si>
  <si>
    <t>R2275 - R3788041</t>
  </si>
  <si>
    <t>R2284 - R3027101</t>
  </si>
  <si>
    <t>R2277 - R3786484</t>
  </si>
  <si>
    <t>R2282 - R9700893</t>
  </si>
  <si>
    <t>R2286 - R3786697</t>
  </si>
  <si>
    <t>R2276 - R3787821</t>
  </si>
  <si>
    <t>R1814 - R3224908</t>
  </si>
  <si>
    <t>R2278 - R3788146</t>
  </si>
  <si>
    <t>R2289 - RH508273</t>
  </si>
  <si>
    <t>R1908 - RH464085</t>
  </si>
  <si>
    <t>R1906 - RH467080</t>
  </si>
  <si>
    <t>R1789 - RH453207</t>
  </si>
  <si>
    <t>R1799 - RH452603</t>
  </si>
  <si>
    <t>R2274 - R3273997</t>
  </si>
  <si>
    <t>R2290 - RH509373</t>
  </si>
  <si>
    <t>R2291 - RH509465</t>
  </si>
  <si>
    <t>R2055 - R3251371</t>
  </si>
  <si>
    <t>R2285 - R3026747</t>
  </si>
  <si>
    <t>R2072 - R3253614</t>
  </si>
  <si>
    <t>R1831 - R3234453</t>
  </si>
  <si>
    <t>R1931 - R3235676</t>
  </si>
  <si>
    <t>R2065 - R3252152</t>
  </si>
  <si>
    <t>R2287 - R3430857</t>
  </si>
  <si>
    <t>R1870 - R3417575</t>
  </si>
  <si>
    <t>R1842 - R3417660</t>
  </si>
  <si>
    <t>R1829 - R3418050</t>
  </si>
  <si>
    <t>R2288 - R3434021</t>
  </si>
  <si>
    <t>R2292 - RA057997</t>
  </si>
  <si>
    <t>G32377 - RG349642</t>
  </si>
  <si>
    <t>G32376 - RG349945</t>
  </si>
  <si>
    <t>G32375 - RG350199</t>
  </si>
  <si>
    <t>G32374 - RG350208</t>
  </si>
  <si>
    <t>G32379 - RF394146</t>
  </si>
  <si>
    <t>R2280 - R8359568</t>
  </si>
  <si>
    <t>RB186765 - B32451</t>
  </si>
  <si>
    <t>RB191322 - B32382</t>
  </si>
  <si>
    <t>RB203881 - B32436</t>
  </si>
  <si>
    <t>RB040116 - B32395</t>
  </si>
  <si>
    <t>RB207898 - B32398</t>
  </si>
  <si>
    <t>RB208037 - B32397</t>
  </si>
  <si>
    <t>RB210473 - B32453</t>
  </si>
  <si>
    <t>RB024611 - B32470</t>
  </si>
  <si>
    <t>RL318451 - G32383</t>
  </si>
  <si>
    <t>R3224908 - R1814</t>
  </si>
  <si>
    <t>RL322120 - G32390</t>
  </si>
  <si>
    <t>RH464085 - R1908</t>
  </si>
  <si>
    <t>RH467080 - R1906</t>
  </si>
  <si>
    <t>RH453207 - R1789</t>
  </si>
  <si>
    <t>RH452603 - R1799</t>
  </si>
  <si>
    <t>R3251371 - R2055</t>
  </si>
  <si>
    <t>R3225111 - R1775</t>
  </si>
  <si>
    <t>R3253614 - R2072</t>
  </si>
  <si>
    <t>R3234453 - R1831</t>
  </si>
  <si>
    <t>R3235676 - R1931</t>
  </si>
  <si>
    <t>R3252152 - R2065</t>
  </si>
  <si>
    <t>RL316755 - G32384</t>
  </si>
  <si>
    <t>R3417575 - R1870</t>
  </si>
  <si>
    <t>R3417660 - R1842</t>
  </si>
  <si>
    <t>R3418050 - R1829</t>
  </si>
  <si>
    <t>RZ293183 - G32380</t>
  </si>
  <si>
    <t>RZ258171 - G32381</t>
  </si>
  <si>
    <t>RR253613 - G32387</t>
  </si>
  <si>
    <t>RR253570 - G32386</t>
  </si>
  <si>
    <t>RF385866 - G32399</t>
  </si>
  <si>
    <t>RF392356 - G32429</t>
  </si>
  <si>
    <t>RF391354 - G32447</t>
  </si>
  <si>
    <t>RF391468 - G32448</t>
  </si>
  <si>
    <t>RF391515 - G32431</t>
  </si>
  <si>
    <t>RF391975 - G32430</t>
  </si>
  <si>
    <t xml:space="preserve">RF392048 </t>
  </si>
  <si>
    <t>RF392324 - G32449</t>
  </si>
  <si>
    <t>RF387745 - G32434</t>
  </si>
  <si>
    <t>RF393444 - G32446</t>
  </si>
  <si>
    <t>RF393471 - G32450</t>
  </si>
  <si>
    <t>RF388698 - G32400</t>
  </si>
  <si>
    <t>RF388875 - G32401</t>
  </si>
  <si>
    <t>RF389134 - G32465</t>
  </si>
  <si>
    <t>RF264673 - G32435</t>
  </si>
  <si>
    <t>R1775 - R3225111</t>
  </si>
  <si>
    <t>RB203231 - B32452</t>
  </si>
  <si>
    <t>REINVOICED 4/24</t>
  </si>
  <si>
    <t>TARA CORR POSTING IN MAY</t>
  </si>
  <si>
    <t>COURTESY DELIVERY - TARA TOOK OUT OF INV 5/15</t>
  </si>
  <si>
    <t>RB071344</t>
  </si>
  <si>
    <t>RB128813</t>
  </si>
  <si>
    <t>RJ158700</t>
  </si>
  <si>
    <t>RB073271</t>
  </si>
  <si>
    <t>RB073096</t>
  </si>
  <si>
    <t>RB094930</t>
  </si>
  <si>
    <t>RB109621</t>
  </si>
  <si>
    <t>RB115614</t>
  </si>
  <si>
    <t>R2524 - S3106122</t>
  </si>
  <si>
    <t>G32787 - RJ183445</t>
  </si>
  <si>
    <t>RJ153105</t>
  </si>
  <si>
    <t>G32789 - RJ183073</t>
  </si>
  <si>
    <t>G32788 - RJ182425</t>
  </si>
  <si>
    <t>G32791 - RF442622</t>
  </si>
  <si>
    <t>G32792 - RF437430</t>
  </si>
  <si>
    <t>RU113819</t>
  </si>
  <si>
    <t>R8377082 - R2515</t>
  </si>
  <si>
    <t>R8377052 - R2556</t>
  </si>
  <si>
    <t>RH377172 - R2563</t>
  </si>
  <si>
    <t>R3802098 - R2538</t>
  </si>
  <si>
    <t>R3260552 - R2184</t>
  </si>
  <si>
    <t>RL307272 - G32347</t>
  </si>
  <si>
    <t>SH407671 - R2585</t>
  </si>
  <si>
    <t>RL207139 - G31629</t>
  </si>
  <si>
    <t>S3104370 - R2546</t>
  </si>
  <si>
    <t>R3440986 - R2457</t>
  </si>
  <si>
    <t>P3440134 - S30833</t>
  </si>
  <si>
    <t>RA064352 - R2512</t>
  </si>
  <si>
    <t>R3440805 - R2459</t>
  </si>
  <si>
    <t>RJ178066 - G32657</t>
  </si>
  <si>
    <t>RG370858 - G32529</t>
  </si>
  <si>
    <t>RG363854 - G32466</t>
  </si>
  <si>
    <t>RZ363280 - G32825</t>
  </si>
  <si>
    <t>RZ363377 - G32824</t>
  </si>
  <si>
    <t>RG393850 - G32684</t>
  </si>
  <si>
    <t>RG389640 - G32637</t>
  </si>
  <si>
    <t>RR297504 - G32812</t>
  </si>
  <si>
    <t>RG208467 - G31754</t>
  </si>
  <si>
    <t>RZ362622 - G32822</t>
  </si>
  <si>
    <t>RZ363105 - G32823</t>
  </si>
  <si>
    <t>RZ361983 - G32836</t>
  </si>
  <si>
    <t>PAYOFF POSTED 6/28</t>
  </si>
  <si>
    <t>PAID OFF 7/1</t>
  </si>
  <si>
    <t>P3216867 - S30816</t>
  </si>
  <si>
    <t>PAYOFF POSTED 6/30</t>
  </si>
  <si>
    <t>P3216073 - S30781</t>
  </si>
  <si>
    <t>RZ363419 - G32826</t>
  </si>
  <si>
    <t>4150</t>
  </si>
  <si>
    <t>4300</t>
  </si>
  <si>
    <t>RL365567 - G32855</t>
  </si>
  <si>
    <t>COURTESY DELVIERY, CORRECTED 7/17</t>
  </si>
  <si>
    <t>NOT OURS, BENKER IS WORKING WITH SPUR AND WITH REP TO GET THIS CORRECTED</t>
  </si>
  <si>
    <t>RG394060 - G32864</t>
  </si>
  <si>
    <t>R2718 - RH393792</t>
  </si>
  <si>
    <t>R2717 - RH396818</t>
  </si>
  <si>
    <t>R2719 - SH434742</t>
  </si>
  <si>
    <t>R2715 - R3812608</t>
  </si>
  <si>
    <t>R2716 - R3812355</t>
  </si>
  <si>
    <t>R2678 - SH430431</t>
  </si>
  <si>
    <t>R2721 - RA068665</t>
  </si>
  <si>
    <t>G32893 - RG429060</t>
  </si>
  <si>
    <t>RG380494</t>
  </si>
  <si>
    <t>RG401664</t>
  </si>
  <si>
    <t>G32892 - RG429186</t>
  </si>
  <si>
    <t>G32895 - RG431344</t>
  </si>
  <si>
    <t>G32894 - RG431926</t>
  </si>
  <si>
    <t>G32891 - RG409532</t>
  </si>
  <si>
    <t>G32889 - RG433205</t>
  </si>
  <si>
    <t>G32890 - RG433213</t>
  </si>
  <si>
    <t>G32896 - RG418288</t>
  </si>
  <si>
    <t>G32888 - RG428618</t>
  </si>
  <si>
    <t>RF453326</t>
  </si>
  <si>
    <t>RF453388</t>
  </si>
  <si>
    <t>RF453503</t>
  </si>
  <si>
    <t>RF453523</t>
  </si>
  <si>
    <t>RF453745</t>
  </si>
  <si>
    <t>RF453856</t>
  </si>
  <si>
    <t>RF453427</t>
  </si>
  <si>
    <t>RU114360</t>
  </si>
  <si>
    <t>SB024967 - B32928</t>
  </si>
  <si>
    <t>SB024846 - B32931</t>
  </si>
  <si>
    <t>SB027274 - B32930</t>
  </si>
  <si>
    <t>SB024447 - B32929</t>
  </si>
  <si>
    <t>SB024559 - B32932</t>
  </si>
  <si>
    <t>RL380974 - G32944</t>
  </si>
  <si>
    <t>RF453807 - G32900</t>
  </si>
  <si>
    <t>RR345542 - G32934</t>
  </si>
  <si>
    <t>RR345035 - G32933</t>
  </si>
  <si>
    <t>RR345919 - G32935</t>
  </si>
  <si>
    <t xml:space="preserve">RU114312 </t>
  </si>
  <si>
    <t>NOT OURS - BENKER WORKING WITH REP AND MITCHEL GMC</t>
  </si>
  <si>
    <t>R2720 - SH425336</t>
  </si>
  <si>
    <t>RB073096 -B32959</t>
  </si>
  <si>
    <t>SB024807 - B32977</t>
  </si>
  <si>
    <t>SB027016 - B32978</t>
  </si>
  <si>
    <t>SB026480 - B32979</t>
  </si>
  <si>
    <t>SB027209 - B32972</t>
  </si>
  <si>
    <t>SB027354 - B32973</t>
  </si>
  <si>
    <t>RZ376860 - G32958</t>
  </si>
  <si>
    <t>5000 - BENKER THINKS THIS IS ANOTHER HUMMER DELIVERED ELSEWHERE - WAITING TO FIND OUT WHERE</t>
  </si>
  <si>
    <t>R2900 - R8853848</t>
  </si>
  <si>
    <t>B33092 - SB034997</t>
  </si>
  <si>
    <t>B33093 - SB034640</t>
  </si>
  <si>
    <t>B33089 - SB034821</t>
  </si>
  <si>
    <t>B33090 - SB035330</t>
  </si>
  <si>
    <t>R2890 - RH869390</t>
  </si>
  <si>
    <t>SB045340</t>
  </si>
  <si>
    <t>R2901 - RH855157</t>
  </si>
  <si>
    <t>R2889 - R8869003</t>
  </si>
  <si>
    <t>R2891 - SH451273</t>
  </si>
  <si>
    <t>R2474 - S3102261</t>
  </si>
  <si>
    <t>R2898 - S3133212</t>
  </si>
  <si>
    <t>R2477 - R3801847</t>
  </si>
  <si>
    <t>R2478 - R3802318</t>
  </si>
  <si>
    <t>R2899 - S3133469</t>
  </si>
  <si>
    <t>R2313 - R3788149</t>
  </si>
  <si>
    <t>R2320 - R3788185</t>
  </si>
  <si>
    <t>R2892 - SH451395</t>
  </si>
  <si>
    <t>R2893 - SH448348</t>
  </si>
  <si>
    <t>R2466 - SH405969</t>
  </si>
  <si>
    <t>R2895 - SH436562</t>
  </si>
  <si>
    <t>R2894 - SH436700</t>
  </si>
  <si>
    <t>R2903 - SH451250</t>
  </si>
  <si>
    <t>R2897 - SH451315</t>
  </si>
  <si>
    <t>R2902 - SH451367</t>
  </si>
  <si>
    <t>R2431 - R3293829</t>
  </si>
  <si>
    <t>R2896 - SH436496</t>
  </si>
  <si>
    <t>R2904 - SH424908</t>
  </si>
  <si>
    <t>R2458 - R3440961</t>
  </si>
  <si>
    <t>R2906 - RA071315</t>
  </si>
  <si>
    <t>B32962 - RD016953</t>
  </si>
  <si>
    <t>R2905 - RA069913</t>
  </si>
  <si>
    <t>G33100 - SG101417</t>
  </si>
  <si>
    <t>G33098 - SG105487</t>
  </si>
  <si>
    <t>G33097 - SG105477</t>
  </si>
  <si>
    <t>G33099 - SG105574</t>
  </si>
  <si>
    <t>G33081 - SF104609</t>
  </si>
  <si>
    <t>RB094930 - B33123</t>
  </si>
  <si>
    <t>RB115614 - B33127</t>
  </si>
  <si>
    <t>SB045384 - B33126</t>
  </si>
  <si>
    <t>S3102261 - R2474</t>
  </si>
  <si>
    <t>R3801847 - R2477</t>
  </si>
  <si>
    <t>R3802318 - R2478</t>
  </si>
  <si>
    <t>R3788149 - R2313</t>
  </si>
  <si>
    <t>R3788185 - R2320</t>
  </si>
  <si>
    <t>SH405969 - R2466</t>
  </si>
  <si>
    <t>R3293829 - R2431</t>
  </si>
  <si>
    <t>RL382040 - G33133</t>
  </si>
  <si>
    <t>R3440961 - R2458</t>
  </si>
  <si>
    <t>R3434021 - R2288</t>
  </si>
  <si>
    <t>R1250883 - G33132</t>
  </si>
  <si>
    <t>SJ104670 - B33122</t>
  </si>
  <si>
    <t xml:space="preserve">RG401664 </t>
  </si>
  <si>
    <t xml:space="preserve">RZ400798 </t>
  </si>
  <si>
    <t>RF453523 - G33128</t>
  </si>
  <si>
    <t>SF101910 - G33116</t>
  </si>
  <si>
    <t>SF101916 - G33124</t>
  </si>
  <si>
    <t>SF104334 - G33117</t>
  </si>
  <si>
    <t>SF104475 - G33140</t>
  </si>
  <si>
    <t>SF104489 - G33141</t>
  </si>
  <si>
    <t>SF104396 - G33129</t>
  </si>
  <si>
    <t xml:space="preserve">SF104750 </t>
  </si>
  <si>
    <t>REINVOICED 8/23</t>
  </si>
  <si>
    <t>REINVOICED 8/22</t>
  </si>
  <si>
    <t>REINOVICED 8/22</t>
  </si>
  <si>
    <t>G33086 - RR380062</t>
  </si>
  <si>
    <t>HUMMER THAT WENT TO MITCHELL, CHECK RECEIVED 8/30, PAID OFF 9/3, DIFF AMT = HB</t>
  </si>
  <si>
    <t>REINVIOCED 8/22</t>
  </si>
  <si>
    <t>TARA CORRECTED 9/11</t>
  </si>
  <si>
    <t>RL381924 - G33160</t>
  </si>
  <si>
    <t>ALSO AT MITCHELL, REP INVOLVED</t>
  </si>
  <si>
    <t>R3066 - R8879072</t>
  </si>
  <si>
    <t>R3065 - RH862259</t>
  </si>
  <si>
    <t>R3068 - RH862202</t>
  </si>
  <si>
    <t>R3069 - RH871742</t>
  </si>
  <si>
    <t>R3067 - R8879727</t>
  </si>
  <si>
    <t>R2439 - R3028913</t>
  </si>
  <si>
    <t>R3064 - R3831733</t>
  </si>
  <si>
    <t>R2514 - S3104696</t>
  </si>
  <si>
    <t>R2484 - S3103501</t>
  </si>
  <si>
    <t>R3061 - S3008348</t>
  </si>
  <si>
    <t>R2488 - R3801725</t>
  </si>
  <si>
    <t>R2321 - R3788445</t>
  </si>
  <si>
    <t>R2658 - SH407880</t>
  </si>
  <si>
    <t>R2700 - SH430584</t>
  </si>
  <si>
    <t>R2612 - S3111576</t>
  </si>
  <si>
    <t>R2632 - S3111926</t>
  </si>
  <si>
    <t>R3062 - S3151269</t>
  </si>
  <si>
    <t>R3063 - S3152040</t>
  </si>
  <si>
    <t>B33139 - RD013491</t>
  </si>
  <si>
    <t>R2599 - R3445281</t>
  </si>
  <si>
    <t>R2623 - R3445300</t>
  </si>
  <si>
    <t>R2605 - R3445509</t>
  </si>
  <si>
    <t>SJ105447</t>
  </si>
  <si>
    <t>SJ106039</t>
  </si>
  <si>
    <t>SJ105901</t>
  </si>
  <si>
    <t>G33125 - RR307607</t>
  </si>
  <si>
    <t>G33210 - SF137184</t>
  </si>
  <si>
    <t>G33220 - SF137643</t>
  </si>
  <si>
    <t>G33221 - SU106820</t>
  </si>
  <si>
    <t>S3104696 - R2514</t>
  </si>
  <si>
    <t>S3103501 - R2484</t>
  </si>
  <si>
    <t>R3801725 - R2488</t>
  </si>
  <si>
    <t>R3788445 - R2321</t>
  </si>
  <si>
    <t>SH407880 - R2658</t>
  </si>
  <si>
    <t>SH430584 - R2700</t>
  </si>
  <si>
    <t>S3111576 - R2612</t>
  </si>
  <si>
    <t>S3111926 - R2632</t>
  </si>
  <si>
    <t>R3445281 - R2599</t>
  </si>
  <si>
    <t>R3445300 - R2623</t>
  </si>
  <si>
    <t>R1285108 - G33240</t>
  </si>
  <si>
    <t>R1275601 - G33239</t>
  </si>
  <si>
    <t>R3445509 - R2605</t>
  </si>
  <si>
    <t>RJ229470 - G33241</t>
  </si>
  <si>
    <t>RJ228755 - G33245</t>
  </si>
  <si>
    <t>RJ227005 - G33242</t>
  </si>
  <si>
    <t>RJ230120 - G33246</t>
  </si>
  <si>
    <t>SJ105006 - B33270</t>
  </si>
  <si>
    <t>SJ108827 - B33275</t>
  </si>
  <si>
    <t>RJ225957 - G33247</t>
  </si>
  <si>
    <t>RR410755 - G33248</t>
  </si>
  <si>
    <t>RR393462 - G33223</t>
  </si>
  <si>
    <t>RF453856 - G33243</t>
  </si>
  <si>
    <t>SF136257 - G33244</t>
  </si>
  <si>
    <t>RR409856 - G33251</t>
  </si>
  <si>
    <t>RR408394 -G33252</t>
  </si>
  <si>
    <t>R3028913 - R2439</t>
  </si>
  <si>
    <t>REINVOICED SSLP 9/24</t>
  </si>
  <si>
    <t>B33138 - RD013568</t>
  </si>
  <si>
    <t>TARA CORRECTED 10/15</t>
  </si>
  <si>
    <t>5000 @ STATE FAIR</t>
  </si>
  <si>
    <t>NOT FLOORED - DEALER TRADE</t>
  </si>
  <si>
    <t>9/5, TARA CORR. 10/15</t>
  </si>
  <si>
    <t>R3254 - R8865195</t>
  </si>
  <si>
    <t>R3255 - R8896233</t>
  </si>
  <si>
    <t>R3256 - R8868098</t>
  </si>
  <si>
    <t>R3257 - R8896240</t>
  </si>
  <si>
    <t>R3251 - RH896341</t>
  </si>
  <si>
    <t>R3252 - RH896436</t>
  </si>
  <si>
    <t>R3248 - R3840716</t>
  </si>
  <si>
    <t>R2671 - R3810086</t>
  </si>
  <si>
    <t>R2533 - S3105158</t>
  </si>
  <si>
    <t>R3249 - R3840234</t>
  </si>
  <si>
    <t>G33435 - RL399264</t>
  </si>
  <si>
    <t>G33436 - RL399329</t>
  </si>
  <si>
    <t>R2821 - R3815110</t>
  </si>
  <si>
    <t>R2822 - R3815214</t>
  </si>
  <si>
    <t>R3244 - S3010715</t>
  </si>
  <si>
    <t>R3245 - S3010781</t>
  </si>
  <si>
    <t>R3253 - S3165893</t>
  </si>
  <si>
    <t>R2617 - R3808758</t>
  </si>
  <si>
    <t>R2510 - R3802076</t>
  </si>
  <si>
    <t>R2867 - SH437527</t>
  </si>
  <si>
    <t>R3246 - S3166876</t>
  </si>
  <si>
    <t>G33434 - RL401373</t>
  </si>
  <si>
    <t>G33429 - RL402186</t>
  </si>
  <si>
    <t>R3250 - R3465571</t>
  </si>
  <si>
    <t>R2760 - SH426191</t>
  </si>
  <si>
    <t>R2788 - SH427543</t>
  </si>
  <si>
    <t>R2486 - S3101857</t>
  </si>
  <si>
    <t>R2528 - S3105176</t>
  </si>
  <si>
    <t>R3247 - S3167091</t>
  </si>
  <si>
    <t>RD042434</t>
  </si>
  <si>
    <t>RD042531</t>
  </si>
  <si>
    <t>RD042533</t>
  </si>
  <si>
    <t>RD042651</t>
  </si>
  <si>
    <t>RD042992</t>
  </si>
  <si>
    <t>G33450 - SJ114892</t>
  </si>
  <si>
    <t>RD042470</t>
  </si>
  <si>
    <t>RD042585</t>
  </si>
  <si>
    <t>R2639 - R3446541</t>
  </si>
  <si>
    <t>RD042599</t>
  </si>
  <si>
    <t>R2802 - R3451482</t>
  </si>
  <si>
    <t>SJ106822</t>
  </si>
  <si>
    <t>SZ137104</t>
  </si>
  <si>
    <t>SU100134</t>
  </si>
  <si>
    <t>G33437 - SF162173</t>
  </si>
  <si>
    <t>G33449 - SF164509</t>
  </si>
  <si>
    <t>G33448 - SF164708</t>
  </si>
  <si>
    <t>G33405 - SF163314</t>
  </si>
  <si>
    <t>SR114410</t>
  </si>
  <si>
    <t>SU100365</t>
  </si>
  <si>
    <t>RU108098</t>
  </si>
  <si>
    <t>REINVOICED 10/23</t>
  </si>
  <si>
    <t>REINVOICED 10/24</t>
  </si>
  <si>
    <t>RD042567</t>
  </si>
  <si>
    <t>RU105483</t>
  </si>
  <si>
    <t>S3105158 - R2533</t>
  </si>
  <si>
    <t>R3810086 - R2671</t>
  </si>
  <si>
    <t>R3815110 - R2821</t>
  </si>
  <si>
    <t>R3815214 - R2822</t>
  </si>
  <si>
    <t>R3808758 - R2617</t>
  </si>
  <si>
    <t>R3802076 - R2510</t>
  </si>
  <si>
    <t>SH437527 - R2867</t>
  </si>
  <si>
    <t>SH436562 - R2895</t>
  </si>
  <si>
    <t>SH426191 - R2760</t>
  </si>
  <si>
    <t>SH427543 - R2788</t>
  </si>
  <si>
    <t>S3101857 - R2486</t>
  </si>
  <si>
    <t>S3105176 - R2528</t>
  </si>
  <si>
    <t>R3446541 - R2639</t>
  </si>
  <si>
    <t>R3451482 - R2802</t>
  </si>
  <si>
    <t>SZ138374 - G33497</t>
  </si>
  <si>
    <t>SZ138311 - G33500</t>
  </si>
  <si>
    <t>SZ138611 - G33498</t>
  </si>
  <si>
    <t>SZ140029 - G33512</t>
  </si>
  <si>
    <t>SZ140152 - G33499</t>
  </si>
  <si>
    <t>SZ140162 - G33534</t>
  </si>
  <si>
    <t>SZ140198 - G33513</t>
  </si>
  <si>
    <t>SZ140205 - G33514</t>
  </si>
  <si>
    <t>SZ140295 - G33511</t>
  </si>
  <si>
    <t>SG157401 - G33480</t>
  </si>
  <si>
    <t>SZ139036 - G33535</t>
  </si>
  <si>
    <t>SZ140184 - G33515</t>
  </si>
  <si>
    <t>SZ138820 - G33536</t>
  </si>
  <si>
    <t>SZ138089 - G33600</t>
  </si>
  <si>
    <t>SJ106730</t>
  </si>
  <si>
    <t>SZ137055 - G33598</t>
  </si>
  <si>
    <t>SU109426 - G33584</t>
  </si>
  <si>
    <t>SU109430 - G33587</t>
  </si>
  <si>
    <t>TK CORR POSTING</t>
  </si>
  <si>
    <t>TK CORR POSTING 11/14</t>
  </si>
  <si>
    <t>EVENT UNIT</t>
  </si>
  <si>
    <t xml:space="preserve">4155 - ADJUSTMENT INVOICE </t>
  </si>
  <si>
    <t>R3404 - R8905559</t>
  </si>
  <si>
    <t>R3405 - RH905839</t>
  </si>
  <si>
    <t>R3401 - S3702565</t>
  </si>
  <si>
    <t>R3407 - SH492818</t>
  </si>
  <si>
    <t>R3406 - SH493085</t>
  </si>
  <si>
    <t>SL191715</t>
  </si>
  <si>
    <t>SL192403</t>
  </si>
  <si>
    <t>SL192447</t>
  </si>
  <si>
    <t>R3402 - S3702540</t>
  </si>
  <si>
    <t>R3403 - S3705277</t>
  </si>
  <si>
    <t>R3408 - SH482978</t>
  </si>
  <si>
    <t>RD042886</t>
  </si>
  <si>
    <t>B33669 - SD011209</t>
  </si>
  <si>
    <t>B33668 - SD011057</t>
  </si>
  <si>
    <t>SJ128439</t>
  </si>
  <si>
    <t>SJ119735</t>
  </si>
  <si>
    <t>SZ162950</t>
  </si>
  <si>
    <t>G33684 - SG196777</t>
  </si>
  <si>
    <t>G33679 - SG197033</t>
  </si>
  <si>
    <t>G33680 - SG197136</t>
  </si>
  <si>
    <t>G33685 - SG197485</t>
  </si>
  <si>
    <t>G33678 - SG168898</t>
  </si>
  <si>
    <t>SJ135571</t>
  </si>
  <si>
    <t>G33681 - SH199739</t>
  </si>
  <si>
    <t>G33686 - SG199845</t>
  </si>
  <si>
    <t>G33687 - SG199846</t>
  </si>
  <si>
    <t>SZ161805</t>
  </si>
  <si>
    <t>SR129407</t>
  </si>
  <si>
    <t>SR128555</t>
  </si>
  <si>
    <t>SR130621</t>
  </si>
  <si>
    <t>SR130957</t>
  </si>
  <si>
    <t>SR132392</t>
  </si>
  <si>
    <t>SR131027</t>
  </si>
  <si>
    <t>SR129732</t>
  </si>
  <si>
    <t>SR131791</t>
  </si>
  <si>
    <t>SR132226</t>
  </si>
  <si>
    <t>SR131307</t>
  </si>
  <si>
    <t>SR126996</t>
  </si>
  <si>
    <t>SR130185</t>
  </si>
  <si>
    <t>SF169980</t>
  </si>
  <si>
    <t>G33674 - SU111597</t>
  </si>
  <si>
    <t>RU401510</t>
  </si>
  <si>
    <t>G33682 - SG158089</t>
  </si>
  <si>
    <t>SB094893 - B33695</t>
  </si>
  <si>
    <t>SB093568 - B33701</t>
  </si>
  <si>
    <t>SB093632 - B33702</t>
  </si>
  <si>
    <t>RL401160 - G33689</t>
  </si>
  <si>
    <t>SJ134595 - G33698</t>
  </si>
  <si>
    <t>SJ134499 - G33699</t>
  </si>
  <si>
    <t>SZ163036 - G33696</t>
  </si>
  <si>
    <t xml:space="preserve">SJ106730 </t>
  </si>
  <si>
    <t>SF170688 - G33575</t>
  </si>
  <si>
    <t>SF170624 - G33697</t>
  </si>
  <si>
    <t>SR147668 - G33690</t>
  </si>
  <si>
    <t>SR125855 - G33692</t>
  </si>
  <si>
    <t>SR147606 - G33691</t>
  </si>
  <si>
    <t>RU105483 - G33700</t>
  </si>
  <si>
    <t>G33683 - SG196473</t>
  </si>
  <si>
    <t>G33644 - SU111090</t>
  </si>
  <si>
    <t>AT A SHOW</t>
  </si>
  <si>
    <t>SB133604</t>
  </si>
  <si>
    <t>R3422 - RH525637</t>
  </si>
  <si>
    <t>R3560 - S9700479</t>
  </si>
  <si>
    <t>G33846 - S1126422</t>
  </si>
  <si>
    <t>B33843 - SJ162814</t>
  </si>
  <si>
    <t>B33826 - SJ163239</t>
  </si>
  <si>
    <t>B33842 - SJ164515</t>
  </si>
  <si>
    <t>G33832 - SG199729</t>
  </si>
  <si>
    <t>G33831 - SG226450</t>
  </si>
  <si>
    <t>G33833 - SG227585</t>
  </si>
  <si>
    <t>G33829 - SG226231</t>
  </si>
  <si>
    <t>G33823 - SF204982</t>
  </si>
  <si>
    <t>RU401518</t>
  </si>
  <si>
    <t>SB115106 - B33877</t>
  </si>
  <si>
    <t>SB114786 - B33884</t>
  </si>
  <si>
    <t>SZ165641 - G33882</t>
  </si>
  <si>
    <t>SJ135571 - B33885</t>
  </si>
  <si>
    <t>SZ161805 - G33883</t>
  </si>
  <si>
    <t>SR129407 - G33870</t>
  </si>
  <si>
    <t>SR128555 - G33871</t>
  </si>
  <si>
    <t>SR158203 - G33872</t>
  </si>
  <si>
    <t>SF199469 - G33876</t>
  </si>
  <si>
    <t>SF199479 - G33848</t>
  </si>
  <si>
    <t>SF199491 - G33849</t>
  </si>
  <si>
    <t>SU406258 - G33851</t>
  </si>
  <si>
    <t>RU401510 - G33852</t>
  </si>
  <si>
    <t>G33830 - SG218371</t>
  </si>
  <si>
    <t>AT EVENT</t>
  </si>
  <si>
    <t>SU111539 - G33888</t>
  </si>
  <si>
    <t>SL183665 - G33901</t>
  </si>
  <si>
    <t>SG217861 - G33902</t>
  </si>
  <si>
    <t>SL216548 - G33894</t>
  </si>
  <si>
    <t>SZ163070 - G33896</t>
  </si>
  <si>
    <t>SR130621 - G33892</t>
  </si>
  <si>
    <t>SU405573 - G33895</t>
  </si>
  <si>
    <t>RD042434 - B33904</t>
  </si>
  <si>
    <t>RD042531 - B33903</t>
  </si>
  <si>
    <t>RD042567 - B33905</t>
  </si>
  <si>
    <t>R3574 - S3014716</t>
  </si>
  <si>
    <t>R3593 - SH511591</t>
  </si>
  <si>
    <t>B33916 - SD031603</t>
  </si>
  <si>
    <t>B33917 - SD031862</t>
  </si>
  <si>
    <t>B33922 - SD031815</t>
  </si>
  <si>
    <t>B33919 - SD032114</t>
  </si>
  <si>
    <t>B33923 - SD031684</t>
  </si>
  <si>
    <t>B33926 - SD031567</t>
  </si>
  <si>
    <t>B33925 - SD031601</t>
  </si>
  <si>
    <t>B33924 - SD031708</t>
  </si>
  <si>
    <t>B33915 - SD017817</t>
  </si>
  <si>
    <t>B33921 - SD018536</t>
  </si>
  <si>
    <t>B33927 - SD032090</t>
  </si>
  <si>
    <t>B33914 - SD031849</t>
  </si>
  <si>
    <t>B33918 - SD018549</t>
  </si>
  <si>
    <t>B33920 - SD018372</t>
  </si>
  <si>
    <t>G33976 - SF217584</t>
  </si>
  <si>
    <t>G33980 - SF217733</t>
  </si>
  <si>
    <t>G33979 - SF217784</t>
  </si>
  <si>
    <t>G34008 - SF217923</t>
  </si>
  <si>
    <t>G34009 - SF217931</t>
  </si>
  <si>
    <t>G33978 - SF217634</t>
  </si>
  <si>
    <t>G33977 - SF217840</t>
  </si>
  <si>
    <t>SB138461 - B34039</t>
  </si>
  <si>
    <t>SB125743 - B34041</t>
  </si>
  <si>
    <t>SB137658 - B34040</t>
  </si>
  <si>
    <t>RD042470 - B34037</t>
  </si>
  <si>
    <t>RD042585 - B34029</t>
  </si>
  <si>
    <t>RD042599 - B34028</t>
  </si>
  <si>
    <t xml:space="preserve">RJ158700 </t>
  </si>
  <si>
    <t>SJ105447 - B34055</t>
  </si>
  <si>
    <t>SJ106039 - B34054</t>
  </si>
  <si>
    <t>SJ105901 - B34032</t>
  </si>
  <si>
    <t>SZ190305 - G34042</t>
  </si>
  <si>
    <t>SJ106822 - B34030</t>
  </si>
  <si>
    <t>SU100134 - G34046</t>
  </si>
  <si>
    <t>SR186723 - G34017</t>
  </si>
  <si>
    <t>SU100365 - G34045</t>
  </si>
  <si>
    <t>G33968 - RU401521</t>
  </si>
  <si>
    <t>EVENT CAR - DAVID CALLING</t>
  </si>
  <si>
    <t>COURTESY DEL., TAKEN OUT OF INV 2/17</t>
  </si>
  <si>
    <t>DAMAGED ON DELIVERY, TOTAL LOSS</t>
  </si>
  <si>
    <t>R3184 - R8888300</t>
  </si>
  <si>
    <t>SB166951</t>
  </si>
  <si>
    <t>SB167735</t>
  </si>
  <si>
    <t>SB166888</t>
  </si>
  <si>
    <t>SB157966</t>
  </si>
  <si>
    <t>SB167145</t>
  </si>
  <si>
    <t>SB167468</t>
  </si>
  <si>
    <t>R3331 - R8868788</t>
  </si>
  <si>
    <t>R3293 - R8870596</t>
  </si>
  <si>
    <t>R3292 - R8872145</t>
  </si>
  <si>
    <t>R3213 - S3010724</t>
  </si>
  <si>
    <t>SB167156</t>
  </si>
  <si>
    <t>R3238 - R3840251</t>
  </si>
  <si>
    <t>R3235 - S3166840</t>
  </si>
  <si>
    <t>R3297 - S3172190</t>
  </si>
  <si>
    <t>REMOVED FROM IN 3/11</t>
  </si>
  <si>
    <t>DAMAGE ON DELIVERY, NOT FLOORED</t>
  </si>
  <si>
    <t>R8888300 - R3184</t>
  </si>
  <si>
    <t>R8868788 - R3331</t>
  </si>
  <si>
    <t>R8870596 - R3293</t>
  </si>
  <si>
    <t>R8872145 - R3292</t>
  </si>
  <si>
    <t>S3010724 - R3213</t>
  </si>
  <si>
    <t>R3840251 - R3238</t>
  </si>
  <si>
    <t>S3166840 - R3235</t>
  </si>
  <si>
    <t>S3166876 - R3246</t>
  </si>
  <si>
    <t>S3166884 - R3261</t>
  </si>
  <si>
    <t>R3261 - S3166884</t>
  </si>
  <si>
    <t>SB169695 - B34162</t>
  </si>
  <si>
    <t>SB169373 - B34155</t>
  </si>
  <si>
    <t>S3172190 - R3297</t>
  </si>
  <si>
    <t>SB166906 - B34201</t>
  </si>
  <si>
    <t xml:space="preserve">SB133872 </t>
  </si>
  <si>
    <t>SJ194130 - G34153</t>
  </si>
  <si>
    <t>SJ193215 - B34144</t>
  </si>
  <si>
    <t>SJ192516 - B34154</t>
  </si>
  <si>
    <t>SH192840 - B34143</t>
  </si>
  <si>
    <t>S1150347 - G34203</t>
  </si>
  <si>
    <t>SJ196717 - G34195</t>
  </si>
  <si>
    <t>SJ196966 - G34157</t>
  </si>
  <si>
    <t>SJ196799 - G34158</t>
  </si>
  <si>
    <t>SJ197579 - G34202</t>
  </si>
  <si>
    <t>SJ106730 - B34200</t>
  </si>
  <si>
    <t>SR209661 - G34194</t>
  </si>
  <si>
    <t>SF227624 - G34148</t>
  </si>
  <si>
    <t>SF227667 - G34147</t>
  </si>
  <si>
    <t xml:space="preserve">SB167657 </t>
  </si>
  <si>
    <t>REINV SSLP TK CORR 3/17</t>
  </si>
  <si>
    <t>TK CORR 3/17</t>
  </si>
  <si>
    <t>RD042533 - B34208</t>
  </si>
  <si>
    <t>RD042651 - B34207</t>
  </si>
  <si>
    <t>RD042886 - B34206</t>
  </si>
  <si>
    <t>RD042992 - B34209</t>
  </si>
  <si>
    <t>Brian spoke w/ Rep - she is escalating to supervisor</t>
  </si>
  <si>
    <t>R3857 - S3418621</t>
  </si>
  <si>
    <t>SZ240189</t>
  </si>
  <si>
    <t>SG274309</t>
  </si>
  <si>
    <t>SG287034</t>
  </si>
  <si>
    <t>SR240947</t>
  </si>
  <si>
    <t>SB167735 - B34322</t>
  </si>
  <si>
    <t>SB167156 - B34319</t>
  </si>
  <si>
    <t>SB188835 - B34321</t>
  </si>
  <si>
    <t>SB192243 - B34320</t>
  </si>
  <si>
    <t>SG284933 - G34299</t>
  </si>
  <si>
    <t>SZ239930 - G34325</t>
  </si>
  <si>
    <t>SJ221289 - G34326</t>
  </si>
  <si>
    <t>SG273591 - G34300</t>
  </si>
  <si>
    <t>SG274594 - G34306</t>
  </si>
  <si>
    <t>SG274600 - G34302</t>
  </si>
  <si>
    <t>SG275269 - G34301</t>
  </si>
  <si>
    <t>SG227587 - G34303</t>
  </si>
  <si>
    <t>SG275351 - G34304</t>
  </si>
  <si>
    <t>SG287028 - G34308</t>
  </si>
  <si>
    <t>SG287038 - G34307</t>
  </si>
  <si>
    <t>SF248754 - G34323</t>
  </si>
  <si>
    <t>SR256242 - G34309</t>
  </si>
  <si>
    <t>SZ243429 - G34324</t>
  </si>
  <si>
    <t>SR251842 - G34310</t>
  </si>
  <si>
    <t>SR256922 - G34311</t>
  </si>
  <si>
    <t>SR255281 - G34317</t>
  </si>
  <si>
    <t>SR252663 - G34305</t>
  </si>
  <si>
    <t>NOT FLOORED - COURTESY DELIVERY, TARA TOOK OUT OF INV 4/8</t>
  </si>
  <si>
    <t>SB157966 - B34338</t>
  </si>
  <si>
    <t>SB189630 - B34341</t>
  </si>
  <si>
    <t>SB161310 - B34340</t>
  </si>
  <si>
    <t>SB190983 - B34339</t>
  </si>
  <si>
    <t>SZ246163 - G34333</t>
  </si>
  <si>
    <t>SZ246170 - G34334</t>
  </si>
  <si>
    <t>SZ246251 - G34330</t>
  </si>
  <si>
    <t>SZ246262 - G34331</t>
  </si>
  <si>
    <t>SZ247415 - G34332</t>
  </si>
  <si>
    <t>SZ248713 - G34335</t>
  </si>
  <si>
    <t>SF257344 - G34336</t>
  </si>
  <si>
    <t>SU115569 - G34329</t>
  </si>
  <si>
    <t>SB166951 - B34352</t>
  </si>
  <si>
    <t>SG284775 - G34357</t>
  </si>
  <si>
    <t>SJ221963 - G34342</t>
  </si>
  <si>
    <t>SZ246715 - G34348</t>
  </si>
  <si>
    <t>SZ246861 - G34349</t>
  </si>
  <si>
    <t>SZ247478 - G34346</t>
  </si>
  <si>
    <t>R3939 - SH255672</t>
  </si>
  <si>
    <t>R3941 - S8257288</t>
  </si>
  <si>
    <t>R3938 - S8250261</t>
  </si>
  <si>
    <t>R3940 - SH248565</t>
  </si>
  <si>
    <t>R3943 - SH404613</t>
  </si>
  <si>
    <t>R3942 - SH404664</t>
  </si>
  <si>
    <t>R3945 - SH406157</t>
  </si>
  <si>
    <t>R3944 - SH400245</t>
  </si>
  <si>
    <t>R3946 - SH406116</t>
  </si>
  <si>
    <t>SG317308</t>
  </si>
  <si>
    <t>SZ261387</t>
  </si>
  <si>
    <t>SZ259130</t>
  </si>
  <si>
    <t>SG304925</t>
  </si>
  <si>
    <t>SG305421</t>
  </si>
  <si>
    <t>SG304617</t>
  </si>
  <si>
    <t>SG305077</t>
  </si>
  <si>
    <t>SG291790</t>
  </si>
  <si>
    <t>SG313752</t>
  </si>
  <si>
    <t>SG313761</t>
  </si>
  <si>
    <t>SG313766</t>
  </si>
  <si>
    <t>SG272235</t>
  </si>
  <si>
    <t>SG301657</t>
  </si>
  <si>
    <t>SG321832</t>
  </si>
  <si>
    <t>SB210319 - B34507</t>
  </si>
  <si>
    <t>SB210357 - B34509</t>
  </si>
  <si>
    <t>SB210466 - B34508</t>
  </si>
  <si>
    <t>SZ261097 - G34476</t>
  </si>
  <si>
    <t>SZ261345 - G34529</t>
  </si>
  <si>
    <t>SZ261625 - G34505</t>
  </si>
  <si>
    <t>SZ259136 - G34534</t>
  </si>
  <si>
    <t>SZ259218 - G34502</t>
  </si>
  <si>
    <t>SZ260805 - G34479</t>
  </si>
  <si>
    <t>SZ260875 - G34478</t>
  </si>
  <si>
    <t>SZ260890 - G34477</t>
  </si>
  <si>
    <t>SZ261087 - G34533</t>
  </si>
  <si>
    <t>SZ261499 - G34498</t>
  </si>
  <si>
    <t>SG302925 - G34491</t>
  </si>
  <si>
    <t>SG303006 - G34484</t>
  </si>
  <si>
    <t>SG303054 - G34492</t>
  </si>
  <si>
    <t>SG303213 - G34481</t>
  </si>
  <si>
    <t>SG303671 - G34524</t>
  </si>
  <si>
    <t>SG304536 - G34490</t>
  </si>
  <si>
    <t>SG305237 - G34523</t>
  </si>
  <si>
    <t>SG305239 - G34514</t>
  </si>
  <si>
    <t>SG305423 - G34517</t>
  </si>
  <si>
    <t>SG305702 - G34558</t>
  </si>
  <si>
    <t>SG305773 - G34559</t>
  </si>
  <si>
    <t>SG305783 - G34489</t>
  </si>
  <si>
    <t>SZ261831 - G34551</t>
  </si>
  <si>
    <t>SZ262054 - G34480</t>
  </si>
  <si>
    <t>SG305557 - G34506</t>
  </si>
  <si>
    <t>SG305867 - G34556</t>
  </si>
  <si>
    <t>SG305915 - G34521</t>
  </si>
  <si>
    <t>SG305920 - G34542</t>
  </si>
  <si>
    <t>SZ260042 - G34535</t>
  </si>
  <si>
    <t>SZ260120 - G34550</t>
  </si>
  <si>
    <t>SZ260131 - G34536</t>
  </si>
  <si>
    <t>SZ261805 - G34499</t>
  </si>
  <si>
    <t>SZ261821 - G34552</t>
  </si>
  <si>
    <t>SZ261842 - G34553</t>
  </si>
  <si>
    <t>SG320117 - G34510</t>
  </si>
  <si>
    <t>SG320189 - G34522</t>
  </si>
  <si>
    <t>SG320190 - G34530</t>
  </si>
  <si>
    <t>SG304542 - G34482</t>
  </si>
  <si>
    <t>SG304604 - G34515</t>
  </si>
  <si>
    <t>SG304607 - G34557</t>
  </si>
  <si>
    <t>SG304608 - G34503</t>
  </si>
  <si>
    <t>SG304621 - G34488</t>
  </si>
  <si>
    <t>SG304696 - G34495</t>
  </si>
  <si>
    <t>SG304704 - G34555</t>
  </si>
  <si>
    <t>SG304707 - G34483</t>
  </si>
  <si>
    <t>SG304710 - G34526</t>
  </si>
  <si>
    <t>SG304713 - G34520</t>
  </si>
  <si>
    <t>SG304715 - G34486</t>
  </si>
  <si>
    <t>SG304720 - G34504</t>
  </si>
  <si>
    <t>SG304816 - G34537</t>
  </si>
  <si>
    <t>SG305079 - G34501</t>
  </si>
  <si>
    <t>SG305082 - G34540</t>
  </si>
  <si>
    <t>SG321943 - G34518</t>
  </si>
  <si>
    <t>SG321944 - G34500</t>
  </si>
  <si>
    <t>SG313702 - G34513</t>
  </si>
  <si>
    <t>SG313757 - G34519</t>
  </si>
  <si>
    <t>SZ272644 - G34546</t>
  </si>
  <si>
    <t>SG308808 - G34511</t>
  </si>
  <si>
    <t>SG308796 - G34494</t>
  </si>
  <si>
    <t>SG308802 - G34516</t>
  </si>
  <si>
    <t>SZ271723 - G34547</t>
  </si>
  <si>
    <t>SZ271999 - G34548</t>
  </si>
  <si>
    <t>SG297722 - G34493</t>
  </si>
  <si>
    <t>SZ261484 - G34545</t>
  </si>
  <si>
    <t>SG321726 - G34497</t>
  </si>
  <si>
    <t>SG309982 - G34512</t>
  </si>
  <si>
    <t>SG309986 - G34525</t>
  </si>
  <si>
    <t>SG311585 - G34538</t>
  </si>
  <si>
    <t>SF278248 - G34531</t>
  </si>
  <si>
    <t>SZ265383 - G34544</t>
  </si>
  <si>
    <t>SF284291 - G34549</t>
  </si>
  <si>
    <t>SF278757 - G34543</t>
  </si>
  <si>
    <t>SR287569 - G34485</t>
  </si>
  <si>
    <t>SF287753 - G34496</t>
  </si>
  <si>
    <t>SU410199 - G34475</t>
  </si>
  <si>
    <t>SR286620 - G34528</t>
  </si>
  <si>
    <t>SR287561 - G34487</t>
  </si>
  <si>
    <t>SR288960 - G34539</t>
  </si>
  <si>
    <t>SG301496 - G34532</t>
  </si>
  <si>
    <t xml:space="preserve">SG287026 </t>
  </si>
  <si>
    <t>SG303327 - G34560</t>
  </si>
  <si>
    <t>SG304934 - G34566</t>
  </si>
  <si>
    <t>SG305684 - G34567</t>
  </si>
  <si>
    <t>SG305695 - G34562</t>
  </si>
  <si>
    <t>SG305789 - G34564</t>
  </si>
  <si>
    <t>SG305124 - G34563</t>
  </si>
  <si>
    <t>SZ261470 - G34570</t>
  </si>
  <si>
    <t>SZ259375 - G34569</t>
  </si>
  <si>
    <t>SZ260842 - G34568</t>
  </si>
  <si>
    <t>SG304814 - G34579</t>
  </si>
  <si>
    <t>SG305075 - G34576</t>
  </si>
  <si>
    <t>SG321939 - G34577</t>
  </si>
  <si>
    <t>SG321940 - G34578</t>
  </si>
  <si>
    <t>SU411480 - G34571</t>
  </si>
  <si>
    <t>TL103457 - G34636</t>
  </si>
  <si>
    <t>TL104262 - G34609</t>
  </si>
  <si>
    <t>SG316244 - G34581</t>
  </si>
  <si>
    <t>SZ260918 - G34590</t>
  </si>
  <si>
    <t>SZ261017 - G34670</t>
  </si>
  <si>
    <t>SZ261028 - G34591</t>
  </si>
  <si>
    <t>SZ261250 - G34597</t>
  </si>
  <si>
    <t>SZ261575 - G34587</t>
  </si>
  <si>
    <t>SZ258720 - G34614</t>
  </si>
  <si>
    <t>SZ259083 - G34588</t>
  </si>
  <si>
    <t>SZ259440 - G34595</t>
  </si>
  <si>
    <t>SG302250 - G34646</t>
  </si>
  <si>
    <t>SG303874 - G34647</t>
  </si>
  <si>
    <t>SG303973 - G34648</t>
  </si>
  <si>
    <t>SG304450 - G34582</t>
  </si>
  <si>
    <t>SG304528 - G34584</t>
  </si>
  <si>
    <t>SG305636 - G34644</t>
  </si>
  <si>
    <t>SG305688 - G34623</t>
  </si>
  <si>
    <t>SZ261766 - G34616</t>
  </si>
  <si>
    <t>SZ261811 - G34617</t>
  </si>
  <si>
    <t>SZ261857 - G34625</t>
  </si>
  <si>
    <t>SZ262120 - G34618</t>
  </si>
  <si>
    <t>SZ259863 - G34589</t>
  </si>
  <si>
    <t>SZ259997 - G34626</t>
  </si>
  <si>
    <t>SZ260109 - G34596</t>
  </si>
  <si>
    <t>SZ261779 - G34594</t>
  </si>
  <si>
    <t xml:space="preserve">SZ261865 </t>
  </si>
  <si>
    <t>SZ261893 - G34622</t>
  </si>
  <si>
    <t>SG304701 - G34640</t>
  </si>
  <si>
    <t>SG305121 - G34585</t>
  </si>
  <si>
    <t>SG321948 - G34645</t>
  </si>
  <si>
    <t>SG313765 - G34583</t>
  </si>
  <si>
    <t>SZ272195 - G34667</t>
  </si>
  <si>
    <t>SG321757 - G34586</t>
  </si>
  <si>
    <t>SG322610 - G34624</t>
  </si>
  <si>
    <t>SF278395 - G34611</t>
  </si>
  <si>
    <t>SF278455 - G34612</t>
  </si>
  <si>
    <t>SZ259273 - G34620</t>
  </si>
  <si>
    <t>SZ259360 - G34621</t>
  </si>
  <si>
    <t>SZ259493 - G34666</t>
  </si>
  <si>
    <t>SZ261947 - G34592</t>
  </si>
  <si>
    <t>SF274138 - G34613</t>
  </si>
  <si>
    <t>SF278683 - G34610</t>
  </si>
  <si>
    <t>TB005408</t>
  </si>
  <si>
    <t>R3446 - S3707060</t>
  </si>
  <si>
    <t>R3604 - S3717849</t>
  </si>
  <si>
    <t>R3415 - S3704900</t>
  </si>
  <si>
    <t>R3532 - S3711089</t>
  </si>
  <si>
    <t>R3299 - S3169598</t>
  </si>
  <si>
    <t>G34720 - TL152727</t>
  </si>
  <si>
    <t>SJ275418</t>
  </si>
  <si>
    <t>SJ274836</t>
  </si>
  <si>
    <t>G34704 - SZ297189</t>
  </si>
  <si>
    <t>SZ289903</t>
  </si>
  <si>
    <t>G34725 - SZ296085</t>
  </si>
  <si>
    <t>G34724 - SZ296122</t>
  </si>
  <si>
    <t>G34708 - SZ297144</t>
  </si>
  <si>
    <t>SG304534</t>
  </si>
  <si>
    <t>SZ272235</t>
  </si>
  <si>
    <t>SZ278347</t>
  </si>
  <si>
    <t>G34703 - SF314303</t>
  </si>
  <si>
    <t>G34706 - SZ297273</t>
  </si>
  <si>
    <t>SB222712 - B34758</t>
  </si>
  <si>
    <t>SB210306 - B34759</t>
  </si>
  <si>
    <t>SB215203 - B34760</t>
  </si>
  <si>
    <t>TB002563 - B34776</t>
  </si>
  <si>
    <t>S3707060 - R3446</t>
  </si>
  <si>
    <t>S3717849 - R3604</t>
  </si>
  <si>
    <t>S3704900 - R3415</t>
  </si>
  <si>
    <t>S3711089 - R3532</t>
  </si>
  <si>
    <t>S3169598 - R3299</t>
  </si>
  <si>
    <t>SJ275016 - B34739</t>
  </si>
  <si>
    <t>SZ293609 - G34750</t>
  </si>
  <si>
    <t>SG351554 - G34773</t>
  </si>
  <si>
    <t>SZ293283 - G34752</t>
  </si>
  <si>
    <t>SG291790 - G34769</t>
  </si>
  <si>
    <t>SG353107 - G34732</t>
  </si>
  <si>
    <t>SG353147 - G34774</t>
  </si>
  <si>
    <t>SG313766 - G34767</t>
  </si>
  <si>
    <t>SG332695 - G34733</t>
  </si>
  <si>
    <t>SG321832 - G34768</t>
  </si>
  <si>
    <t>SG336495 - G34737</t>
  </si>
  <si>
    <t>SG336281 - G34735</t>
  </si>
  <si>
    <t>SG336283 - G34736</t>
  </si>
  <si>
    <t>SG336286 - G34734</t>
  </si>
  <si>
    <t>PAID OFF 5/28, REINV 5/29</t>
  </si>
  <si>
    <t>REINV 5/29, TK CORR POST 6/9</t>
  </si>
  <si>
    <t>SB216327 - B34778</t>
  </si>
  <si>
    <t>TB007669 - B34779</t>
  </si>
  <si>
    <t>TB007777 - B34782</t>
  </si>
  <si>
    <t>TB007839 - B34783</t>
  </si>
  <si>
    <t>TB007903 - B34781</t>
  </si>
  <si>
    <t>TB007342 - B34780</t>
  </si>
  <si>
    <t>SZ294294 - G34790</t>
  </si>
  <si>
    <t>SZ294345 - G34789</t>
  </si>
  <si>
    <t>SG353159 - G34800</t>
  </si>
  <si>
    <t xml:space="preserve">SG287026 - </t>
  </si>
  <si>
    <t>4D00 Hold</t>
  </si>
  <si>
    <t>SG301657 - G34812</t>
  </si>
  <si>
    <t>R4155 - S8280373</t>
  </si>
  <si>
    <t>R4160 - S8281929</t>
  </si>
  <si>
    <t>B34698 - TB002293</t>
  </si>
  <si>
    <t>B34697 - TB003849</t>
  </si>
  <si>
    <t>R4156 - S8283628</t>
  </si>
  <si>
    <t>R4159 - S8283766</t>
  </si>
  <si>
    <t xml:space="preserve">R4157 - SH284245 </t>
  </si>
  <si>
    <t>R4158 - SH285203</t>
  </si>
  <si>
    <t>R3603 - S3717740</t>
  </si>
  <si>
    <t>R3558 - S3711707</t>
  </si>
  <si>
    <t>R4154 - S3759990</t>
  </si>
  <si>
    <t>R3804 - S3222181</t>
  </si>
  <si>
    <t>R3762 - S3214612</t>
  </si>
  <si>
    <t>R3735 - S3726047</t>
  </si>
  <si>
    <t>R3734 - S3727013</t>
  </si>
  <si>
    <t>R3736 - S3728171</t>
  </si>
  <si>
    <t>R3786 - S3222004</t>
  </si>
  <si>
    <t>R3901 - S3238088</t>
  </si>
  <si>
    <t>B34884 - SD089362</t>
  </si>
  <si>
    <t>B34885 - SD089606</t>
  </si>
  <si>
    <t>B34882 - SD088922</t>
  </si>
  <si>
    <t>B34890 - SD088990</t>
  </si>
  <si>
    <t>B34887 - SD089552</t>
  </si>
  <si>
    <t>B34880 - SD089555</t>
  </si>
  <si>
    <t>B34881 - SD089614</t>
  </si>
  <si>
    <t>R4153 - S3278971</t>
  </si>
  <si>
    <t>TL179524</t>
  </si>
  <si>
    <t>R4161 - SH581569</t>
  </si>
  <si>
    <t>B34886 - SD090149</t>
  </si>
  <si>
    <t>B34888 - SD089725</t>
  </si>
  <si>
    <t>B34889 - SD089866</t>
  </si>
  <si>
    <t>B34883 - SD090170</t>
  </si>
  <si>
    <t>R3709 - S3413732</t>
  </si>
  <si>
    <t>SG351876</t>
  </si>
  <si>
    <t>SG332674</t>
  </si>
  <si>
    <t>SG332729</t>
  </si>
  <si>
    <t>SG327825</t>
  </si>
  <si>
    <t>SG358892</t>
  </si>
  <si>
    <t>SG358911</t>
  </si>
  <si>
    <t>G34907 - SZ322992</t>
  </si>
  <si>
    <t>G34906 - SZ323212</t>
  </si>
  <si>
    <t>G34931 - SF335247</t>
  </si>
  <si>
    <t>G33570 - SU403160</t>
  </si>
  <si>
    <t>G32878 - RU111690</t>
  </si>
  <si>
    <t>TK CORR POSTING 7/9</t>
  </si>
  <si>
    <t xml:space="preserve">SB229543 </t>
  </si>
  <si>
    <t>SB230912 - B34962</t>
  </si>
  <si>
    <t>SB230968 - B34963</t>
  </si>
  <si>
    <t>SB231171 - B34964</t>
  </si>
  <si>
    <t>S3717740 - R3603</t>
  </si>
  <si>
    <t>TB002293 - B34698</t>
  </si>
  <si>
    <t>S3711707 - R3558</t>
  </si>
  <si>
    <t>S3222181 - R3804</t>
  </si>
  <si>
    <t>S3214612 - R3762</t>
  </si>
  <si>
    <t>TB003849 - B34697</t>
  </si>
  <si>
    <t>S3726047 - R3735</t>
  </si>
  <si>
    <t>S3727013 - R3734</t>
  </si>
  <si>
    <t>S3728171 - R3736</t>
  </si>
  <si>
    <t>S3222004 - R3786</t>
  </si>
  <si>
    <t>S3238088 - R3901</t>
  </si>
  <si>
    <t>TL179430 - G34938</t>
  </si>
  <si>
    <t>TL179521 - G34937</t>
  </si>
  <si>
    <t>S3413732 - R3709</t>
  </si>
  <si>
    <t>SZ319213 - G34955</t>
  </si>
  <si>
    <t>SZ318283 - G34942</t>
  </si>
  <si>
    <t>SZ319241 - G34973</t>
  </si>
  <si>
    <t>SZ319246 - G34951</t>
  </si>
  <si>
    <t>SG351389 - G34944</t>
  </si>
  <si>
    <t>SG351907 - G34956</t>
  </si>
  <si>
    <t>SZ319216 - G34943</t>
  </si>
  <si>
    <t>SZ322129 - G34952</t>
  </si>
  <si>
    <t>SZ322131 - G34974</t>
  </si>
  <si>
    <t>SG304534 - G34950</t>
  </si>
  <si>
    <t>SG332733 - G34948</t>
  </si>
  <si>
    <t>SG332836 - G34957</t>
  </si>
  <si>
    <t>SG332979 - G34949</t>
  </si>
  <si>
    <t>SG327821 - G34946</t>
  </si>
  <si>
    <t>SZ278347 - G34958</t>
  </si>
  <si>
    <t>SG358897 - G34945</t>
  </si>
  <si>
    <t>TU401121 - G34953</t>
  </si>
  <si>
    <t>SR351157 - G34968</t>
  </si>
  <si>
    <t>SR351430 - G34967</t>
  </si>
  <si>
    <t>SG336498 - G34954</t>
  </si>
  <si>
    <t>SF335128 - G34959</t>
  </si>
  <si>
    <t>SF332985 - G34960</t>
  </si>
  <si>
    <t>SR351954 - G34966</t>
  </si>
  <si>
    <t>REINVOICED 6/4/2025</t>
  </si>
  <si>
    <t>REINVOICED 6/24/2025</t>
  </si>
  <si>
    <t>TK TOOK OUT OF INV 7/10</t>
  </si>
  <si>
    <t>PAID OFF 6/5, GM EMP VEHICLE</t>
  </si>
  <si>
    <t>PAID OFF 6/17, GM EMP VEHICLE</t>
  </si>
  <si>
    <t>REINVOICED 6/24</t>
  </si>
  <si>
    <t>TK CORR POSTING 7/10</t>
  </si>
  <si>
    <t>SB229652 - B34970</t>
  </si>
  <si>
    <t>SB231706 - B34971</t>
  </si>
  <si>
    <t>5/27/2025, PAID OFF 7/1</t>
  </si>
  <si>
    <t>4D00 HOLD</t>
  </si>
  <si>
    <t>B34879 - SD089802</t>
  </si>
  <si>
    <t>R3979 - S8260884</t>
  </si>
  <si>
    <t>R3921 - S3245827</t>
  </si>
  <si>
    <t>R3754  - S3725800</t>
  </si>
  <si>
    <t>R3733 - S3726038</t>
  </si>
  <si>
    <t>R3916 - SH402662</t>
  </si>
  <si>
    <t>R3952 - SH406055</t>
  </si>
  <si>
    <t>R3963 - SH406064</t>
  </si>
  <si>
    <t>R3962 - SH406086</t>
  </si>
  <si>
    <t>TZ107759</t>
  </si>
  <si>
    <t>R4131 - S3428333</t>
  </si>
  <si>
    <t>B35062 - TJ115178</t>
  </si>
  <si>
    <t>B35064 - TJ115421</t>
  </si>
  <si>
    <t>TK MADE SSLP ENTRY 8/7</t>
  </si>
  <si>
    <t>S8260884 - R3979</t>
  </si>
  <si>
    <t>TB033709 - B35072</t>
  </si>
  <si>
    <t>TB033719 - B35076</t>
  </si>
  <si>
    <t>TB033651 - B35071</t>
  </si>
  <si>
    <t>TB031514 - B35073</t>
  </si>
  <si>
    <t>TB031500 - B35075</t>
  </si>
  <si>
    <t>TB034442 - B35074</t>
  </si>
  <si>
    <t>S3245827 - R3921</t>
  </si>
  <si>
    <t>S3725800 - R3754</t>
  </si>
  <si>
    <t>S3726038 - R3733</t>
  </si>
  <si>
    <t>SH402662 - R3916</t>
  </si>
  <si>
    <t>SH406055 - R3952</t>
  </si>
  <si>
    <t>SH406064 - R3963</t>
  </si>
  <si>
    <t>SH400245 - R3944</t>
  </si>
  <si>
    <t>TZ108953 - G35070</t>
  </si>
  <si>
    <t>S3428333 - R4131</t>
  </si>
  <si>
    <t>TZ107980 - G35069</t>
  </si>
  <si>
    <t>SF348744 - G35068</t>
  </si>
  <si>
    <t>REINVOICED 7/24</t>
  </si>
  <si>
    <t>SH406086 - R3962</t>
  </si>
  <si>
    <t>4D00 - ON HOLD</t>
  </si>
  <si>
    <t>TK MADE SSLP ENTRY 8/12</t>
  </si>
  <si>
    <t>TZ108469 - G35118</t>
  </si>
  <si>
    <t>R4285 - SH301324</t>
  </si>
  <si>
    <t>R3999 - SH258378</t>
  </si>
  <si>
    <t>R3996 - S3747874</t>
  </si>
  <si>
    <t>R3856 - S3734276</t>
  </si>
  <si>
    <t>R4108 - S3755023</t>
  </si>
  <si>
    <t>R4005 - S3255131</t>
  </si>
  <si>
    <t>R4088 - S3265301</t>
  </si>
  <si>
    <t>R4195 - S3286700</t>
  </si>
  <si>
    <t>R4006 - S3259611</t>
  </si>
  <si>
    <t>R3953 - SH406061</t>
  </si>
  <si>
    <t>R4097 - S3265161</t>
  </si>
  <si>
    <t>G35259 - TG114591</t>
  </si>
  <si>
    <t>SH258378 - R3999</t>
  </si>
  <si>
    <t>TB052734 - B35285</t>
  </si>
  <si>
    <t>TB054190 - B35281</t>
  </si>
  <si>
    <t>TB054799 - B35284</t>
  </si>
  <si>
    <t>TB051692 - B35283</t>
  </si>
  <si>
    <t>TB051953 - B35282</t>
  </si>
  <si>
    <t>TB055414 - B35286</t>
  </si>
  <si>
    <t>TB046443 - B35302</t>
  </si>
  <si>
    <t>TB060643 - B35303</t>
  </si>
  <si>
    <t>TB046856 - B35298</t>
  </si>
  <si>
    <t>TB045026 - B35301</t>
  </si>
  <si>
    <t>TB055818 - B35287</t>
  </si>
  <si>
    <t>TB031974 - B35297</t>
  </si>
  <si>
    <t>S3747874 - R3996</t>
  </si>
  <si>
    <t>TB031911 - B35294</t>
  </si>
  <si>
    <t>TB031927 - B35296</t>
  </si>
  <si>
    <t>TB031877 - B35299</t>
  </si>
  <si>
    <t>S3734276 - R3856</t>
  </si>
  <si>
    <t>S3755023 - R4108</t>
  </si>
  <si>
    <t>S3255131 - R4005</t>
  </si>
  <si>
    <t>S3265301 - R4088</t>
  </si>
  <si>
    <t>S3286700 - R4195</t>
  </si>
  <si>
    <t>S3259611 - R4006</t>
  </si>
  <si>
    <t>SH406061 - R3953</t>
  </si>
  <si>
    <t>S3265161 - R4097</t>
  </si>
  <si>
    <t>TL239797 - G35288</t>
  </si>
  <si>
    <t>TZ141905 - G35312</t>
  </si>
  <si>
    <t>TZ142051 - G35362</t>
  </si>
  <si>
    <t>TZ142891 - G35313</t>
  </si>
  <si>
    <t>TZ131921 - G35275</t>
  </si>
  <si>
    <t>TZ143553 - G35279</t>
  </si>
  <si>
    <t>TZ143849 - G35280</t>
  </si>
  <si>
    <t xml:space="preserve">TZ143488 </t>
  </si>
  <si>
    <t>SG332674 - G35309</t>
  </si>
  <si>
    <t>SF367631 - G35289</t>
  </si>
  <si>
    <t>SF367702 - G35361</t>
  </si>
  <si>
    <t>TF101497 - G35272</t>
  </si>
  <si>
    <t>R4283 - SH306406</t>
  </si>
  <si>
    <t>TB031922 - B35295</t>
  </si>
  <si>
    <t>REINV 8/21</t>
  </si>
  <si>
    <t>TK CORR 9/16</t>
  </si>
  <si>
    <t>REINV SSLP 8/21</t>
  </si>
  <si>
    <t>COURTESY DELIVERY PER NICK</t>
  </si>
  <si>
    <t>8/5/2025 - BACKED OUT 9/18</t>
  </si>
  <si>
    <t>TZ141958 - G35398</t>
  </si>
  <si>
    <t>R4157 - SH284245</t>
  </si>
  <si>
    <t>R4064 - S3752418</t>
  </si>
  <si>
    <t>R4117 - S3755104</t>
  </si>
  <si>
    <t>R4147 - S3758943</t>
  </si>
  <si>
    <t>R4166 - SH406470</t>
  </si>
  <si>
    <t>R4141 - SH582759</t>
  </si>
  <si>
    <t>R4121 - SH580305</t>
  </si>
  <si>
    <t>R4069 - S3264159</t>
  </si>
  <si>
    <t>R4062 - S3264677</t>
  </si>
  <si>
    <t>TZ165492</t>
  </si>
  <si>
    <t>TZ165808</t>
  </si>
  <si>
    <t>TZ172402</t>
  </si>
  <si>
    <t>TJ159560</t>
  </si>
  <si>
    <t>TZ143615</t>
  </si>
  <si>
    <t>TZ162453</t>
  </si>
  <si>
    <t>TZ176653</t>
  </si>
  <si>
    <t>TB056061 - B35524</t>
  </si>
  <si>
    <t>TB060704 - B35517</t>
  </si>
  <si>
    <t>TB060711 - B35498</t>
  </si>
  <si>
    <t>TB060725 - B35516</t>
  </si>
  <si>
    <t>TB060718 - B35494</t>
  </si>
  <si>
    <t>TB060746 - B35495</t>
  </si>
  <si>
    <t>TB061145 - B35515</t>
  </si>
  <si>
    <t>SH284245 - R4157</t>
  </si>
  <si>
    <t>S3752418 - R4064</t>
  </si>
  <si>
    <t>TB061994 - B35514</t>
  </si>
  <si>
    <t>TB062335 - B35513</t>
  </si>
  <si>
    <t>TB064793 - B35599</t>
  </si>
  <si>
    <t>TB056546 - B35528</t>
  </si>
  <si>
    <t>TB060731 - B35499</t>
  </si>
  <si>
    <t>TB061131 - B35526</t>
  </si>
  <si>
    <t>TB061193 - B35496</t>
  </si>
  <si>
    <t>TB061295 - B35497</t>
  </si>
  <si>
    <t>TB064133 - B35596</t>
  </si>
  <si>
    <t>TB064190 - B35597</t>
  </si>
  <si>
    <t>TB064700 - B35598</t>
  </si>
  <si>
    <t>S3755104 - R4117</t>
  </si>
  <si>
    <t>S3758943 - R4147</t>
  </si>
  <si>
    <t>SH406470 - R4166</t>
  </si>
  <si>
    <t>SH582759 - R4141</t>
  </si>
  <si>
    <t>SH580305 - R4121</t>
  </si>
  <si>
    <t>S3264159 - R4069</t>
  </si>
  <si>
    <t>S3264677 - R4062</t>
  </si>
  <si>
    <t>T1135217 - G35492</t>
  </si>
  <si>
    <t>T1137276 - G35584</t>
  </si>
  <si>
    <t>T1142658 - G35583</t>
  </si>
  <si>
    <t>TG138413 - G35503</t>
  </si>
  <si>
    <t>T1137574 - G35493</t>
  </si>
  <si>
    <t>TJ165762 - B35518</t>
  </si>
  <si>
    <t>TJ166204 - B35501</t>
  </si>
  <si>
    <t>TJ165675 - B35500</t>
  </si>
  <si>
    <t>TZ176789 - G35483</t>
  </si>
  <si>
    <t>TZ162509 - G35539</t>
  </si>
  <si>
    <t>TZ159298 - G35533</t>
  </si>
  <si>
    <t>TZ159417 - G35473</t>
  </si>
  <si>
    <t>TZ159958 - G35474</t>
  </si>
  <si>
    <t>TZ162148 - G35562</t>
  </si>
  <si>
    <t>TZ169365 - G35540</t>
  </si>
  <si>
    <t>TZ176271 - G35541</t>
  </si>
  <si>
    <t>TZ176280 - G35542</t>
  </si>
  <si>
    <t>TZ176318 - G35543</t>
  </si>
  <si>
    <t>TZ176344 - G35544</t>
  </si>
  <si>
    <t>TZ176405 - G35486</t>
  </si>
  <si>
    <t>TZ176409 - G35487</t>
  </si>
  <si>
    <t>TZ176494 - G35488</t>
  </si>
  <si>
    <t>TZ176835 - G35601</t>
  </si>
  <si>
    <t>TZ166212 - G35476</t>
  </si>
  <si>
    <t>TZ168950 - G35565</t>
  </si>
  <si>
    <t>TZ172872 - G35480</t>
  </si>
  <si>
    <t>TZ173017 - G35566</t>
  </si>
  <si>
    <t>TZ173291 - G35535</t>
  </si>
  <si>
    <t>TZ173969 - G35478</t>
  </si>
  <si>
    <t>TZ176096 - G35567</t>
  </si>
  <si>
    <t>TZ176113 - G35568</t>
  </si>
  <si>
    <t>TZ176331 - G35481</t>
  </si>
  <si>
    <t>TZ176417 - G35569</t>
  </si>
  <si>
    <t>TZ176425 - G35570</t>
  </si>
  <si>
    <t>TZ176584 - G35482</t>
  </si>
  <si>
    <t>TZ159569 - G35591</t>
  </si>
  <si>
    <t>TZ159980 - G35534</t>
  </si>
  <si>
    <t>TZ162318 - G35563</t>
  </si>
  <si>
    <t>TZ176647 - G35489</t>
  </si>
  <si>
    <t>TZ176665 - G35545</t>
  </si>
  <si>
    <t>TZ176702 - G35546</t>
  </si>
  <si>
    <t>TZ176708 - G35547</t>
  </si>
  <si>
    <t>TZ176748 - G35490</t>
  </si>
  <si>
    <t>TG140743 - G35538</t>
  </si>
  <si>
    <t>TG140748 - G35505</t>
  </si>
  <si>
    <t>TG140751 - G35491</t>
  </si>
  <si>
    <t>TZ164999 - G35475</t>
  </si>
  <si>
    <t>TZ166985 - G35564</t>
  </si>
  <si>
    <t>TZ173408 - G35512</t>
  </si>
  <si>
    <t>TZ173370 - G35610</t>
  </si>
  <si>
    <t>TZ176661 - G35571</t>
  </si>
  <si>
    <t>TZ176673 - G35511</t>
  </si>
  <si>
    <t>TZ176760 - G35572</t>
  </si>
  <si>
    <t>TZ176775 - G35573</t>
  </si>
  <si>
    <t>TZ176842 - G35574</t>
  </si>
  <si>
    <t>TZ176864 - G35575</t>
  </si>
  <si>
    <t>TG142200 - G35484</t>
  </si>
  <si>
    <t>TG142203 - G35561</t>
  </si>
  <si>
    <t>TG142208 - G35531</t>
  </si>
  <si>
    <t>TG142259 - G35532</t>
  </si>
  <si>
    <t>TZ175167 - G35529</t>
  </si>
  <si>
    <t>TZ162642 - G35559</t>
  </si>
  <si>
    <t>TZ164734 - G35560</t>
  </si>
  <si>
    <t>TG126892 - G35485</t>
  </si>
  <si>
    <t>TG126923 - G35470</t>
  </si>
  <si>
    <t>TG127035 - G35558</t>
  </si>
  <si>
    <t>TG142125 - G35609</t>
  </si>
  <si>
    <t>TZ154712 - G35612</t>
  </si>
  <si>
    <t>TG142922 - G35506</t>
  </si>
  <si>
    <t>TG142924 - G35507</t>
  </si>
  <si>
    <t>TG142932 - G35508</t>
  </si>
  <si>
    <t>TG142990 - G35509</t>
  </si>
  <si>
    <t>TG146717 - G35502</t>
  </si>
  <si>
    <t>TG146789 - G35530</t>
  </si>
  <si>
    <t>TG146936 - G35504</t>
  </si>
  <si>
    <t>TG146779 - G35553</t>
  </si>
  <si>
    <t>TG146782 - G35554</t>
  </si>
  <si>
    <t>TZ172038 - G35479</t>
  </si>
  <si>
    <t>TZ169564 - G35555</t>
  </si>
  <si>
    <t>TZ172935 - G35471</t>
  </si>
  <si>
    <t>TZ172958 - G35472</t>
  </si>
  <si>
    <t>TZ174093 - G35510</t>
  </si>
  <si>
    <t>TR131230 - G35585</t>
  </si>
  <si>
    <t>TG126716 - G35616</t>
  </si>
  <si>
    <t>4200 as of 10/10</t>
  </si>
  <si>
    <t>3400 as of 10/10</t>
  </si>
  <si>
    <t>4300 as of 10/10</t>
  </si>
  <si>
    <t>4800 as of 10/10</t>
  </si>
  <si>
    <t>6/30/2025, TK CORR. 10/13</t>
  </si>
  <si>
    <t>6/2/2025, TK CORR. 10/13</t>
  </si>
  <si>
    <t>6/16/2025, TK CORR. 10/13</t>
  </si>
  <si>
    <t>6/24/2025, TK CORR. 10/13</t>
  </si>
  <si>
    <t>7/1/2025, TK CORR. 10/13</t>
  </si>
  <si>
    <t>R4589 - T3704821</t>
  </si>
  <si>
    <t>R4128 - S3025483</t>
  </si>
  <si>
    <t>R4177 - S3759715</t>
  </si>
  <si>
    <t>R4129 - S3025440</t>
  </si>
  <si>
    <t>R4587 - S3336302</t>
  </si>
  <si>
    <t>R4148 - S3759210</t>
  </si>
  <si>
    <t>S3759210 - R4148</t>
  </si>
  <si>
    <t>S3025440 - R4129</t>
  </si>
  <si>
    <t>S3759715 - R4177</t>
  </si>
  <si>
    <t>S3025483 - R4128</t>
  </si>
  <si>
    <t>R4591 - T3004135</t>
  </si>
  <si>
    <t>R4590 - T3006131</t>
  </si>
  <si>
    <t>R4270 - S3768622</t>
  </si>
  <si>
    <t>G35753 - TL319955</t>
  </si>
  <si>
    <t>G35754 - TL324560</t>
  </si>
  <si>
    <t>R4213 - S3761701</t>
  </si>
  <si>
    <t>R4588 - S3336683</t>
  </si>
  <si>
    <t>R4180 - S3286822</t>
  </si>
  <si>
    <t>R4176 - S3281276</t>
  </si>
  <si>
    <t>R4593 - SH437664</t>
  </si>
  <si>
    <t>R4594 - SH439995</t>
  </si>
  <si>
    <t>R4595 - SH440539</t>
  </si>
  <si>
    <t>R4592 - S3446877</t>
  </si>
  <si>
    <t>R4215 - S3432467</t>
  </si>
  <si>
    <t>B35751 - TJ196442</t>
  </si>
  <si>
    <t>B35752 - TJ196541</t>
  </si>
  <si>
    <t>G35755 - TJ195862</t>
  </si>
  <si>
    <t>G35756 - TJ196425</t>
  </si>
  <si>
    <t>TZ198695</t>
  </si>
  <si>
    <t>G35773 - TF153829</t>
  </si>
  <si>
    <t>G35770 - TF153871</t>
  </si>
  <si>
    <t>G35663 - TF153876</t>
  </si>
  <si>
    <t>S3768622 - R4270</t>
  </si>
  <si>
    <t>S3761701 - R4213</t>
  </si>
  <si>
    <t>S3286822 - R4180</t>
  </si>
  <si>
    <t>S3281276 - R4176</t>
  </si>
  <si>
    <t>S3432467 - R4215</t>
  </si>
  <si>
    <t>TJ191017 - G35797</t>
  </si>
  <si>
    <t>TZ203486 - G35812</t>
  </si>
  <si>
    <t>TZ198559 - G35794</t>
  </si>
  <si>
    <t>TG127041 - G35789</t>
  </si>
  <si>
    <t>TZ200920 - G35795</t>
  </si>
  <si>
    <t>REINV 10/22</t>
  </si>
  <si>
    <t>TK CORR 11/11</t>
  </si>
  <si>
    <t>4D00</t>
  </si>
  <si>
    <t>4D00 - BUILT BUT DELAYED</t>
  </si>
  <si>
    <t>TZ198605 - G35843</t>
  </si>
  <si>
    <t>TF111808 - G35837</t>
  </si>
  <si>
    <t>TZ170813 - G35863</t>
  </si>
  <si>
    <t>SB223386</t>
  </si>
  <si>
    <t>TB036743</t>
  </si>
  <si>
    <t>R4616 - T3005453</t>
  </si>
  <si>
    <t>R4642 - T3007009</t>
  </si>
  <si>
    <t>TU409825</t>
  </si>
  <si>
    <t>G35144 - TU600117</t>
  </si>
  <si>
    <t>SH408296 - R4235</t>
  </si>
  <si>
    <t>TL349443 - G35947</t>
  </si>
  <si>
    <t>T1159072 - G35933</t>
  </si>
  <si>
    <t>T1161446 - G35945</t>
  </si>
  <si>
    <t>T1162498 - G35946</t>
  </si>
  <si>
    <t>T1162506 - G35943</t>
  </si>
  <si>
    <t>T1162526 - G35944</t>
  </si>
  <si>
    <t>TZ236252 - G35929</t>
  </si>
  <si>
    <t>TZ236442 - G35922</t>
  </si>
  <si>
    <t>TZ237077 - G35925</t>
  </si>
  <si>
    <t>TZ238295 - G35924</t>
  </si>
  <si>
    <t>TZ238324 - G35949</t>
  </si>
  <si>
    <t>TG126900 - G35921</t>
  </si>
  <si>
    <t>TU600117 - G35144</t>
  </si>
  <si>
    <t>TF170127 - G35937</t>
  </si>
  <si>
    <t>TF170510 - G35918</t>
  </si>
  <si>
    <t>TR195565 - G35915</t>
  </si>
  <si>
    <t>TR200194 - G35916</t>
  </si>
  <si>
    <t>TR200322 - G35917</t>
  </si>
  <si>
    <t>TG194506 - G35923</t>
  </si>
  <si>
    <t>reinv 11/28</t>
  </si>
  <si>
    <t>SB222373 - B35977</t>
  </si>
  <si>
    <t>SB222174 - B35978</t>
  </si>
  <si>
    <t>SB223348 - B35979</t>
  </si>
  <si>
    <t>TB003466 - B35975</t>
  </si>
  <si>
    <t>TB003004 - B35976</t>
  </si>
  <si>
    <t>TL244816 - G35999</t>
  </si>
  <si>
    <t>TL242299 - G36000</t>
  </si>
  <si>
    <t>TL245212 - G35998</t>
  </si>
  <si>
    <t>TL243080 - G36001</t>
  </si>
  <si>
    <t>TL250359 - G36002</t>
  </si>
  <si>
    <t>TL251384 - G36003</t>
  </si>
  <si>
    <t>T1122039 - G35997</t>
  </si>
  <si>
    <t>TJ139283 - G36004</t>
  </si>
  <si>
    <t>T1130228 - G35995</t>
  </si>
  <si>
    <t>TZ100478 - G35993</t>
  </si>
  <si>
    <t>TJ139615 - G36005</t>
  </si>
  <si>
    <t>TJ139663 - G36006</t>
  </si>
  <si>
    <t>TJ138984 - G35980</t>
  </si>
  <si>
    <t>TJ139647 - B35981</t>
  </si>
  <si>
    <t>TJ139130 - G36007</t>
  </si>
  <si>
    <t>TJ139151 - B35982</t>
  </si>
  <si>
    <t>TJ139716 - B35983</t>
  </si>
  <si>
    <t>T1120426 - G35996</t>
  </si>
  <si>
    <t>TU409457 - G35987</t>
  </si>
  <si>
    <t>TU407219 - G35990</t>
  </si>
  <si>
    <t>TZ140528 - G35992</t>
  </si>
  <si>
    <t>TU403433 - G35986</t>
  </si>
  <si>
    <t>TR148574 - G36008</t>
  </si>
  <si>
    <t>TU406860 - G35989</t>
  </si>
  <si>
    <t>TU403746 - G35988</t>
  </si>
  <si>
    <t>TR201415 - G35958</t>
  </si>
  <si>
    <t>TF107403 - G35991</t>
  </si>
  <si>
    <t>TR156324 - G36010</t>
  </si>
  <si>
    <t>TF169685 - G35963</t>
  </si>
  <si>
    <t>TR153786 - G36009</t>
  </si>
  <si>
    <t>TR146846 - G36011</t>
  </si>
  <si>
    <t>TR143501 - G36012</t>
  </si>
  <si>
    <t>TU603103 - G35985</t>
  </si>
  <si>
    <t>COURTESY DELIVERY</t>
  </si>
  <si>
    <t>11/5/2025 TK DELETED 12/9</t>
  </si>
  <si>
    <t>11/10/2025 TK DELETED 12/9</t>
  </si>
  <si>
    <t>TK CORRECTED 12/9</t>
  </si>
  <si>
    <t>TK CORR 12/9</t>
  </si>
  <si>
    <t>EVENT</t>
  </si>
  <si>
    <t>REINV AGAIN 11/3</t>
  </si>
  <si>
    <t>SOLD OCT, TK CORR AND PAID OFF 12/9</t>
  </si>
  <si>
    <t>TJ138984 - B35980</t>
  </si>
  <si>
    <t>TJ139116 - B36052</t>
  </si>
  <si>
    <t>TZ143615 - G36056</t>
  </si>
  <si>
    <t>R4783 - T8216088</t>
  </si>
  <si>
    <t>R4777 - T3726783</t>
  </si>
  <si>
    <t>R4774 - T3718836</t>
  </si>
  <si>
    <t>R4778 - T3719099</t>
  </si>
  <si>
    <t>R4785 - SH451193</t>
  </si>
  <si>
    <t>R4771 - T3024312</t>
  </si>
  <si>
    <t>R4779 - T3031223</t>
  </si>
  <si>
    <t>R4772 - T3031740</t>
  </si>
  <si>
    <t>R4773 - T3025542</t>
  </si>
  <si>
    <t>R4775 - T3026066</t>
  </si>
  <si>
    <t>R4782 - T3026147</t>
  </si>
  <si>
    <t>R4776 - SH450475</t>
  </si>
  <si>
    <t>R4781 - T3030863</t>
  </si>
  <si>
    <t>R4780 - T3031082</t>
  </si>
  <si>
    <t>R4769 - TY461843</t>
  </si>
  <si>
    <t>R4768 - TJ002246</t>
  </si>
  <si>
    <t>R4770 - TY462560</t>
  </si>
  <si>
    <t>R4784 - TY462629</t>
  </si>
  <si>
    <t>TB117367 - B36121</t>
  </si>
  <si>
    <t>TB104485 - B36123</t>
  </si>
  <si>
    <t>TB116571 - B36122</t>
  </si>
  <si>
    <t>TZ268137 - G36128</t>
  </si>
  <si>
    <t>TR215994 - G36133</t>
  </si>
  <si>
    <t>TZ267796 - G36129</t>
  </si>
  <si>
    <t>TR209778 - G36134</t>
  </si>
  <si>
    <t>TF185931 - G36131</t>
  </si>
  <si>
    <t>TF186372 - G36132</t>
  </si>
  <si>
    <t>TF194400 - G36130</t>
  </si>
  <si>
    <t>TF194346 - G36140</t>
  </si>
  <si>
    <t>TU409825 - G36153</t>
  </si>
  <si>
    <t>R4915 - T3730837</t>
  </si>
  <si>
    <t>R4914 - T3044256</t>
  </si>
  <si>
    <t>R4906 - T3732971</t>
  </si>
  <si>
    <t>R4908 - TY472900</t>
  </si>
  <si>
    <t>R4910 - TY472994</t>
  </si>
  <si>
    <t>R4913 - TY474458</t>
  </si>
  <si>
    <t>R4912 - TY477416</t>
  </si>
  <si>
    <t>R4916 - T3409628</t>
  </si>
  <si>
    <t>R4909 - TY473662</t>
  </si>
  <si>
    <t>G36188 - TL403322</t>
  </si>
  <si>
    <t>R4911 - TY477905</t>
  </si>
  <si>
    <t>R4907 - T3409324</t>
  </si>
  <si>
    <t>REINV TK CORR 2/13</t>
  </si>
  <si>
    <t>T3026066 - R4775</t>
  </si>
  <si>
    <t>TB120749 - B36197</t>
  </si>
  <si>
    <t>TB120756 - B36196</t>
  </si>
  <si>
    <t>TB121091 - B36202</t>
  </si>
  <si>
    <t>TB121143 - B36198</t>
  </si>
  <si>
    <t>TB121162 - B36199</t>
  </si>
  <si>
    <t>TJ256509 - G36194</t>
  </si>
  <si>
    <t>TJ259474 - B36195</t>
  </si>
  <si>
    <t>TZ268769 - G36191</t>
  </si>
  <si>
    <t>TZ268860 - G36189</t>
  </si>
  <si>
    <t>TZ268918 - G36190</t>
  </si>
  <si>
    <t>TZ268790 - G36192</t>
  </si>
  <si>
    <t>TZ269601 - G36291</t>
  </si>
  <si>
    <t>TR241899 - G36207</t>
  </si>
  <si>
    <t>TZ270049 - G36193</t>
  </si>
  <si>
    <t>TR245871 - G36219</t>
  </si>
  <si>
    <t>TR244225 - G36208</t>
  </si>
  <si>
    <t>REINV 1/26</t>
  </si>
  <si>
    <t>R5027 - T3745191</t>
  </si>
  <si>
    <t>R5021 - TY490483</t>
  </si>
  <si>
    <t>R5023 - TY490688</t>
  </si>
  <si>
    <t>R5026 - TY490680</t>
  </si>
  <si>
    <t>R5025 - TY490730</t>
  </si>
  <si>
    <t>R5020 - TY490914</t>
  </si>
  <si>
    <t>R5024 - TY485889</t>
  </si>
  <si>
    <t>B36216 - TD022170</t>
  </si>
  <si>
    <t>B36215 - TD022286</t>
  </si>
  <si>
    <t>B36213 - TD022210</t>
  </si>
  <si>
    <t>B36214 - TD022234</t>
  </si>
  <si>
    <t>B36246 - TD024440</t>
  </si>
  <si>
    <t>R5022 - TY486514</t>
  </si>
  <si>
    <t>B36217 - TD024863</t>
  </si>
  <si>
    <t>B36218 - TD024699</t>
  </si>
  <si>
    <t>TF214585</t>
  </si>
  <si>
    <t>TF223466</t>
  </si>
  <si>
    <t>TF223887</t>
  </si>
  <si>
    <t>TF224018</t>
  </si>
  <si>
    <t>TF223604</t>
  </si>
  <si>
    <t>TF224073</t>
  </si>
  <si>
    <t>TF224149</t>
  </si>
  <si>
    <t>TB168540  -B36400</t>
  </si>
  <si>
    <t>TB167370 - B36399</t>
  </si>
  <si>
    <t>TB167754 - B36416</t>
  </si>
  <si>
    <t>TB146202 - B36363</t>
  </si>
  <si>
    <t>TB160471 - B36403</t>
  </si>
  <si>
    <t>TB160590 - B36367</t>
  </si>
  <si>
    <t>TB164372 - B36410</t>
  </si>
  <si>
    <t>TB166633 - B36369</t>
  </si>
  <si>
    <t>TB168387 - B36388</t>
  </si>
  <si>
    <t>TB145826 - B36364</t>
  </si>
  <si>
    <t>TB160330 - B36366</t>
  </si>
  <si>
    <t>TB164519 - B36365</t>
  </si>
  <si>
    <t>TB166705 - B36401</t>
  </si>
  <si>
    <t>TB166755 - B36392</t>
  </si>
  <si>
    <t>TB168621 - B36402</t>
  </si>
  <si>
    <t>TB166157 - B36377</t>
  </si>
  <si>
    <t>TB167600 - B36389</t>
  </si>
  <si>
    <t>TB167884 - B36397</t>
  </si>
  <si>
    <t>TB167892 - B36370</t>
  </si>
  <si>
    <t>TB168226 - B36371</t>
  </si>
  <si>
    <t>TB168287 - B36396</t>
  </si>
  <si>
    <t>TB158808 - B36420</t>
  </si>
  <si>
    <t>TB164693 - B36368</t>
  </si>
  <si>
    <t>TB167810 - B36393</t>
  </si>
  <si>
    <t>TB167811 - B36418</t>
  </si>
  <si>
    <t>TB167846 - B36419</t>
  </si>
  <si>
    <t>TB167859 - B36417</t>
  </si>
  <si>
    <t>TB168392 - B36404</t>
  </si>
  <si>
    <t>TB166330 - B36390</t>
  </si>
  <si>
    <t>TB166422 - B36398</t>
  </si>
  <si>
    <t>TB166674 - B36422</t>
  </si>
  <si>
    <t>TB167154 - B36373</t>
  </si>
  <si>
    <t>TB167544 - B36378</t>
  </si>
  <si>
    <t>TB168529 - B36379</t>
  </si>
  <si>
    <t>TB157842 - B36372</t>
  </si>
  <si>
    <t>TB166493 - B36391</t>
  </si>
  <si>
    <t>TB166626 - B36421</t>
  </si>
  <si>
    <t>TG283589 - G36361</t>
  </si>
  <si>
    <t>TJ277696 - B36395</t>
  </si>
  <si>
    <t>TZ274761 - G36423</t>
  </si>
  <si>
    <t>TR277149 - G36360</t>
  </si>
  <si>
    <t>TR275891 - G36359</t>
  </si>
  <si>
    <t xml:space="preserve">TZ269647 </t>
  </si>
  <si>
    <t>TR275639 - G36358</t>
  </si>
  <si>
    <t>TR273665 - G36382</t>
  </si>
  <si>
    <t>PER CHEYNE ON HOLD INDIANA</t>
  </si>
  <si>
    <t>PER CHEYNE SHIPPED</t>
  </si>
  <si>
    <t xml:space="preserve">PER CHEYNE SHIPPED </t>
  </si>
  <si>
    <t>PER CHEYNE BAYED ETA MAY</t>
  </si>
  <si>
    <t>TR273809 - G36357</t>
  </si>
  <si>
    <t>R5073 - T3067808</t>
  </si>
  <si>
    <t>TB180966 - B36680</t>
  </si>
  <si>
    <t>T3707704 - R4631</t>
  </si>
  <si>
    <t>T3717905 - R4705</t>
  </si>
  <si>
    <t>TB170513 - B36659</t>
  </si>
  <si>
    <t>TB169328 - B36658</t>
  </si>
  <si>
    <t>T3745568 - R5060</t>
  </si>
  <si>
    <t>R4631 - T3707704</t>
  </si>
  <si>
    <t>T3715844 - R4696</t>
  </si>
  <si>
    <t>TL441841 - G36674</t>
  </si>
  <si>
    <t>R4696 - T3715844</t>
  </si>
  <si>
    <t>T3010502 - R4670</t>
  </si>
  <si>
    <t>TY471407 - R4852</t>
  </si>
  <si>
    <t>TY471564 - R4844</t>
  </si>
  <si>
    <t>T3031223 - R4779</t>
  </si>
  <si>
    <t>R4670 - T3010502</t>
  </si>
  <si>
    <t>T3024228 - R4729</t>
  </si>
  <si>
    <t>R4852 - TY471407</t>
  </si>
  <si>
    <t>R4844 - TY471564</t>
  </si>
  <si>
    <t>R5080 - T3415472</t>
  </si>
  <si>
    <t>TY477843 - R4861</t>
  </si>
  <si>
    <t>R4729 - T3024228</t>
  </si>
  <si>
    <t>R4861 - TY477843</t>
  </si>
  <si>
    <t>T3401516 - R4667</t>
  </si>
  <si>
    <t>R4667 - T3401516</t>
  </si>
  <si>
    <t>R5060 - T3745568</t>
  </si>
  <si>
    <t>TJ310123 - B36701</t>
  </si>
  <si>
    <t>TJ312369 - B36679</t>
  </si>
  <si>
    <t>TZ331706 - G36656</t>
  </si>
  <si>
    <t>TZ331802 - G36657</t>
  </si>
  <si>
    <t>TZ302050 - G36696</t>
  </si>
  <si>
    <t>TG295136 - G36673</t>
  </si>
  <si>
    <t>TG303043 - G36688</t>
  </si>
  <si>
    <t>TG303357 - G36689</t>
  </si>
  <si>
    <t>TG317080 - G36667</t>
  </si>
  <si>
    <t>TG302803 - G36670</t>
  </si>
  <si>
    <t>TG303508 - G36717</t>
  </si>
  <si>
    <t>TJ311146 - B36702</t>
  </si>
  <si>
    <t>TJ312031 - B36660</t>
  </si>
  <si>
    <t>TG294955 - G36669</t>
  </si>
  <si>
    <t>TG317484 - G36675</t>
  </si>
  <si>
    <t>TG317681 - G36714</t>
  </si>
  <si>
    <t>TG317684 - G36690</t>
  </si>
  <si>
    <t>TG317086 - G36671</t>
  </si>
  <si>
    <t>TG317089 - G36693</t>
  </si>
  <si>
    <t>TG317091 - G36715</t>
  </si>
  <si>
    <t>TG318088 - G36716</t>
  </si>
  <si>
    <t>TG318090 - G36676</t>
  </si>
  <si>
    <t>TG318093 - G36677</t>
  </si>
  <si>
    <t>TG318095 - G36672</t>
  </si>
  <si>
    <t>TG318097 - G36665</t>
  </si>
  <si>
    <t>TG318100 - G36694</t>
  </si>
  <si>
    <t>TG318102 - G36678</t>
  </si>
  <si>
    <t>TG318104 - G36666</t>
  </si>
  <si>
    <t>TG296696 - G36695</t>
  </si>
  <si>
    <t>TG297408 - G36664</t>
  </si>
  <si>
    <t>TG297424 - G36691</t>
  </si>
  <si>
    <t>TG297675 - G36663</t>
  </si>
  <si>
    <t>TR310739 - G36651</t>
  </si>
  <si>
    <t>TR310697 - G36655</t>
  </si>
  <si>
    <t>TR307918 - G36654</t>
  </si>
  <si>
    <t>TR309790 - G36652</t>
  </si>
  <si>
    <t>TR309848 - G36653</t>
  </si>
  <si>
    <t>TZ269647 - G36698</t>
  </si>
  <si>
    <t>TG312825 - G36668</t>
  </si>
  <si>
    <t>TG316310 - G36692</t>
  </si>
  <si>
    <t>TF224155</t>
  </si>
  <si>
    <t>TR154570 - G36650</t>
  </si>
  <si>
    <t xml:space="preserve">TF224018 </t>
  </si>
  <si>
    <t>TF224247</t>
  </si>
  <si>
    <t>TF224506</t>
  </si>
  <si>
    <t>TF224575</t>
  </si>
  <si>
    <t xml:space="preserve">TF223604 </t>
  </si>
  <si>
    <t>TR154559 - G36649</t>
  </si>
  <si>
    <t>R4705 - T3717905</t>
  </si>
  <si>
    <t>REINVOICED 3/25</t>
  </si>
  <si>
    <t>TK CORR 4/13</t>
  </si>
  <si>
    <t>BAYED ETA MAY PER CHEYNE</t>
  </si>
  <si>
    <t>SHIPPED ETA 4/27 PER CHEYNE</t>
  </si>
  <si>
    <t>SHIPPED ETA 5/1 PER CHEYNE</t>
  </si>
  <si>
    <t>FLEET UNIT NOT FLOORED</t>
  </si>
  <si>
    <t>TK CORR 4/14</t>
  </si>
  <si>
    <t>POSTING ERROR TK CORR 4/13</t>
  </si>
  <si>
    <t>POSTING ERR TK CORR 4/13</t>
  </si>
  <si>
    <t>3/11/2026, TK VOIDED 4/14</t>
  </si>
  <si>
    <t>3/17/2026, TK VOIDED 4/14</t>
  </si>
  <si>
    <t xml:space="preserve"> </t>
  </si>
  <si>
    <t>R4902 - T3735807</t>
  </si>
  <si>
    <t>R5299 - T3772026</t>
  </si>
  <si>
    <t>R4734 - T3723124</t>
  </si>
  <si>
    <t>G34045 - SU100365</t>
  </si>
  <si>
    <t>R5300 - T3096577</t>
  </si>
  <si>
    <t>R5306 - T3094837</t>
  </si>
  <si>
    <t>R4866 - T3042826</t>
  </si>
  <si>
    <t>R5316 - T8246485</t>
  </si>
  <si>
    <t>R5301 - T3094591</t>
  </si>
  <si>
    <t>R5302 - T3100956</t>
  </si>
  <si>
    <t>R5304 - T3101543</t>
  </si>
  <si>
    <t>R5303 - T3101548</t>
  </si>
  <si>
    <t>R4849 - TY472089</t>
  </si>
  <si>
    <t>R4896 - TY473737</t>
  </si>
  <si>
    <t>R5311 - T9803763</t>
  </si>
  <si>
    <t>R5310 - T8803970</t>
  </si>
  <si>
    <t>R5305 - T3101109</t>
  </si>
  <si>
    <t>R5308 - T3422366</t>
  </si>
  <si>
    <t>B36763 - TD059803</t>
  </si>
  <si>
    <t>B36762 - TD059467</t>
  </si>
  <si>
    <t>R4891 - TY470165</t>
  </si>
  <si>
    <t>R5307 - TY520827</t>
  </si>
  <si>
    <t>R5312 - TY521304</t>
  </si>
  <si>
    <t>B36764 - TD059866</t>
  </si>
  <si>
    <t>B36766 - TD059576</t>
  </si>
  <si>
    <t>B36767 - TD059588</t>
  </si>
  <si>
    <t>B36765 - TD059291</t>
  </si>
  <si>
    <t>R5315 - TY520842</t>
  </si>
  <si>
    <t>R5313 - TY521077</t>
  </si>
  <si>
    <t>R5314 - TY521256</t>
  </si>
  <si>
    <t>R4676 - T3402023</t>
  </si>
  <si>
    <t>R4889 - T3409561</t>
  </si>
  <si>
    <t>R5309 - T3422750</t>
  </si>
  <si>
    <t>R4678 - T3402066</t>
  </si>
  <si>
    <t>TG347229</t>
  </si>
  <si>
    <t>G36791 - TZ362259</t>
  </si>
  <si>
    <t>G36792 - TZ362298</t>
  </si>
  <si>
    <t>TG343832</t>
  </si>
  <si>
    <t>G34234 - SU115236</t>
  </si>
  <si>
    <t>TB210824 - B36806</t>
  </si>
  <si>
    <t>TB208821 - B36852</t>
  </si>
  <si>
    <t>TB210490 - B36807</t>
  </si>
  <si>
    <t>T3735807 - R4902</t>
  </si>
  <si>
    <t>TB201930 - B36843</t>
  </si>
  <si>
    <t>TB204089 - B36844</t>
  </si>
  <si>
    <t>TB207349 - B36821</t>
  </si>
  <si>
    <t>TB203270 - B36846</t>
  </si>
  <si>
    <t>TB203727 - B36845</t>
  </si>
  <si>
    <t>TB207234 - B36834</t>
  </si>
  <si>
    <t>TB207737 - B36803</t>
  </si>
  <si>
    <t>TB207809 - B36838</t>
  </si>
  <si>
    <t>TB207896 - B36839</t>
  </si>
  <si>
    <t>TB207926 - B36840</t>
  </si>
  <si>
    <t>TB206938 - B36804</t>
  </si>
  <si>
    <t>TB208086 - B36805</t>
  </si>
  <si>
    <t>T3723124 - R4734</t>
  </si>
  <si>
    <t>TB206974 - B36801</t>
  </si>
  <si>
    <t>TK CORR POSTING 5/12</t>
  </si>
  <si>
    <t>TB207267 - B36802</t>
  </si>
  <si>
    <t>TB207655 - B36799</t>
  </si>
  <si>
    <t>TB207904 - B36800</t>
  </si>
  <si>
    <t>TB174099 - B36825</t>
  </si>
  <si>
    <t>T3042826 - R4866</t>
  </si>
  <si>
    <t>TL474870 - G36818</t>
  </si>
  <si>
    <t>TY472089 - R4849</t>
  </si>
  <si>
    <t>TY473737 - R4896</t>
  </si>
  <si>
    <t>TY474458 - R4913</t>
  </si>
  <si>
    <t>TY470165 - R4891</t>
  </si>
  <si>
    <t>T3402023 - R4676</t>
  </si>
  <si>
    <t>T3409561 - R4889</t>
  </si>
  <si>
    <t>T3402066 - R4678</t>
  </si>
  <si>
    <t>TJ336786 - B36815</t>
  </si>
  <si>
    <t>TJ337496 - B36809</t>
  </si>
  <si>
    <t>TJ337795 - B36808</t>
  </si>
  <si>
    <t>TJ337855 - B36833</t>
  </si>
  <si>
    <t>TJ337272 - B36810</t>
  </si>
  <si>
    <t>TJ338187 - B36874</t>
  </si>
  <si>
    <t>TG350896 - G36888</t>
  </si>
  <si>
    <t>TG350982 - G36889</t>
  </si>
  <si>
    <t>TG350891 - G36898</t>
  </si>
  <si>
    <t>TG351065 - G36903</t>
  </si>
  <si>
    <t>TG351067 - G36904</t>
  </si>
  <si>
    <t>TG351143 - G36905</t>
  </si>
  <si>
    <t>TG351149 - G36896</t>
  </si>
  <si>
    <t>TZ361967 - G36857</t>
  </si>
  <si>
    <t>TJ337567 - B36826</t>
  </si>
  <si>
    <t>TG327575 - G36868</t>
  </si>
  <si>
    <t>TG327854 - G36862</t>
  </si>
  <si>
    <t>TG327862 - G36876</t>
  </si>
  <si>
    <t>TG340954 - G36887</t>
  </si>
  <si>
    <t>TZ356912 - G36798</t>
  </si>
  <si>
    <t>TG352366 - G36899</t>
  </si>
  <si>
    <t>TG352434 - G36900</t>
  </si>
  <si>
    <t>TG352437 - G36901</t>
  </si>
  <si>
    <t>TG327542 - G36902</t>
  </si>
  <si>
    <t>TG327644 - G36864</t>
  </si>
  <si>
    <t>TG327648 - G36865</t>
  </si>
  <si>
    <t>TG327787 - G36866</t>
  </si>
  <si>
    <t>TG327799 - G36867</t>
  </si>
  <si>
    <t>TG327856 - G36870</t>
  </si>
  <si>
    <t>TG327928 - G36860</t>
  </si>
  <si>
    <t>TG327993 - G36869</t>
  </si>
  <si>
    <t>TG341418 - G36895</t>
  </si>
  <si>
    <t>TG353058 - G36906</t>
  </si>
  <si>
    <t>TG353078 - G36897</t>
  </si>
  <si>
    <t>TZ361902 - G36872</t>
  </si>
  <si>
    <t>TZ358780 - G36832</t>
  </si>
  <si>
    <t>TG343066 - G36863</t>
  </si>
  <si>
    <t>TG347112 - G36880</t>
  </si>
  <si>
    <t>TG347192 - G36881</t>
  </si>
  <si>
    <t>TG347226 - G36894</t>
  </si>
  <si>
    <t>TG342408 - G36885</t>
  </si>
  <si>
    <t>TG346994 - G36861</t>
  </si>
  <si>
    <t>TG347189 - G36886</t>
  </si>
  <si>
    <t>TG346913 - G36879</t>
  </si>
  <si>
    <t>TG347083 - G36878</t>
  </si>
  <si>
    <t>TG342447 - G36877</t>
  </si>
  <si>
    <t>TR337970 - G36883</t>
  </si>
  <si>
    <t>SU115236 - G34234</t>
  </si>
  <si>
    <t>TG350404 - G36916</t>
  </si>
  <si>
    <t>TG352372 - G36917</t>
  </si>
  <si>
    <t>TG352996 - G36920</t>
  </si>
  <si>
    <t>TG353060 - G36919</t>
  </si>
  <si>
    <t>TG353064 - G36918</t>
  </si>
  <si>
    <t>TR340464 - G36913</t>
  </si>
  <si>
    <t>TR340502 - G36915</t>
  </si>
  <si>
    <t>TG342441 - G36921</t>
  </si>
  <si>
    <t>TR338980 - G36914</t>
  </si>
  <si>
    <t>TK CORR CURTAILMENT POST 5/13</t>
  </si>
  <si>
    <t>TK CORR CURTAILMENT POSTING 5/13</t>
  </si>
  <si>
    <t>PER CHEYNE BAYED NO ETA</t>
  </si>
  <si>
    <t>PER CHEYNE BAYED ETA 5/22</t>
  </si>
  <si>
    <t>TB211578 - B36968</t>
  </si>
  <si>
    <t>TB211500 - B36967</t>
  </si>
  <si>
    <t>TG350998 - G36930</t>
  </si>
  <si>
    <t>TG352369 - G36959</t>
  </si>
  <si>
    <t>TG352429 - G36922</t>
  </si>
  <si>
    <t>TG352995 - G36926</t>
  </si>
  <si>
    <t>TG353061 - G36931</t>
  </si>
  <si>
    <t>TG342444 - G36923</t>
  </si>
  <si>
    <t>TG344128 - G36934</t>
  </si>
  <si>
    <t>TG344129 - G36935</t>
  </si>
  <si>
    <t>TG344132 - G36936</t>
  </si>
  <si>
    <t>TG344133 - G36937</t>
  </si>
  <si>
    <t>TG344135 - G36952</t>
  </si>
  <si>
    <t>TG344136 - G36932</t>
  </si>
  <si>
    <t>TL480767 - G36998</t>
  </si>
  <si>
    <t>TL481148 - G37029</t>
  </si>
  <si>
    <t>CHEYNE SAID DELIVERED 4/27, STOCKED IN 6/2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</si>
</sst>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3" formatCode="_(* #,##0.00_);_(* \(#,##0.00\);_(* &quot;-&quot;??_);_(@_)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2">
    <xf numFmtId="0" fontId="0" fillId="0" borderId="0" xfId="0"/>
    <xf numFmtId="0" fontId="2" fillId="0" borderId="0" xfId="0" applyFont="1"/>
    <xf numFmtId="14" fontId="0" fillId="0" borderId="0" xfId="0" applyNumberFormat="1" applyAlignment="1">
      <alignment horizontal="left"/>
    </xf>
    <xf numFmtId="43" fontId="2" fillId="0" borderId="0" xfId="1" applyFont="1"/>
    <xf numFmtId="43" fontId="2" fillId="2" borderId="0" xfId="1" applyFont="1" applyFill="1"/>
    <xf numFmtId="0" fontId="2" fillId="2" borderId="0" xfId="0" applyFont="1" applyFill="1"/>
    <xf numFmtId="14" fontId="2" fillId="0" borderId="0" xfId="0" applyNumberFormat="1" applyFont="1" applyAlignment="1">
      <alignment horizontal="left"/>
    </xf>
    <xf numFmtId="43" fontId="2" fillId="0" borderId="0" xfId="0" applyNumberFormat="1" applyFont="1"/>
    <xf numFmtId="14" fontId="2" fillId="0" borderId="0" xfId="0" applyNumberFormat="1" applyFont="1" applyAlignment="1">
      <alignment horizontal="right"/>
    </xf>
    <xf numFmtId="14" fontId="2" fillId="2" borderId="0" xfId="0" applyNumberFormat="1" applyFont="1" applyFill="1" applyAlignment="1">
      <alignment horizontal="left"/>
    </xf>
    <xf numFmtId="43" fontId="2" fillId="0" borderId="0" xfId="1" applyFont="1" applyFill="1"/>
    <xf numFmtId="0" fontId="3" fillId="0" borderId="0" xfId="0" applyFont="1"/>
    <xf numFmtId="43" fontId="3" fillId="0" borderId="0" xfId="1" applyFont="1"/>
    <xf numFmtId="14" fontId="3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right"/>
    </xf>
    <xf numFmtId="0" fontId="3" fillId="2" borderId="0" xfId="0" applyFont="1" applyFill="1"/>
    <xf numFmtId="43" fontId="3" fillId="2" borderId="0" xfId="1" applyFont="1" applyFill="1"/>
    <xf numFmtId="43" fontId="3" fillId="0" borderId="0" xfId="1" applyFont="1" applyFill="1"/>
    <xf numFmtId="14" fontId="3" fillId="0" borderId="0" xfId="0" applyNumberFormat="1" applyFont="1" applyAlignment="1">
      <alignment vertical="center" wrapText="1"/>
    </xf>
    <xf numFmtId="14" fontId="3" fillId="0" borderId="0" xfId="0" applyNumberFormat="1" applyFont="1" applyAlignment="1">
      <alignment vertical="center"/>
    </xf>
    <xf numFmtId="43" fontId="3" fillId="0" borderId="1" xfId="1" applyFont="1" applyBorder="1"/>
    <xf numFmtId="0" fontId="3" fillId="0" borderId="2" xfId="0" applyFont="1" applyBorder="1"/>
    <xf numFmtId="0" fontId="3" fillId="0" borderId="6" xfId="0" applyFont="1" applyBorder="1"/>
    <xf numFmtId="43" fontId="3" fillId="0" borderId="3" xfId="1" applyFont="1" applyBorder="1"/>
    <xf numFmtId="43" fontId="3" fillId="0" borderId="0" xfId="1" applyFont="1" applyBorder="1"/>
    <xf numFmtId="43" fontId="3" fillId="0" borderId="0" xfId="1" applyFont="1" applyFill="1" applyBorder="1"/>
    <xf numFmtId="14" fontId="4" fillId="0" borderId="0" xfId="0" applyNumberFormat="1" applyFont="1" applyAlignment="1">
      <alignment vertical="center" wrapText="1"/>
    </xf>
    <xf numFmtId="14" fontId="0" fillId="0" borderId="0" xfId="0" applyNumberFormat="1" applyAlignment="1">
      <alignment vertical="center" wrapText="1"/>
    </xf>
    <xf numFmtId="14" fontId="3" fillId="0" borderId="0" xfId="0" applyNumberFormat="1" applyFont="1"/>
    <xf numFmtId="14" fontId="3" fillId="0" borderId="0" xfId="0" applyNumberFormat="1" applyFont="1" applyAlignment="1">
      <alignment horizontal="left" vertical="center"/>
    </xf>
    <xf numFmtId="14" fontId="3" fillId="0" borderId="5" xfId="0" applyNumberFormat="1" applyFont="1" applyBorder="1" applyAlignment="1">
      <alignment horizontal="left"/>
    </xf>
    <xf numFmtId="14" fontId="3" fillId="0" borderId="7" xfId="0" applyNumberFormat="1" applyFont="1" applyBorder="1" applyAlignment="1">
      <alignment horizontal="left"/>
    </xf>
    <xf numFmtId="14" fontId="3" fillId="0" borderId="7" xfId="0" applyNumberFormat="1" applyFont="1" applyBorder="1" applyAlignment="1">
      <alignment horizontal="left" vertical="center"/>
    </xf>
    <xf numFmtId="14" fontId="3" fillId="0" borderId="7" xfId="0" applyNumberFormat="1" applyFont="1" applyBorder="1"/>
    <xf numFmtId="14" fontId="3" fillId="0" borderId="1" xfId="0" applyNumberFormat="1" applyFont="1" applyBorder="1"/>
    <xf numFmtId="14" fontId="2" fillId="0" borderId="0" xfId="0" applyNumberFormat="1" applyFont="1"/>
    <xf numFmtId="14" fontId="3" fillId="0" borderId="7" xfId="0" applyNumberFormat="1" applyFont="1" applyBorder="1" applyAlignment="1">
      <alignment vertical="center" wrapText="1"/>
    </xf>
    <xf numFmtId="14" fontId="3" fillId="0" borderId="0" xfId="0" applyNumberFormat="1" applyFont="1" applyAlignment="1">
      <alignment horizontal="right" vertical="center" wrapText="1"/>
    </xf>
    <xf numFmtId="14" fontId="4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43" fontId="3" fillId="0" borderId="0" xfId="1" applyFont="1" applyBorder="1" applyAlignment="1">
      <alignment vertical="center"/>
    </xf>
    <xf numFmtId="14" fontId="3" fillId="0" borderId="4" xfId="0" applyNumberFormat="1" applyFont="1" applyBorder="1" applyAlignment="1">
      <alignment horizontal="left" vertical="center"/>
    </xf>
    <xf numFmtId="14" fontId="3" fillId="0" borderId="7" xfId="0" applyNumberFormat="1" applyFont="1" applyBorder="1" applyAlignment="1">
      <alignment vertical="center"/>
    </xf>
    <xf numFmtId="14" fontId="3" fillId="0" borderId="8" xfId="0" applyNumberFormat="1" applyFont="1" applyBorder="1" applyAlignment="1">
      <alignment vertical="center" wrapText="1"/>
    </xf>
    <xf numFmtId="14" fontId="3" fillId="0" borderId="5" xfId="0" applyNumberFormat="1" applyFont="1" applyBorder="1"/>
    <xf numFmtId="0" fontId="3" fillId="0" borderId="7" xfId="0" applyFont="1" applyBorder="1" applyAlignment="1">
      <alignment vertical="center"/>
    </xf>
    <xf numFmtId="43" fontId="3" fillId="0" borderId="0" xfId="0" applyNumberFormat="1" applyFont="1" applyAlignment="1">
      <alignment vertical="center"/>
    </xf>
    <xf numFmtId="14" fontId="3" fillId="0" borderId="0" xfId="0" applyNumberFormat="1" applyFont="1" applyAlignment="1">
      <alignment wrapText="1"/>
    </xf>
    <xf numFmtId="14" fontId="3" fillId="0" borderId="7" xfId="0" applyNumberFormat="1" applyFont="1" applyBorder="1" applyAlignment="1">
      <alignment wrapText="1"/>
    </xf>
    <xf numFmtId="14" fontId="3" fillId="0" borderId="7" xfId="0" applyNumberFormat="1" applyFont="1" applyBorder="1" applyAlignment="1">
      <alignment horizontal="right" vertical="center"/>
    </xf>
    <xf numFmtId="14" fontId="3" fillId="0" borderId="4" xfId="0" applyNumberFormat="1" applyFont="1" applyBorder="1" applyAlignment="1">
      <alignment wrapText="1"/>
    </xf>
    <xf numFmtId="14" fontId="3" fillId="0" borderId="0" xfId="0" applyNumberFormat="1" applyFont="1" applyAlignment="1">
      <alignment horizontal="left" wrapText="1"/>
    </xf>
    <xf numFmtId="14" fontId="3" fillId="0" borderId="1" xfId="0" applyNumberFormat="1" applyFont="1" applyBorder="1" applyAlignment="1">
      <alignment horizontal="left"/>
    </xf>
    <xf numFmtId="14" fontId="3" fillId="0" borderId="0" xfId="0" applyNumberFormat="1" applyFont="1" applyAlignment="1">
      <alignment horizontal="left" vertical="center" wrapText="1"/>
    </xf>
    <xf numFmtId="14" fontId="4" fillId="0" borderId="0" xfId="0" applyNumberFormat="1" applyFont="1" applyAlignment="1">
      <alignment horizontal="center" wrapText="1"/>
    </xf>
    <xf numFmtId="14" fontId="4" fillId="0" borderId="0" xfId="0" applyNumberFormat="1" applyFont="1" applyAlignment="1">
      <alignment wrapText="1"/>
    </xf>
    <xf numFmtId="14" fontId="3" fillId="0" borderId="4" xfId="0" applyNumberFormat="1" applyFont="1" applyBorder="1" applyAlignment="1">
      <alignment horizontal="left" wrapText="1"/>
    </xf>
    <xf numFmtId="14" fontId="3" fillId="0" borderId="7" xfId="0" applyNumberFormat="1" applyFont="1" applyBorder="1" applyAlignment="1">
      <alignment horizontal="left" wrapText="1"/>
    </xf>
    <xf numFmtId="14" fontId="3" fillId="0" borderId="6" xfId="0" applyNumberFormat="1" applyFont="1" applyBorder="1" applyAlignment="1">
      <alignment horizontal="left"/>
    </xf>
    <xf numFmtId="14" fontId="3" fillId="0" borderId="8" xfId="0" applyNumberFormat="1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43" fontId="3" fillId="0" borderId="0" xfId="1" applyFont="1" applyBorder="1" applyAlignment="1">
      <alignment vertical="center" wrapText="1"/>
    </xf>
    <xf numFmtId="0" fontId="3" fillId="0" borderId="0" xfId="0" applyFont="1" applyAlignment="1">
      <alignment wrapText="1"/>
    </xf>
    <xf numFmtId="14" fontId="3" fillId="0" borderId="2" xfId="0" applyNumberFormat="1" applyFont="1" applyBorder="1" applyAlignment="1">
      <alignment horizontal="left"/>
    </xf>
    <xf numFmtId="0" fontId="3" fillId="0" borderId="8" xfId="0" applyFont="1" applyBorder="1"/>
    <xf numFmtId="14" fontId="3" fillId="0" borderId="8" xfId="0" applyNumberFormat="1" applyFont="1" applyBorder="1" applyAlignment="1">
      <alignment horizontal="left"/>
    </xf>
    <xf numFmtId="43" fontId="3" fillId="0" borderId="0" xfId="0" applyNumberFormat="1" applyFont="1"/>
    <xf numFmtId="14" fontId="3" fillId="0" borderId="7" xfId="0" applyNumberFormat="1" applyFont="1" applyBorder="1" applyAlignment="1">
      <alignment horizontal="left" vertical="center" wrapText="1"/>
    </xf>
    <xf numFmtId="43" fontId="3" fillId="0" borderId="0" xfId="1" applyFont="1" applyBorder="1" applyAlignment="1">
      <alignment horizontal="right" vertical="center" wrapText="1"/>
    </xf>
    <xf numFmtId="14" fontId="3" fillId="0" borderId="0" xfId="0" applyNumberFormat="1" applyFont="1" applyAlignment="1">
      <alignment horizontal="center" wrapText="1"/>
    </xf>
    <xf numFmtId="164" fontId="3" fillId="0" borderId="0" xfId="0" applyNumberFormat="1" applyFont="1"/>
    <xf numFmtId="164" fontId="4" fillId="0" borderId="0" xfId="0" applyNumberFormat="1" applyFont="1" applyAlignment="1">
      <alignment wrapText="1"/>
    </xf>
    <xf numFmtId="164" fontId="3" fillId="0" borderId="0" xfId="0" applyNumberFormat="1" applyFont="1" applyAlignment="1">
      <alignment wrapText="1"/>
    </xf>
    <xf numFmtId="164" fontId="3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164" fontId="3" fillId="0" borderId="0" xfId="0" applyNumberFormat="1" applyFont="1" applyAlignment="1">
      <alignment vertical="center"/>
    </xf>
    <xf numFmtId="164" fontId="2" fillId="0" borderId="0" xfId="0" applyNumberFormat="1" applyFont="1"/>
    <xf numFmtId="0" fontId="5" fillId="0" borderId="0" xfId="0" applyFont="1"/>
    <xf numFmtId="14" fontId="3" fillId="0" borderId="8" xfId="0" applyNumberFormat="1" applyFont="1" applyBorder="1" applyAlignment="1">
      <alignment horizontal="left" wrapText="1"/>
    </xf>
    <xf numFmtId="43" fontId="3" fillId="0" borderId="0" xfId="1" applyFont="1" applyFill="1" applyBorder="1" applyAlignment="1">
      <alignment horizontal="right" vertical="center" wrapText="1"/>
    </xf>
    <xf numFmtId="14" fontId="3" fillId="0" borderId="1" xfId="0" applyNumberFormat="1" applyFont="1" applyBorder="1" applyAlignment="1">
      <alignment horizontal="left" wrapText="1"/>
    </xf>
    <xf numFmtId="14" fontId="3" fillId="0" borderId="2" xfId="0" applyNumberFormat="1" applyFont="1" applyBorder="1" applyAlignment="1">
      <alignment horizontal="left" wrapText="1"/>
    </xf>
    <xf numFmtId="14" fontId="2" fillId="0" borderId="0" xfId="0" applyNumberFormat="1" applyFont="1" applyAlignment="1">
      <alignment horizontal="left" wrapText="1"/>
    </xf>
    <xf numFmtId="14" fontId="3" fillId="0" borderId="8" xfId="0" applyNumberFormat="1" applyFont="1" applyBorder="1"/>
    <xf numFmtId="14" fontId="3" fillId="0" borderId="0" xfId="0" applyNumberFormat="1" applyFont="1" applyAlignment="1">
      <alignment horizontal="right" wrapText="1"/>
    </xf>
    <xf numFmtId="14" fontId="3" fillId="0" borderId="8" xfId="0" applyNumberFormat="1" applyFont="1" applyBorder="1" applyAlignment="1">
      <alignment horizontal="right" wrapText="1"/>
    </xf>
    <xf numFmtId="14" fontId="3" fillId="0" borderId="8" xfId="0" applyNumberFormat="1" applyFont="1" applyBorder="1" applyAlignment="1">
      <alignment horizontal="right"/>
    </xf>
    <xf numFmtId="49" fontId="3" fillId="0" borderId="8" xfId="0" applyNumberFormat="1" applyFont="1" applyBorder="1" applyAlignment="1">
      <alignment horizontal="right"/>
    </xf>
    <xf numFmtId="1" fontId="3" fillId="0" borderId="0" xfId="0" applyNumberFormat="1" applyFont="1"/>
    <xf numFmtId="1" fontId="3" fillId="0" borderId="0" xfId="0" applyNumberFormat="1" applyFont="1" applyAlignment="1">
      <alignment wrapText="1"/>
    </xf>
    <xf numFmtId="1" fontId="2" fillId="0" borderId="0" xfId="0" applyNumberFormat="1" applyFont="1"/>
    <xf numFmtId="1" fontId="3" fillId="0" borderId="8" xfId="0" applyNumberFormat="1" applyFont="1" applyBorder="1" applyAlignment="1">
      <alignment horizontal="right"/>
    </xf>
    <xf numFmtId="1" fontId="3" fillId="0" borderId="0" xfId="0" applyNumberFormat="1" applyFont="1" applyAlignment="1">
      <alignment horizontal="right"/>
    </xf>
    <xf numFmtId="43" fontId="3" fillId="0" borderId="0" xfId="1" applyFont="1" applyFill="1" applyBorder="1" applyAlignment="1">
      <alignment vertical="center"/>
    </xf>
    <xf numFmtId="164" fontId="4" fillId="0" borderId="0" xfId="0" applyNumberFormat="1" applyFont="1" applyAlignment="1">
      <alignment horizontal="left"/>
    </xf>
    <xf numFmtId="14" fontId="3" fillId="0" borderId="7" xfId="0" applyNumberFormat="1" applyFont="1" applyBorder="1" applyAlignment="1">
      <alignment horizontal="left" vertical="top"/>
    </xf>
    <xf numFmtId="14" fontId="3" fillId="0" borderId="0" xfId="0" applyNumberFormat="1" applyFont="1" applyAlignment="1">
      <alignment horizontal="left" vertical="top"/>
    </xf>
    <xf numFmtId="14" fontId="3" fillId="0" borderId="4" xfId="0" applyNumberFormat="1" applyFont="1" applyBorder="1" applyAlignment="1">
      <alignment horizontal="left" vertical="top"/>
    </xf>
    <xf numFmtId="43" fontId="7" fillId="0" borderId="0" xfId="0" applyNumberFormat="1" applyFont="1" applyAlignment="1">
      <alignment horizontal="right"/>
    </xf>
    <xf numFmtId="8" fontId="0" fillId="0" borderId="0" xfId="0" applyNumberFormat="1" applyAlignment="1">
      <alignment horizontal="right"/>
    </xf>
    <xf numFmtId="1" fontId="3" fillId="0" borderId="0" xfId="0" applyNumberFormat="1" applyFont="1" applyAlignment="1">
      <alignment horizontal="left"/>
    </xf>
    <xf numFmtId="1" fontId="3" fillId="0" borderId="4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8" fontId="3" fillId="0" borderId="0" xfId="1" applyNumberFormat="1" applyFont="1" applyFill="1" applyBorder="1"/>
    <xf numFmtId="14" fontId="3" fillId="0" borderId="0" xfId="0" applyNumberFormat="1" applyFont="1" applyAlignment="1">
      <alignment horizontal="right" vertical="top"/>
    </xf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 applyAlignment="1">
      <alignment horizontal="center"/>
    </xf>
    <xf numFmtId="0" fontId="3" fillId="0" borderId="7" xfId="0" applyFont="1" applyBorder="1"/>
    <xf numFmtId="1" fontId="3" fillId="0" borderId="0" xfId="0" applyNumberFormat="1" applyFont="1" applyAlignment="1">
      <alignment horizontal="right" vertical="top"/>
    </xf>
    <xf numFmtId="0" fontId="3" fillId="0" borderId="11" xfId="0" applyFont="1" applyBorder="1"/>
    <xf numFmtId="0" fontId="3" fillId="0" borderId="4" xfId="0" applyFont="1" applyBorder="1"/>
    <xf numFmtId="14" fontId="3" fillId="0" borderId="1" xfId="0" applyNumberFormat="1" applyFont="1" applyBorder="1" applyAlignment="1">
      <alignment wrapText="1"/>
    </xf>
    <xf numFmtId="14" fontId="3" fillId="0" borderId="0" xfId="0" applyNumberFormat="1" applyFont="1" applyAlignment="1">
      <alignment vertical="top"/>
    </xf>
    <xf numFmtId="14" fontId="2" fillId="0" borderId="0" xfId="0" applyNumberFormat="1" applyFont="1" applyAlignment="1">
      <alignment wrapText="1"/>
    </xf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left"/>
    </xf>
    <xf numFmtId="43" fontId="0" fillId="0" borderId="0" xfId="0" applyNumberFormat="1" applyAlignment="1">
      <alignment horizontal="right"/>
    </xf>
    <xf numFmtId="0" fontId="3" fillId="0" borderId="2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5" xfId="0" applyFont="1" applyBorder="1"/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vertical="center" wrapText="1"/>
    </xf>
    <xf numFmtId="164" fontId="2" fillId="0" borderId="0" xfId="0" applyNumberFormat="1" applyFont="1" applyAlignment="1">
      <alignment wrapText="1"/>
    </xf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14" fontId="3" fillId="0" borderId="8" xfId="0" applyNumberFormat="1" applyFont="1" applyBorder="1" applyAlignment="1">
      <alignment horizontal="right" vertical="top"/>
    </xf>
    <xf numFmtId="1" fontId="3" fillId="0" borderId="8" xfId="0" applyNumberFormat="1" applyFont="1" applyBorder="1" applyAlignment="1">
      <alignment horizontal="left" vertical="top"/>
    </xf>
    <xf numFmtId="0" fontId="5" fillId="0" borderId="16" xfId="0" applyFont="1" applyBorder="1"/>
    <xf numFmtId="43" fontId="7" fillId="0" borderId="21" xfId="0" applyNumberFormat="1" applyFont="1" applyBorder="1" applyAlignment="1">
      <alignment horizontal="right"/>
    </xf>
    <xf numFmtId="14" fontId="3" fillId="0" borderId="22" xfId="0" applyNumberFormat="1" applyFont="1" applyBorder="1" applyAlignment="1">
      <alignment horizontal="left"/>
    </xf>
    <xf numFmtId="0" fontId="5" fillId="0" borderId="19" xfId="0" applyFont="1" applyBorder="1"/>
    <xf numFmtId="43" fontId="7" fillId="0" borderId="24" xfId="0" applyNumberFormat="1" applyFont="1" applyBorder="1" applyAlignment="1">
      <alignment horizontal="right"/>
    </xf>
    <xf numFmtId="14" fontId="3" fillId="0" borderId="25" xfId="0" applyNumberFormat="1" applyFont="1" applyBorder="1" applyAlignment="1">
      <alignment horizontal="left"/>
    </xf>
    <xf numFmtId="49" fontId="3" fillId="0" borderId="0" xfId="0" applyNumberFormat="1" applyFont="1"/>
    <xf numFmtId="43" fontId="4" fillId="0" borderId="0" xfId="0" applyNumberFormat="1" applyFont="1" applyAlignment="1">
      <alignment wrapText="1"/>
    </xf>
    <xf numFmtId="14" fontId="8" fillId="0" borderId="4" xfId="0" applyNumberFormat="1" applyFont="1" applyBorder="1" applyAlignment="1">
      <alignment horizontal="left" wrapText="1"/>
    </xf>
    <xf numFmtId="14" fontId="8" fillId="0" borderId="7" xfId="0" applyNumberFormat="1" applyFont="1" applyBorder="1" applyAlignment="1">
      <alignment horizontal="left" wrapText="1"/>
    </xf>
    <xf numFmtId="14" fontId="3" fillId="0" borderId="4" xfId="0" applyNumberFormat="1" applyFont="1" applyBorder="1"/>
    <xf numFmtId="0" fontId="3" fillId="0" borderId="0" xfId="0" applyFont="1" applyAlignment="1">
      <alignment horizontal="right"/>
    </xf>
    <xf numFmtId="0" fontId="3" fillId="0" borderId="19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20" xfId="0" applyFont="1" applyBorder="1"/>
    <xf numFmtId="14" fontId="3" fillId="0" borderId="7" xfId="0" applyNumberFormat="1" applyFont="1" applyBorder="1" applyAlignment="1">
      <alignment horizontal="right" wrapText="1"/>
    </xf>
    <xf numFmtId="0" fontId="3" fillId="0" borderId="15" xfId="0" applyFont="1" applyBorder="1"/>
    <xf numFmtId="0" fontId="3" fillId="0" borderId="18" xfId="0" applyFont="1" applyBorder="1"/>
    <xf numFmtId="43" fontId="0" fillId="0" borderId="0" xfId="0" applyNumberFormat="1"/>
    <xf numFmtId="14" fontId="3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1" fontId="3" fillId="2" borderId="0" xfId="0" applyNumberFormat="1" applyFont="1" applyFill="1" applyAlignment="1">
      <alignment horizontal="right"/>
    </xf>
    <xf numFmtId="14" fontId="3" fillId="0" borderId="3" xfId="0" applyNumberFormat="1" applyFont="1" applyBorder="1" applyAlignment="1">
      <alignment horizontal="left"/>
    </xf>
    <xf numFmtId="14" fontId="3" fillId="0" borderId="2" xfId="0" applyNumberFormat="1" applyFont="1" applyBorder="1" applyAlignment="1">
      <alignment wrapText="1"/>
    </xf>
    <xf numFmtId="0" fontId="3" fillId="0" borderId="8" xfId="0" applyFont="1" applyBorder="1" applyAlignment="1">
      <alignment horizontal="center"/>
    </xf>
    <xf numFmtId="0" fontId="5" fillId="0" borderId="0" xfId="0" applyFont="1" applyAlignment="1">
      <alignment vertical="center"/>
    </xf>
    <xf numFmtId="43" fontId="5" fillId="0" borderId="0" xfId="1" applyFont="1" applyAlignment="1">
      <alignment vertical="center"/>
    </xf>
    <xf numFmtId="43" fontId="7" fillId="0" borderId="0" xfId="1" applyFont="1" applyAlignment="1">
      <alignment horizontal="right"/>
    </xf>
    <xf numFmtId="14" fontId="5" fillId="0" borderId="0" xfId="0" applyNumberFormat="1" applyFont="1" applyAlignment="1">
      <alignment vertical="center"/>
    </xf>
    <xf numFmtId="14" fontId="5" fillId="0" borderId="7" xfId="0" applyNumberFormat="1" applyFont="1" applyBorder="1" applyAlignment="1">
      <alignment horizontal="left" vertical="center"/>
    </xf>
    <xf numFmtId="14" fontId="3" fillId="0" borderId="17" xfId="0" applyNumberFormat="1" applyFont="1" applyBorder="1"/>
    <xf numFmtId="14" fontId="3" fillId="0" borderId="18" xfId="0" applyNumberFormat="1" applyFont="1" applyBorder="1"/>
    <xf numFmtId="14" fontId="3" fillId="0" borderId="20" xfId="0" applyNumberFormat="1" applyFont="1" applyBorder="1"/>
    <xf numFmtId="0" fontId="3" fillId="0" borderId="8" xfId="0" applyFont="1" applyBorder="1" applyAlignment="1">
      <alignment horizontal="right"/>
    </xf>
    <xf numFmtId="1" fontId="3" fillId="0" borderId="8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left" vertical="center"/>
    </xf>
    <xf numFmtId="14" fontId="5" fillId="0" borderId="0" xfId="0" applyNumberFormat="1" applyFont="1" applyAlignment="1">
      <alignment horizontal="center" vertical="center"/>
    </xf>
    <xf numFmtId="0" fontId="3" fillId="0" borderId="27" xfId="0" applyFont="1" applyBorder="1"/>
    <xf numFmtId="14" fontId="3" fillId="0" borderId="1" xfId="0" applyNumberFormat="1" applyFont="1" applyBorder="1" applyAlignment="1">
      <alignment horizontal="right" wrapText="1"/>
    </xf>
    <xf numFmtId="14" fontId="5" fillId="0" borderId="0" xfId="0" applyNumberFormat="1" applyFont="1" applyAlignment="1">
      <alignment horizontal="right" vertical="center"/>
    </xf>
    <xf numFmtId="14" fontId="3" fillId="0" borderId="2" xfId="0" applyNumberFormat="1" applyFont="1" applyBorder="1" applyAlignment="1">
      <alignment horizontal="right" wrapText="1"/>
    </xf>
    <xf numFmtId="14" fontId="2" fillId="0" borderId="0" xfId="0" applyNumberFormat="1" applyFont="1" applyAlignment="1">
      <alignment horizontal="right" wrapText="1"/>
    </xf>
    <xf numFmtId="14" fontId="3" fillId="0" borderId="17" xfId="0" applyNumberFormat="1" applyFont="1" applyBorder="1" applyAlignment="1">
      <alignment horizontal="right"/>
    </xf>
    <xf numFmtId="14" fontId="3" fillId="0" borderId="18" xfId="0" applyNumberFormat="1" applyFont="1" applyBorder="1" applyAlignment="1">
      <alignment horizontal="right"/>
    </xf>
    <xf numFmtId="14" fontId="3" fillId="0" borderId="20" xfId="0" applyNumberFormat="1" applyFont="1" applyBorder="1" applyAlignment="1">
      <alignment horizontal="right"/>
    </xf>
    <xf numFmtId="14" fontId="5" fillId="0" borderId="8" xfId="0" applyNumberFormat="1" applyFont="1" applyBorder="1" applyAlignment="1">
      <alignment horizontal="left" vertical="center"/>
    </xf>
    <xf numFmtId="14" fontId="5" fillId="0" borderId="8" xfId="0" applyNumberFormat="1" applyFont="1" applyBorder="1" applyAlignment="1">
      <alignment horizontal="right" vertical="center"/>
    </xf>
    <xf numFmtId="14" fontId="5" fillId="2" borderId="8" xfId="0" applyNumberFormat="1" applyFont="1" applyFill="1" applyBorder="1" applyAlignment="1">
      <alignment horizontal="right" vertical="center"/>
    </xf>
    <xf numFmtId="14" fontId="3" fillId="2" borderId="8" xfId="0" applyNumberFormat="1" applyFont="1" applyFill="1" applyBorder="1" applyAlignment="1">
      <alignment horizontal="right"/>
    </xf>
    <xf numFmtId="43" fontId="5" fillId="0" borderId="0" xfId="1" applyFont="1" applyFill="1" applyAlignment="1">
      <alignment vertical="center"/>
    </xf>
    <xf numFmtId="1" fontId="5" fillId="0" borderId="8" xfId="0" applyNumberFormat="1" applyFont="1" applyBorder="1" applyAlignment="1">
      <alignment horizontal="right" vertical="center"/>
    </xf>
    <xf numFmtId="43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14" fontId="5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 wrapText="1"/>
    </xf>
    <xf numFmtId="14" fontId="4" fillId="0" borderId="3" xfId="0" applyNumberFormat="1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14" fontId="3" fillId="0" borderId="8" xfId="0" applyNumberFormat="1" applyFont="1" applyBorder="1" applyAlignment="1">
      <alignment horizontal="center" vertical="top" wrapText="1"/>
    </xf>
    <xf numFmtId="14" fontId="3" fillId="0" borderId="0" xfId="0" applyNumberFormat="1" applyFont="1" applyAlignment="1">
      <alignment horizontal="center" vertical="top" wrapText="1"/>
    </xf>
    <xf numFmtId="14" fontId="3" fillId="0" borderId="8" xfId="0" applyNumberFormat="1" applyFont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3" fillId="0" borderId="0" xfId="0" applyNumberFormat="1" applyFont="1" applyAlignment="1">
      <alignment horizontal="left" wrapText="1"/>
    </xf>
    <xf numFmtId="14" fontId="3" fillId="0" borderId="0" xfId="0" applyNumberFormat="1" applyFont="1" applyAlignment="1">
      <alignment horizontal="left"/>
    </xf>
    <xf numFmtId="14" fontId="4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43" fontId="3" fillId="0" borderId="0" xfId="1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 wrapText="1"/>
    </xf>
    <xf numFmtId="14" fontId="3" fillId="0" borderId="8" xfId="0" applyNumberFormat="1" applyFont="1" applyBorder="1" applyAlignment="1">
      <alignment horizontal="left" vertical="center" wrapText="1"/>
    </xf>
    <xf numFmtId="14" fontId="3" fillId="0" borderId="7" xfId="0" applyNumberFormat="1" applyFont="1" applyBorder="1" applyAlignment="1">
      <alignment horizontal="right" vertical="center"/>
    </xf>
    <xf numFmtId="43" fontId="3" fillId="0" borderId="0" xfId="0" applyNumberFormat="1" applyFont="1" applyAlignment="1">
      <alignment horizontal="center" vertical="center"/>
    </xf>
    <xf numFmtId="14" fontId="3" fillId="0" borderId="8" xfId="0" applyNumberFormat="1" applyFont="1" applyBorder="1" applyAlignment="1">
      <alignment horizontal="center" wrapText="1"/>
    </xf>
    <xf numFmtId="14" fontId="3" fillId="0" borderId="0" xfId="0" applyNumberFormat="1" applyFont="1" applyAlignment="1">
      <alignment horizontal="center" wrapText="1"/>
    </xf>
    <xf numFmtId="43" fontId="3" fillId="0" borderId="0" xfId="1" applyFont="1" applyFill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/>
    </xf>
    <xf numFmtId="1" fontId="3" fillId="0" borderId="4" xfId="0" applyNumberFormat="1" applyFont="1" applyBorder="1" applyAlignment="1">
      <alignment horizontal="center"/>
    </xf>
    <xf numFmtId="1" fontId="3" fillId="0" borderId="8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4" fontId="3" fillId="0" borderId="0" xfId="0" applyNumberFormat="1" applyFont="1" applyAlignment="1">
      <alignment horizontal="center" vertical="top"/>
    </xf>
    <xf numFmtId="0" fontId="3" fillId="0" borderId="6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2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14" fontId="3" fillId="0" borderId="23" xfId="0" applyNumberFormat="1" applyFont="1" applyBorder="1" applyAlignment="1">
      <alignment horizontal="center" vertical="center" wrapText="1"/>
    </xf>
    <xf numFmtId="14" fontId="3" fillId="0" borderId="26" xfId="0" applyNumberFormat="1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49" fontId="3" fillId="0" borderId="8" xfId="0" applyNumberFormat="1" applyFont="1" applyBorder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0" fontId="3" fillId="0" borderId="15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1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left" vertical="center"/>
    </xf>
    <xf numFmtId="43" fontId="0" fillId="0" borderId="0" xfId="0" applyNumberFormat="1" applyAlignment="1">
      <alignment horizontal="center" vertical="center"/>
    </xf>
    <xf numFmtId="14" fontId="3" fillId="0" borderId="7" xfId="0" applyNumberFormat="1" applyFont="1" applyBorder="1" applyAlignment="1">
      <alignment horizontal="left" vertical="center"/>
    </xf>
    <xf numFmtId="1" fontId="4" fillId="0" borderId="8" xfId="0" applyNumberFormat="1" applyFont="1" applyBorder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14" fontId="3" fillId="0" borderId="0" xfId="0" applyNumberFormat="1" applyFont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3" fontId="0" fillId="0" borderId="3" xfId="0" applyNumberFormat="1" applyBorder="1" applyAlignment="1">
      <alignment horizontal="center" vertical="center"/>
    </xf>
    <xf numFmtId="43" fontId="0" fillId="0" borderId="1" xfId="0" applyNumberFormat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wrapText="1"/>
    </xf>
    <xf numFmtId="14" fontId="3" fillId="0" borderId="4" xfId="0" applyNumberFormat="1" applyFont="1" applyBorder="1" applyAlignment="1">
      <alignment horizontal="center" wrapText="1"/>
    </xf>
    <xf numFmtId="14" fontId="3" fillId="0" borderId="7" xfId="0" applyNumberFormat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14" fontId="3" fillId="0" borderId="5" xfId="0" applyNumberFormat="1" applyFont="1" applyBorder="1" applyAlignment="1">
      <alignment horizontal="center" wrapText="1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3" fontId="7" fillId="0" borderId="3" xfId="0" applyNumberFormat="1" applyFont="1" applyBorder="1" applyAlignment="1">
      <alignment horizontal="center" vertical="center"/>
    </xf>
    <xf numFmtId="43" fontId="7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3" fontId="7" fillId="0" borderId="0" xfId="0" applyNumberFormat="1" applyFont="1" applyAlignment="1">
      <alignment horizontal="left" vertical="center"/>
    </xf>
    <xf numFmtId="14" fontId="3" fillId="0" borderId="4" xfId="0" applyNumberFormat="1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0" fontId="3" fillId="0" borderId="0" xfId="0" applyFont="1" applyFill="1"/>
    <xf numFmtId="43" fontId="3" fillId="0" borderId="0" xfId="0" applyNumberFormat="1" applyFont="1" applyFill="1" applyAlignment="1">
      <alignment horizontal="right"/>
    </xf>
    <xf numFmtId="14" fontId="3" fillId="0" borderId="0" xfId="0" applyNumberFormat="1" applyFont="1" applyFill="1" applyAlignment="1">
      <alignment horizontal="left"/>
    </xf>
    <xf numFmtId="43" fontId="4" fillId="0" borderId="0" xfId="0" applyNumberFormat="1" applyFont="1" applyFill="1" applyAlignment="1">
      <alignment wrapText="1"/>
    </xf>
    <xf numFmtId="14" fontId="4" fillId="0" borderId="0" xfId="0" applyNumberFormat="1" applyFont="1" applyFill="1" applyAlignment="1">
      <alignment wrapText="1"/>
    </xf>
    <xf numFmtId="14" fontId="3" fillId="0" borderId="8" xfId="0" applyNumberFormat="1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calcChain" Target="calcChain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35"/>
  <sheetViews>
    <sheetView workbookViewId="0">
      <selection activeCell="C34" sqref="C34"/>
    </sheetView>
  </sheetViews>
  <sheetFormatPr defaultRowHeight="18.75" x14ac:dyDescent="0.3"/>
  <cols>
    <col min="1" max="1" width="30.5703125" style="1" bestFit="1" customWidth="1"/>
    <col min="2" max="2" width="20.5703125" style="3" bestFit="1" customWidth="1"/>
    <col min="3" max="3" width="25.7109375" style="2" customWidth="1"/>
    <col min="4" max="7" width="9.140625" style="1"/>
    <col min="8" max="8" width="17.7109375" style="1" customWidth="1"/>
    <col min="9" max="16384" width="9.140625" style="1"/>
  </cols>
  <sheetData>
    <row r="1" spans="1:9" ht="15.95" customHeight="1" x14ac:dyDescent="0.3">
      <c r="A1" s="1" t="s">
        <v>8</v>
      </c>
    </row>
    <row r="2" spans="1:9" ht="15.95" customHeight="1" x14ac:dyDescent="0.3">
      <c r="A2" s="8">
        <v>41790</v>
      </c>
    </row>
    <row r="3" spans="1:9" ht="15.95" customHeight="1" x14ac:dyDescent="0.3">
      <c r="A3" s="1" t="s">
        <v>7</v>
      </c>
      <c r="B3" s="3">
        <v>4719298.5</v>
      </c>
    </row>
    <row r="4" spans="1:9" ht="15.95" customHeight="1" x14ac:dyDescent="0.3">
      <c r="A4" s="1" t="s">
        <v>6</v>
      </c>
    </row>
    <row r="5" spans="1:9" ht="15.95" customHeight="1" x14ac:dyDescent="0.3">
      <c r="A5" s="1">
        <v>2100</v>
      </c>
      <c r="B5" s="3">
        <v>-4156207.5</v>
      </c>
    </row>
    <row r="6" spans="1:9" ht="15.95" customHeight="1" x14ac:dyDescent="0.3"/>
    <row r="7" spans="1:9" ht="15.95" customHeight="1" x14ac:dyDescent="0.3">
      <c r="A7" s="1" t="s">
        <v>5</v>
      </c>
      <c r="B7" s="3">
        <f>SUM(B5:B6)</f>
        <v>-4156207.5</v>
      </c>
    </row>
    <row r="8" spans="1:9" ht="15.95" customHeight="1" x14ac:dyDescent="0.3">
      <c r="A8" s="5" t="s">
        <v>4</v>
      </c>
      <c r="B8" s="4">
        <f>SUM(B3+B7)</f>
        <v>563091</v>
      </c>
    </row>
    <row r="9" spans="1:9" ht="15.95" customHeight="1" x14ac:dyDescent="0.3">
      <c r="A9" s="1" t="s">
        <v>3</v>
      </c>
    </row>
    <row r="10" spans="1:9" ht="15.95" customHeight="1" x14ac:dyDescent="0.3"/>
    <row r="11" spans="1:9" ht="15.95" customHeight="1" x14ac:dyDescent="0.3">
      <c r="B11" s="7"/>
    </row>
    <row r="12" spans="1:9" ht="15.95" customHeight="1" x14ac:dyDescent="0.3"/>
    <row r="13" spans="1:9" s="2" customFormat="1" ht="15.95" customHeight="1" x14ac:dyDescent="0.3">
      <c r="A13" s="1"/>
      <c r="B13" s="3"/>
      <c r="D13" s="1"/>
      <c r="E13" s="1"/>
      <c r="F13" s="1"/>
      <c r="G13" s="1"/>
      <c r="H13" s="1"/>
      <c r="I13" s="1"/>
    </row>
    <row r="14" spans="1:9" ht="15.95" customHeight="1" x14ac:dyDescent="0.3">
      <c r="B14" s="3">
        <f>SUM(B10:B13)</f>
        <v>0</v>
      </c>
    </row>
    <row r="15" spans="1:9" ht="15.95" customHeight="1" x14ac:dyDescent="0.3">
      <c r="A15" s="1" t="s">
        <v>2</v>
      </c>
    </row>
    <row r="16" spans="1:9" ht="15.95" customHeight="1" x14ac:dyDescent="0.3">
      <c r="A16" s="1" t="s">
        <v>18</v>
      </c>
      <c r="B16" s="3">
        <v>20740</v>
      </c>
      <c r="C16" s="6" t="s">
        <v>33</v>
      </c>
    </row>
    <row r="17" spans="1:9" ht="15.95" customHeight="1" x14ac:dyDescent="0.3">
      <c r="A17" s="1" t="s">
        <v>19</v>
      </c>
      <c r="B17" s="3">
        <v>24547</v>
      </c>
      <c r="C17" s="6" t="s">
        <v>34</v>
      </c>
    </row>
    <row r="18" spans="1:9" ht="15.95" customHeight="1" x14ac:dyDescent="0.3">
      <c r="A18" s="1" t="s">
        <v>9</v>
      </c>
      <c r="B18" s="3">
        <v>27655</v>
      </c>
      <c r="C18" s="6" t="s">
        <v>24</v>
      </c>
    </row>
    <row r="19" spans="1:9" ht="15.95" customHeight="1" x14ac:dyDescent="0.3">
      <c r="A19" s="1" t="s">
        <v>10</v>
      </c>
      <c r="B19" s="3">
        <v>27694</v>
      </c>
      <c r="C19" s="6" t="s">
        <v>25</v>
      </c>
      <c r="H19" s="3"/>
      <c r="I19" s="6"/>
    </row>
    <row r="20" spans="1:9" ht="15.95" customHeight="1" x14ac:dyDescent="0.3">
      <c r="A20" s="1" t="s">
        <v>20</v>
      </c>
      <c r="B20" s="3">
        <v>28635</v>
      </c>
      <c r="C20" s="6" t="s">
        <v>35</v>
      </c>
      <c r="H20" s="3"/>
      <c r="I20" s="6"/>
    </row>
    <row r="21" spans="1:9" ht="15.95" customHeight="1" x14ac:dyDescent="0.3">
      <c r="A21" s="1" t="s">
        <v>11</v>
      </c>
      <c r="B21" s="3">
        <v>30882</v>
      </c>
      <c r="C21" s="6" t="s">
        <v>26</v>
      </c>
      <c r="H21" s="3"/>
      <c r="I21" s="6"/>
    </row>
    <row r="22" spans="1:9" ht="15.95" customHeight="1" x14ac:dyDescent="0.3">
      <c r="A22" s="1" t="s">
        <v>12</v>
      </c>
      <c r="B22" s="3">
        <v>36189</v>
      </c>
      <c r="C22" s="6" t="s">
        <v>27</v>
      </c>
    </row>
    <row r="23" spans="1:9" s="6" customFormat="1" ht="15.95" customHeight="1" x14ac:dyDescent="0.3">
      <c r="A23" s="1" t="s">
        <v>21</v>
      </c>
      <c r="B23" s="3">
        <v>36469</v>
      </c>
      <c r="C23" s="6" t="s">
        <v>36</v>
      </c>
    </row>
    <row r="24" spans="1:9" s="6" customFormat="1" ht="15.95" customHeight="1" x14ac:dyDescent="0.3">
      <c r="A24" s="1" t="s">
        <v>13</v>
      </c>
      <c r="B24" s="3">
        <v>38849</v>
      </c>
      <c r="C24" s="6" t="s">
        <v>28</v>
      </c>
    </row>
    <row r="25" spans="1:9" s="6" customFormat="1" ht="15.95" customHeight="1" x14ac:dyDescent="0.3">
      <c r="A25" s="1" t="s">
        <v>14</v>
      </c>
      <c r="B25" s="3">
        <v>45133</v>
      </c>
      <c r="C25" s="6" t="s">
        <v>29</v>
      </c>
    </row>
    <row r="26" spans="1:9" s="6" customFormat="1" ht="15.95" customHeight="1" x14ac:dyDescent="0.3">
      <c r="A26" s="1" t="s">
        <v>15</v>
      </c>
      <c r="B26" s="3">
        <v>45133</v>
      </c>
      <c r="C26" s="6" t="s">
        <v>30</v>
      </c>
    </row>
    <row r="27" spans="1:9" s="6" customFormat="1" ht="15.95" customHeight="1" x14ac:dyDescent="0.3">
      <c r="A27" s="1" t="s">
        <v>22</v>
      </c>
      <c r="B27" s="3">
        <v>46838</v>
      </c>
      <c r="C27" s="6" t="s">
        <v>37</v>
      </c>
    </row>
    <row r="28" spans="1:9" s="6" customFormat="1" ht="15.95" customHeight="1" x14ac:dyDescent="0.3">
      <c r="A28" s="1" t="s">
        <v>16</v>
      </c>
      <c r="B28" s="3">
        <v>47443</v>
      </c>
      <c r="C28" s="6" t="s">
        <v>31</v>
      </c>
    </row>
    <row r="29" spans="1:9" s="6" customFormat="1" ht="15.95" customHeight="1" x14ac:dyDescent="0.3">
      <c r="A29" s="1" t="s">
        <v>17</v>
      </c>
      <c r="B29" s="3">
        <v>48127</v>
      </c>
      <c r="C29" s="6" t="s">
        <v>32</v>
      </c>
    </row>
    <row r="30" spans="1:9" s="6" customFormat="1" ht="15.95" customHeight="1" x14ac:dyDescent="0.3">
      <c r="A30" s="1" t="s">
        <v>23</v>
      </c>
      <c r="B30" s="3">
        <v>58757</v>
      </c>
      <c r="C30" s="6" t="s">
        <v>38</v>
      </c>
    </row>
    <row r="31" spans="1:9" s="6" customFormat="1" ht="15.95" customHeight="1" x14ac:dyDescent="0.3">
      <c r="A31" s="1"/>
      <c r="B31" s="3"/>
    </row>
    <row r="32" spans="1:9" s="6" customFormat="1" ht="15.95" customHeight="1" x14ac:dyDescent="0.3">
      <c r="A32" s="1"/>
      <c r="B32" s="3"/>
    </row>
    <row r="33" spans="1:9" s="2" customFormat="1" ht="15.95" customHeight="1" x14ac:dyDescent="0.3">
      <c r="A33" s="1"/>
      <c r="B33" s="3">
        <f>SUM(B16:B32)</f>
        <v>563091</v>
      </c>
      <c r="D33" s="1"/>
      <c r="E33" s="1"/>
      <c r="F33" s="1"/>
      <c r="G33" s="1"/>
      <c r="H33" s="1"/>
      <c r="I33" s="1"/>
    </row>
    <row r="34" spans="1:9" s="2" customFormat="1" ht="15.95" customHeight="1" x14ac:dyDescent="0.3">
      <c r="A34" s="5" t="s">
        <v>1</v>
      </c>
      <c r="B34" s="4">
        <f>B33+B14</f>
        <v>563091</v>
      </c>
      <c r="D34" s="1"/>
      <c r="E34" s="1"/>
      <c r="F34" s="1"/>
      <c r="G34" s="1"/>
      <c r="H34" s="1"/>
      <c r="I34" s="1"/>
    </row>
    <row r="35" spans="1:9" s="2" customFormat="1" ht="15.95" customHeight="1" x14ac:dyDescent="0.3">
      <c r="A35" s="1" t="s">
        <v>0</v>
      </c>
      <c r="B35" s="3">
        <f>B34-B8</f>
        <v>0</v>
      </c>
      <c r="D35" s="1"/>
      <c r="E35" s="1"/>
      <c r="F35" s="1"/>
      <c r="G35" s="1"/>
      <c r="H35" s="1"/>
      <c r="I35" s="1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40"/>
  <sheetViews>
    <sheetView workbookViewId="0">
      <selection activeCell="D8" sqref="D8"/>
    </sheetView>
  </sheetViews>
  <sheetFormatPr defaultRowHeight="18.75" x14ac:dyDescent="0.3"/>
  <cols>
    <col min="1" max="1" width="30.5703125" style="1" bestFit="1" customWidth="1"/>
    <col min="2" max="2" width="20.5703125" style="3" bestFit="1" customWidth="1"/>
    <col min="3" max="3" width="25.7109375" style="2" customWidth="1"/>
    <col min="4" max="7" width="9.140625" style="1"/>
    <col min="8" max="8" width="17.7109375" style="1" customWidth="1"/>
    <col min="9" max="16384" width="9.140625" style="1"/>
  </cols>
  <sheetData>
    <row r="1" spans="1:9" ht="15.95" customHeight="1" x14ac:dyDescent="0.3">
      <c r="A1" s="1" t="s">
        <v>8</v>
      </c>
    </row>
    <row r="2" spans="1:9" ht="15.95" customHeight="1" x14ac:dyDescent="0.3">
      <c r="A2" s="8">
        <v>41820</v>
      </c>
    </row>
    <row r="3" spans="1:9" ht="15.95" customHeight="1" x14ac:dyDescent="0.3">
      <c r="A3" s="1" t="s">
        <v>7</v>
      </c>
      <c r="B3" s="3">
        <v>4593419</v>
      </c>
    </row>
    <row r="4" spans="1:9" ht="15.95" customHeight="1" x14ac:dyDescent="0.3">
      <c r="A4" s="1" t="s">
        <v>6</v>
      </c>
    </row>
    <row r="5" spans="1:9" ht="15.95" customHeight="1" x14ac:dyDescent="0.3">
      <c r="A5" s="1">
        <v>2100</v>
      </c>
      <c r="B5" s="3">
        <v>-3597316</v>
      </c>
    </row>
    <row r="6" spans="1:9" ht="15.95" customHeight="1" x14ac:dyDescent="0.3"/>
    <row r="7" spans="1:9" ht="15.95" customHeight="1" x14ac:dyDescent="0.3">
      <c r="A7" s="1" t="s">
        <v>5</v>
      </c>
      <c r="B7" s="3">
        <f>SUM(B5:B6)</f>
        <v>-3597316</v>
      </c>
    </row>
    <row r="8" spans="1:9" ht="15.95" customHeight="1" x14ac:dyDescent="0.3">
      <c r="A8" s="5" t="s">
        <v>4</v>
      </c>
      <c r="B8" s="4">
        <f>SUM(B3+B7)</f>
        <v>996103</v>
      </c>
    </row>
    <row r="9" spans="1:9" ht="15.95" customHeight="1" x14ac:dyDescent="0.3">
      <c r="A9" s="1" t="s">
        <v>3</v>
      </c>
    </row>
    <row r="10" spans="1:9" ht="15.95" customHeight="1" x14ac:dyDescent="0.3"/>
    <row r="11" spans="1:9" ht="15.95" customHeight="1" x14ac:dyDescent="0.3">
      <c r="B11" s="3">
        <f>B10</f>
        <v>0</v>
      </c>
    </row>
    <row r="12" spans="1:9" ht="15.95" customHeight="1" x14ac:dyDescent="0.3">
      <c r="A12" s="1" t="s">
        <v>2</v>
      </c>
    </row>
    <row r="13" spans="1:9" ht="15.95" customHeight="1" x14ac:dyDescent="0.3">
      <c r="A13" s="1" t="s">
        <v>39</v>
      </c>
      <c r="B13" s="3">
        <v>20381</v>
      </c>
      <c r="C13" s="6" t="s">
        <v>47</v>
      </c>
    </row>
    <row r="14" spans="1:9" ht="15.95" customHeight="1" x14ac:dyDescent="0.3">
      <c r="A14" s="1" t="s">
        <v>40</v>
      </c>
      <c r="B14" s="3">
        <v>23624</v>
      </c>
      <c r="C14" s="6" t="s">
        <v>48</v>
      </c>
    </row>
    <row r="15" spans="1:9" ht="15.95" customHeight="1" x14ac:dyDescent="0.3">
      <c r="A15" s="1" t="s">
        <v>77</v>
      </c>
      <c r="B15" s="3">
        <v>25715</v>
      </c>
      <c r="C15" s="6" t="s">
        <v>81</v>
      </c>
    </row>
    <row r="16" spans="1:9" ht="15.95" customHeight="1" x14ac:dyDescent="0.3">
      <c r="A16" s="1" t="s">
        <v>76</v>
      </c>
      <c r="B16" s="3">
        <v>31334</v>
      </c>
      <c r="C16" s="6" t="s">
        <v>82</v>
      </c>
      <c r="H16" s="3"/>
      <c r="I16" s="6"/>
    </row>
    <row r="17" spans="1:9" ht="15.95" customHeight="1" x14ac:dyDescent="0.3">
      <c r="A17" s="1" t="s">
        <v>75</v>
      </c>
      <c r="B17" s="3">
        <v>31674</v>
      </c>
      <c r="C17" s="6" t="s">
        <v>83</v>
      </c>
      <c r="H17" s="3"/>
      <c r="I17" s="6"/>
    </row>
    <row r="18" spans="1:9" ht="15.95" customHeight="1" x14ac:dyDescent="0.3">
      <c r="A18" s="1" t="s">
        <v>54</v>
      </c>
      <c r="B18" s="3">
        <v>34361</v>
      </c>
      <c r="C18" s="6" t="s">
        <v>55</v>
      </c>
      <c r="H18" s="3"/>
      <c r="I18" s="6"/>
    </row>
    <row r="19" spans="1:9" ht="15.95" customHeight="1" x14ac:dyDescent="0.3">
      <c r="A19" s="1" t="s">
        <v>41</v>
      </c>
      <c r="B19" s="3">
        <v>35602</v>
      </c>
      <c r="C19" s="6" t="s">
        <v>49</v>
      </c>
    </row>
    <row r="20" spans="1:9" s="6" customFormat="1" ht="15.95" customHeight="1" x14ac:dyDescent="0.3">
      <c r="A20" s="1" t="s">
        <v>56</v>
      </c>
      <c r="B20" s="3">
        <v>35953</v>
      </c>
      <c r="C20" s="6" t="s">
        <v>57</v>
      </c>
    </row>
    <row r="21" spans="1:9" s="6" customFormat="1" ht="15.95" customHeight="1" x14ac:dyDescent="0.3">
      <c r="A21" s="1" t="s">
        <v>67</v>
      </c>
      <c r="B21" s="3">
        <v>36189</v>
      </c>
      <c r="C21" s="6" t="s">
        <v>68</v>
      </c>
    </row>
    <row r="22" spans="1:9" s="6" customFormat="1" ht="15.95" customHeight="1" x14ac:dyDescent="0.3">
      <c r="A22" s="1" t="s">
        <v>42</v>
      </c>
      <c r="B22" s="3">
        <v>38348</v>
      </c>
      <c r="C22" s="6" t="s">
        <v>50</v>
      </c>
    </row>
    <row r="23" spans="1:9" s="6" customFormat="1" ht="15.95" customHeight="1" x14ac:dyDescent="0.3">
      <c r="A23" s="1" t="s">
        <v>43</v>
      </c>
      <c r="B23" s="3">
        <v>38697</v>
      </c>
      <c r="C23" s="6" t="s">
        <v>51</v>
      </c>
    </row>
    <row r="24" spans="1:9" s="6" customFormat="1" ht="15.95" customHeight="1" x14ac:dyDescent="0.3">
      <c r="A24" s="1" t="s">
        <v>78</v>
      </c>
      <c r="B24" s="3">
        <v>38849</v>
      </c>
      <c r="C24" s="9" t="s">
        <v>84</v>
      </c>
    </row>
    <row r="25" spans="1:9" s="6" customFormat="1" ht="15.95" customHeight="1" x14ac:dyDescent="0.3">
      <c r="A25" s="1" t="s">
        <v>69</v>
      </c>
      <c r="B25" s="3">
        <v>38957</v>
      </c>
      <c r="C25" s="6" t="s">
        <v>70</v>
      </c>
    </row>
    <row r="26" spans="1:9" ht="15.95" customHeight="1" x14ac:dyDescent="0.3">
      <c r="A26" s="1" t="s">
        <v>44</v>
      </c>
      <c r="B26" s="7">
        <v>41003</v>
      </c>
      <c r="C26" s="6" t="s">
        <v>52</v>
      </c>
    </row>
    <row r="27" spans="1:9" ht="15.95" customHeight="1" x14ac:dyDescent="0.3">
      <c r="A27" s="1" t="s">
        <v>58</v>
      </c>
      <c r="B27" s="3">
        <v>41261</v>
      </c>
      <c r="C27" s="6" t="s">
        <v>59</v>
      </c>
    </row>
    <row r="28" spans="1:9" s="2" customFormat="1" ht="15.95" customHeight="1" x14ac:dyDescent="0.3">
      <c r="A28" s="1" t="s">
        <v>60</v>
      </c>
      <c r="B28" s="3">
        <v>41261</v>
      </c>
      <c r="C28" s="6" t="s">
        <v>61</v>
      </c>
      <c r="D28" s="1"/>
      <c r="E28" s="1"/>
      <c r="F28" s="1"/>
      <c r="G28" s="1"/>
      <c r="H28" s="1"/>
      <c r="I28" s="1"/>
    </row>
    <row r="29" spans="1:9" s="6" customFormat="1" ht="15.95" customHeight="1" x14ac:dyDescent="0.3">
      <c r="A29" s="1" t="s">
        <v>79</v>
      </c>
      <c r="B29" s="3">
        <v>42331</v>
      </c>
      <c r="C29" s="6" t="s">
        <v>85</v>
      </c>
    </row>
    <row r="30" spans="1:9" s="6" customFormat="1" ht="15.95" customHeight="1" x14ac:dyDescent="0.3">
      <c r="A30" s="1" t="s">
        <v>45</v>
      </c>
      <c r="B30" s="3">
        <v>44962</v>
      </c>
      <c r="C30" s="6" t="s">
        <v>50</v>
      </c>
    </row>
    <row r="31" spans="1:9" s="6" customFormat="1" ht="15.95" customHeight="1" x14ac:dyDescent="0.3">
      <c r="A31" s="1" t="s">
        <v>46</v>
      </c>
      <c r="B31" s="3">
        <v>45133</v>
      </c>
      <c r="C31" s="6" t="s">
        <v>53</v>
      </c>
    </row>
    <row r="32" spans="1:9" s="6" customFormat="1" ht="15.95" customHeight="1" x14ac:dyDescent="0.3">
      <c r="A32" s="1" t="s">
        <v>62</v>
      </c>
      <c r="B32" s="3">
        <v>45133</v>
      </c>
      <c r="C32" s="6" t="s">
        <v>63</v>
      </c>
    </row>
    <row r="33" spans="1:9" s="6" customFormat="1" ht="15.95" customHeight="1" x14ac:dyDescent="0.3">
      <c r="A33" s="1" t="s">
        <v>64</v>
      </c>
      <c r="B33" s="3">
        <v>45535</v>
      </c>
      <c r="C33" s="6" t="s">
        <v>65</v>
      </c>
    </row>
    <row r="34" spans="1:9" s="6" customFormat="1" ht="15.95" customHeight="1" x14ac:dyDescent="0.3">
      <c r="A34" s="1" t="s">
        <v>80</v>
      </c>
      <c r="B34" s="3">
        <v>49215</v>
      </c>
      <c r="C34" s="6" t="s">
        <v>86</v>
      </c>
    </row>
    <row r="35" spans="1:9" s="6" customFormat="1" ht="15.95" customHeight="1" x14ac:dyDescent="0.3">
      <c r="A35" s="1" t="s">
        <v>66</v>
      </c>
      <c r="B35" s="3">
        <v>49562</v>
      </c>
      <c r="C35" s="6" t="s">
        <v>55</v>
      </c>
    </row>
    <row r="36" spans="1:9" s="6" customFormat="1" ht="15.95" customHeight="1" x14ac:dyDescent="0.3">
      <c r="A36" s="1" t="s">
        <v>71</v>
      </c>
      <c r="B36" s="3">
        <v>60318</v>
      </c>
      <c r="C36" s="6" t="s">
        <v>72</v>
      </c>
    </row>
    <row r="37" spans="1:9" s="6" customFormat="1" ht="15.95" customHeight="1" x14ac:dyDescent="0.3">
      <c r="A37" s="1" t="s">
        <v>73</v>
      </c>
      <c r="B37" s="3">
        <v>60705</v>
      </c>
      <c r="C37" s="6" t="s">
        <v>74</v>
      </c>
    </row>
    <row r="38" spans="1:9" s="2" customFormat="1" ht="15.95" customHeight="1" x14ac:dyDescent="0.3">
      <c r="A38" s="1"/>
      <c r="B38" s="3">
        <f>SUM(B13:B37)</f>
        <v>996103</v>
      </c>
      <c r="C38" s="6"/>
      <c r="D38" s="1"/>
      <c r="E38" s="1"/>
      <c r="F38" s="1"/>
      <c r="G38" s="1"/>
      <c r="H38" s="1"/>
      <c r="I38" s="1"/>
    </row>
    <row r="39" spans="1:9" s="2" customFormat="1" ht="15.95" customHeight="1" x14ac:dyDescent="0.3">
      <c r="A39" s="5" t="s">
        <v>1</v>
      </c>
      <c r="B39" s="4">
        <f>B38+B11</f>
        <v>996103</v>
      </c>
      <c r="D39" s="1"/>
      <c r="E39" s="1"/>
      <c r="F39" s="1"/>
      <c r="G39" s="1"/>
      <c r="H39" s="1"/>
      <c r="I39" s="1"/>
    </row>
    <row r="40" spans="1:9" s="2" customFormat="1" ht="15.95" customHeight="1" x14ac:dyDescent="0.3">
      <c r="A40" s="1" t="s">
        <v>0</v>
      </c>
      <c r="B40" s="3">
        <f>B39-B8</f>
        <v>0</v>
      </c>
      <c r="D40" s="1"/>
      <c r="E40" s="1"/>
      <c r="F40" s="1"/>
      <c r="G40" s="1"/>
      <c r="H40" s="1"/>
      <c r="I40" s="1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37"/>
  <sheetViews>
    <sheetView workbookViewId="0">
      <selection activeCell="C30" sqref="C30"/>
    </sheetView>
  </sheetViews>
  <sheetFormatPr defaultRowHeight="18.75" x14ac:dyDescent="0.3"/>
  <cols>
    <col min="1" max="1" width="27.7109375" style="1" customWidth="1"/>
    <col min="2" max="2" width="20.5703125" style="3" bestFit="1" customWidth="1"/>
    <col min="3" max="3" width="25.7109375" style="2" customWidth="1"/>
    <col min="4" max="7" width="9.140625" style="1"/>
    <col min="8" max="8" width="17.7109375" style="1" customWidth="1"/>
    <col min="9" max="16384" width="9.140625" style="1"/>
  </cols>
  <sheetData>
    <row r="1" spans="1:9" ht="15.95" customHeight="1" x14ac:dyDescent="0.3">
      <c r="A1" s="1" t="s">
        <v>8</v>
      </c>
    </row>
    <row r="2" spans="1:9" ht="15.95" customHeight="1" x14ac:dyDescent="0.3">
      <c r="A2" s="8">
        <v>41851</v>
      </c>
    </row>
    <row r="3" spans="1:9" ht="15.95" customHeight="1" x14ac:dyDescent="0.3">
      <c r="A3" s="1" t="s">
        <v>7</v>
      </c>
      <c r="B3" s="3">
        <v>4499761</v>
      </c>
    </row>
    <row r="4" spans="1:9" ht="15.95" customHeight="1" x14ac:dyDescent="0.3">
      <c r="A4" s="1" t="s">
        <v>6</v>
      </c>
    </row>
    <row r="5" spans="1:9" ht="15.95" customHeight="1" x14ac:dyDescent="0.3">
      <c r="A5" s="1">
        <v>2100</v>
      </c>
      <c r="B5" s="3">
        <v>-3792036</v>
      </c>
    </row>
    <row r="6" spans="1:9" ht="15.95" customHeight="1" x14ac:dyDescent="0.3"/>
    <row r="7" spans="1:9" ht="15.95" customHeight="1" x14ac:dyDescent="0.3">
      <c r="A7" s="1" t="s">
        <v>5</v>
      </c>
      <c r="B7" s="3">
        <f>SUM(B5:B6)</f>
        <v>-3792036</v>
      </c>
    </row>
    <row r="8" spans="1:9" ht="15.95" customHeight="1" x14ac:dyDescent="0.3">
      <c r="A8" s="5" t="s">
        <v>4</v>
      </c>
      <c r="B8" s="4">
        <f>SUM(B3+B7)</f>
        <v>707725</v>
      </c>
    </row>
    <row r="9" spans="1:9" ht="15.95" customHeight="1" x14ac:dyDescent="0.3">
      <c r="A9" s="1" t="s">
        <v>3</v>
      </c>
    </row>
    <row r="10" spans="1:9" ht="15.95" customHeight="1" x14ac:dyDescent="0.3"/>
    <row r="11" spans="1:9" ht="15.95" customHeight="1" x14ac:dyDescent="0.3">
      <c r="B11" s="3">
        <f>B10</f>
        <v>0</v>
      </c>
    </row>
    <row r="12" spans="1:9" ht="15.95" customHeight="1" x14ac:dyDescent="0.3">
      <c r="A12" s="1" t="s">
        <v>2</v>
      </c>
    </row>
    <row r="13" spans="1:9" ht="15.95" customHeight="1" x14ac:dyDescent="0.3">
      <c r="A13" s="1" t="s">
        <v>98</v>
      </c>
      <c r="B13" s="3">
        <v>20381</v>
      </c>
      <c r="C13" s="6" t="s">
        <v>105</v>
      </c>
    </row>
    <row r="14" spans="1:9" ht="15.95" customHeight="1" x14ac:dyDescent="0.3">
      <c r="A14" s="1" t="s">
        <v>87</v>
      </c>
      <c r="B14" s="3">
        <v>22282</v>
      </c>
      <c r="C14" s="6" t="s">
        <v>113</v>
      </c>
    </row>
    <row r="15" spans="1:9" ht="15.95" customHeight="1" x14ac:dyDescent="0.3">
      <c r="A15" s="1" t="s">
        <v>88</v>
      </c>
      <c r="B15" s="3">
        <v>23205</v>
      </c>
      <c r="C15" s="6" t="s">
        <v>112</v>
      </c>
    </row>
    <row r="16" spans="1:9" ht="15.95" customHeight="1" x14ac:dyDescent="0.3">
      <c r="A16" s="1" t="s">
        <v>99</v>
      </c>
      <c r="B16" s="3">
        <v>25753</v>
      </c>
      <c r="C16" s="6" t="s">
        <v>106</v>
      </c>
      <c r="H16" s="3"/>
      <c r="I16" s="6"/>
    </row>
    <row r="17" spans="1:9" ht="15.95" customHeight="1" x14ac:dyDescent="0.3">
      <c r="A17" s="1" t="s">
        <v>89</v>
      </c>
      <c r="B17" s="3">
        <v>30372</v>
      </c>
      <c r="C17" s="6" t="s">
        <v>111</v>
      </c>
      <c r="H17" s="3"/>
      <c r="I17" s="6"/>
    </row>
    <row r="18" spans="1:9" ht="15.95" customHeight="1" x14ac:dyDescent="0.3">
      <c r="A18" s="1" t="s">
        <v>100</v>
      </c>
      <c r="B18" s="3">
        <v>31674</v>
      </c>
      <c r="C18" s="2" t="s">
        <v>114</v>
      </c>
      <c r="H18" s="3"/>
      <c r="I18" s="6"/>
    </row>
    <row r="19" spans="1:9" ht="15.95" customHeight="1" x14ac:dyDescent="0.3">
      <c r="A19" s="1" t="s">
        <v>101</v>
      </c>
      <c r="B19" s="3">
        <v>38408</v>
      </c>
      <c r="C19" s="6" t="s">
        <v>107</v>
      </c>
    </row>
    <row r="20" spans="1:9" s="6" customFormat="1" ht="15.95" customHeight="1" x14ac:dyDescent="0.3">
      <c r="A20" s="1" t="s">
        <v>102</v>
      </c>
      <c r="B20" s="3">
        <v>42331</v>
      </c>
      <c r="C20" s="6" t="s">
        <v>108</v>
      </c>
    </row>
    <row r="21" spans="1:9" s="6" customFormat="1" ht="15.95" customHeight="1" x14ac:dyDescent="0.3">
      <c r="A21" s="1" t="s">
        <v>90</v>
      </c>
      <c r="B21" s="3">
        <v>45194</v>
      </c>
      <c r="C21" s="6" t="s">
        <v>112</v>
      </c>
    </row>
    <row r="22" spans="1:9" s="6" customFormat="1" ht="15.95" customHeight="1" x14ac:dyDescent="0.3">
      <c r="A22" s="1" t="s">
        <v>91</v>
      </c>
      <c r="B22" s="3">
        <v>45194</v>
      </c>
      <c r="C22" s="6" t="s">
        <v>112</v>
      </c>
    </row>
    <row r="23" spans="1:9" s="6" customFormat="1" ht="15.95" customHeight="1" x14ac:dyDescent="0.3">
      <c r="A23" s="1" t="s">
        <v>92</v>
      </c>
      <c r="B23" s="3">
        <v>45194</v>
      </c>
      <c r="C23" s="6" t="s">
        <v>115</v>
      </c>
    </row>
    <row r="24" spans="1:9" s="6" customFormat="1" ht="15.95" customHeight="1" x14ac:dyDescent="0.3">
      <c r="A24" s="1" t="s">
        <v>93</v>
      </c>
      <c r="B24" s="3">
        <v>45194</v>
      </c>
      <c r="C24" s="6" t="s">
        <v>112</v>
      </c>
    </row>
    <row r="25" spans="1:9" s="6" customFormat="1" ht="15.95" customHeight="1" x14ac:dyDescent="0.3">
      <c r="A25" s="1" t="s">
        <v>94</v>
      </c>
      <c r="B25" s="3">
        <v>45454</v>
      </c>
      <c r="C25" s="6" t="s">
        <v>116</v>
      </c>
    </row>
    <row r="26" spans="1:9" ht="15.95" customHeight="1" x14ac:dyDescent="0.3">
      <c r="A26" s="1" t="s">
        <v>95</v>
      </c>
      <c r="B26" s="7">
        <v>45454</v>
      </c>
      <c r="C26" s="6" t="s">
        <v>116</v>
      </c>
    </row>
    <row r="27" spans="1:9" ht="15.95" customHeight="1" x14ac:dyDescent="0.3">
      <c r="A27" s="1" t="s">
        <v>96</v>
      </c>
      <c r="B27" s="3">
        <v>45862</v>
      </c>
      <c r="C27" s="6" t="s">
        <v>112</v>
      </c>
    </row>
    <row r="28" spans="1:9" s="2" customFormat="1" ht="15.95" customHeight="1" x14ac:dyDescent="0.3">
      <c r="A28" s="1" t="s">
        <v>103</v>
      </c>
      <c r="B28" s="3">
        <v>49179</v>
      </c>
      <c r="C28" s="6" t="s">
        <v>109</v>
      </c>
      <c r="D28" s="1"/>
      <c r="E28" s="1"/>
      <c r="F28" s="1"/>
      <c r="G28" s="1"/>
      <c r="H28" s="1"/>
      <c r="I28" s="1"/>
    </row>
    <row r="29" spans="1:9" s="6" customFormat="1" ht="15.95" customHeight="1" x14ac:dyDescent="0.3">
      <c r="A29" s="1" t="s">
        <v>97</v>
      </c>
      <c r="B29" s="3">
        <v>49215</v>
      </c>
      <c r="C29" s="6" t="s">
        <v>117</v>
      </c>
    </row>
    <row r="30" spans="1:9" s="6" customFormat="1" ht="15.95" customHeight="1" x14ac:dyDescent="0.3">
      <c r="A30" s="1" t="s">
        <v>104</v>
      </c>
      <c r="B30" s="3">
        <v>57379</v>
      </c>
      <c r="C30" s="6" t="s">
        <v>110</v>
      </c>
    </row>
    <row r="31" spans="1:9" s="6" customFormat="1" ht="15.95" customHeight="1" x14ac:dyDescent="0.3">
      <c r="A31" s="1"/>
      <c r="B31" s="3"/>
    </row>
    <row r="32" spans="1:9" s="6" customFormat="1" ht="15.95" customHeight="1" x14ac:dyDescent="0.3">
      <c r="A32" s="1"/>
      <c r="B32" s="3"/>
    </row>
    <row r="33" spans="1:9" s="6" customFormat="1" ht="15.95" customHeight="1" x14ac:dyDescent="0.3">
      <c r="A33" s="1"/>
      <c r="B33" s="3"/>
    </row>
    <row r="34" spans="1:9" s="6" customFormat="1" ht="15.95" customHeight="1" x14ac:dyDescent="0.3">
      <c r="A34" s="1"/>
      <c r="B34" s="3"/>
    </row>
    <row r="35" spans="1:9" s="2" customFormat="1" ht="15.95" customHeight="1" x14ac:dyDescent="0.3">
      <c r="A35" s="1"/>
      <c r="B35" s="3">
        <f>SUM(B13:B34)</f>
        <v>707725</v>
      </c>
      <c r="C35" s="6"/>
      <c r="D35" s="1"/>
      <c r="E35" s="1"/>
      <c r="F35" s="1"/>
      <c r="G35" s="1"/>
      <c r="H35" s="1"/>
      <c r="I35" s="1"/>
    </row>
    <row r="36" spans="1:9" s="2" customFormat="1" ht="15.95" customHeight="1" x14ac:dyDescent="0.3">
      <c r="A36" s="5" t="s">
        <v>1</v>
      </c>
      <c r="B36" s="4">
        <f>B35+B11</f>
        <v>707725</v>
      </c>
      <c r="D36" s="1"/>
      <c r="E36" s="1"/>
      <c r="F36" s="1"/>
      <c r="G36" s="1"/>
      <c r="H36" s="1"/>
      <c r="I36" s="1"/>
    </row>
    <row r="37" spans="1:9" s="2" customFormat="1" ht="15.95" customHeight="1" x14ac:dyDescent="0.3">
      <c r="A37" s="1" t="s">
        <v>0</v>
      </c>
      <c r="B37" s="3">
        <f>B36-B8</f>
        <v>0</v>
      </c>
      <c r="D37" s="1"/>
      <c r="E37" s="1"/>
      <c r="F37" s="1"/>
      <c r="G37" s="1"/>
      <c r="H37" s="1"/>
      <c r="I37" s="1"/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36"/>
  <sheetViews>
    <sheetView workbookViewId="0">
      <selection activeCell="H12" sqref="H12"/>
    </sheetView>
  </sheetViews>
  <sheetFormatPr defaultRowHeight="18.75" x14ac:dyDescent="0.3"/>
  <cols>
    <col min="1" max="1" width="27.7109375" style="1" customWidth="1"/>
    <col min="2" max="2" width="20.5703125" style="3" bestFit="1" customWidth="1"/>
    <col min="3" max="3" width="25.7109375" style="2" customWidth="1"/>
    <col min="4" max="7" width="9.140625" style="1"/>
    <col min="8" max="8" width="17.7109375" style="1" customWidth="1"/>
    <col min="9" max="16384" width="9.140625" style="1"/>
  </cols>
  <sheetData>
    <row r="1" spans="1:9" ht="15.95" customHeight="1" x14ac:dyDescent="0.3">
      <c r="A1" s="1" t="s">
        <v>8</v>
      </c>
    </row>
    <row r="2" spans="1:9" ht="15.95" customHeight="1" x14ac:dyDescent="0.3">
      <c r="A2" s="8">
        <v>41882</v>
      </c>
    </row>
    <row r="3" spans="1:9" ht="15.95" customHeight="1" x14ac:dyDescent="0.3">
      <c r="A3" s="1" t="s">
        <v>7</v>
      </c>
      <c r="B3" s="3">
        <v>5008989</v>
      </c>
    </row>
    <row r="4" spans="1:9" ht="15.95" customHeight="1" x14ac:dyDescent="0.3">
      <c r="A4" s="1" t="s">
        <v>6</v>
      </c>
    </row>
    <row r="5" spans="1:9" ht="15.95" customHeight="1" x14ac:dyDescent="0.3">
      <c r="A5" s="1">
        <v>2100</v>
      </c>
      <c r="B5" s="3">
        <v>-4369479</v>
      </c>
    </row>
    <row r="6" spans="1:9" ht="15.95" customHeight="1" x14ac:dyDescent="0.3">
      <c r="A6" s="1">
        <v>2101</v>
      </c>
      <c r="B6" s="3">
        <v>-89000</v>
      </c>
    </row>
    <row r="7" spans="1:9" ht="15.95" customHeight="1" x14ac:dyDescent="0.3">
      <c r="A7" s="1" t="s">
        <v>5</v>
      </c>
      <c r="B7" s="3">
        <f>SUM(B5:B6)</f>
        <v>-4458479</v>
      </c>
    </row>
    <row r="8" spans="1:9" ht="15.95" customHeight="1" x14ac:dyDescent="0.3">
      <c r="A8" s="5" t="s">
        <v>4</v>
      </c>
      <c r="B8" s="4">
        <f>SUM(B3+B7)</f>
        <v>550510</v>
      </c>
    </row>
    <row r="9" spans="1:9" ht="15.95" customHeight="1" x14ac:dyDescent="0.3">
      <c r="A9" s="1" t="s">
        <v>3</v>
      </c>
    </row>
    <row r="10" spans="1:9" ht="15.95" customHeight="1" x14ac:dyDescent="0.3"/>
    <row r="11" spans="1:9" ht="15.95" customHeight="1" x14ac:dyDescent="0.3">
      <c r="B11" s="3">
        <f>B10</f>
        <v>0</v>
      </c>
    </row>
    <row r="12" spans="1:9" ht="15.95" customHeight="1" x14ac:dyDescent="0.3">
      <c r="A12" s="1" t="s">
        <v>2</v>
      </c>
    </row>
    <row r="13" spans="1:9" ht="15.95" customHeight="1" x14ac:dyDescent="0.3">
      <c r="A13" s="1" t="s">
        <v>118</v>
      </c>
      <c r="B13" s="3">
        <v>24572</v>
      </c>
      <c r="C13" s="6" t="s">
        <v>139</v>
      </c>
    </row>
    <row r="14" spans="1:9" ht="15.95" customHeight="1" x14ac:dyDescent="0.3">
      <c r="A14" s="1" t="s">
        <v>119</v>
      </c>
      <c r="B14" s="3">
        <v>27106</v>
      </c>
      <c r="C14" s="6" t="s">
        <v>140</v>
      </c>
    </row>
    <row r="15" spans="1:9" ht="15.95" customHeight="1" x14ac:dyDescent="0.3">
      <c r="A15" s="1" t="s">
        <v>120</v>
      </c>
      <c r="B15" s="3">
        <v>27505</v>
      </c>
      <c r="C15" s="6" t="s">
        <v>141</v>
      </c>
    </row>
    <row r="16" spans="1:9" ht="15.95" customHeight="1" x14ac:dyDescent="0.3">
      <c r="A16" s="1" t="s">
        <v>121</v>
      </c>
      <c r="B16" s="3">
        <v>28658</v>
      </c>
      <c r="C16" s="6" t="s">
        <v>133</v>
      </c>
      <c r="H16" s="3"/>
      <c r="I16" s="6"/>
    </row>
    <row r="17" spans="1:9" ht="15.95" customHeight="1" x14ac:dyDescent="0.3">
      <c r="A17" s="1" t="s">
        <v>122</v>
      </c>
      <c r="B17" s="3">
        <v>31536</v>
      </c>
      <c r="C17" s="6" t="s">
        <v>142</v>
      </c>
      <c r="H17" s="3"/>
      <c r="I17" s="6"/>
    </row>
    <row r="18" spans="1:9" ht="15.95" customHeight="1" x14ac:dyDescent="0.3">
      <c r="A18" s="1" t="s">
        <v>123</v>
      </c>
      <c r="B18" s="3">
        <v>35203</v>
      </c>
      <c r="C18" s="6" t="s">
        <v>140</v>
      </c>
      <c r="H18" s="3"/>
      <c r="I18" s="6"/>
    </row>
    <row r="19" spans="1:9" ht="15.95" customHeight="1" x14ac:dyDescent="0.3">
      <c r="A19" s="1" t="s">
        <v>124</v>
      </c>
      <c r="B19" s="3">
        <v>35590</v>
      </c>
      <c r="C19" s="6" t="s">
        <v>143</v>
      </c>
    </row>
    <row r="20" spans="1:9" s="6" customFormat="1" ht="15.95" customHeight="1" x14ac:dyDescent="0.3">
      <c r="A20" s="1" t="s">
        <v>125</v>
      </c>
      <c r="B20" s="3">
        <v>35590</v>
      </c>
      <c r="C20" s="6" t="s">
        <v>134</v>
      </c>
    </row>
    <row r="21" spans="1:9" s="6" customFormat="1" ht="15.95" customHeight="1" x14ac:dyDescent="0.3">
      <c r="A21" s="1" t="s">
        <v>126</v>
      </c>
      <c r="B21" s="3">
        <v>35769</v>
      </c>
      <c r="C21" s="6" t="s">
        <v>144</v>
      </c>
    </row>
    <row r="22" spans="1:9" s="6" customFormat="1" ht="15.95" customHeight="1" x14ac:dyDescent="0.3">
      <c r="A22" s="1" t="s">
        <v>127</v>
      </c>
      <c r="B22" s="3">
        <v>35853</v>
      </c>
      <c r="C22" s="6" t="s">
        <v>135</v>
      </c>
    </row>
    <row r="23" spans="1:9" s="6" customFormat="1" ht="15.95" customHeight="1" x14ac:dyDescent="0.3">
      <c r="A23" s="1" t="s">
        <v>128</v>
      </c>
      <c r="B23" s="3">
        <v>41159</v>
      </c>
      <c r="C23" s="6" t="s">
        <v>144</v>
      </c>
    </row>
    <row r="24" spans="1:9" s="6" customFormat="1" ht="15.95" customHeight="1" x14ac:dyDescent="0.3">
      <c r="A24" s="1" t="s">
        <v>129</v>
      </c>
      <c r="B24" s="3">
        <v>45534</v>
      </c>
      <c r="C24" s="6" t="s">
        <v>136</v>
      </c>
    </row>
    <row r="25" spans="1:9" s="6" customFormat="1" ht="15.95" customHeight="1" x14ac:dyDescent="0.3">
      <c r="A25" s="1" t="s">
        <v>130</v>
      </c>
      <c r="B25" s="7">
        <v>45742</v>
      </c>
      <c r="C25" s="6" t="s">
        <v>137</v>
      </c>
    </row>
    <row r="26" spans="1:9" ht="15.95" customHeight="1" x14ac:dyDescent="0.3">
      <c r="A26" s="1" t="s">
        <v>131</v>
      </c>
      <c r="B26" s="3">
        <v>50021</v>
      </c>
      <c r="C26" s="6" t="s">
        <v>145</v>
      </c>
    </row>
    <row r="27" spans="1:9" s="2" customFormat="1" ht="15.95" customHeight="1" x14ac:dyDescent="0.3">
      <c r="A27" s="1" t="s">
        <v>132</v>
      </c>
      <c r="B27" s="3">
        <v>50672</v>
      </c>
      <c r="C27" s="6" t="s">
        <v>138</v>
      </c>
      <c r="D27" s="1"/>
      <c r="E27" s="1"/>
      <c r="F27" s="1"/>
      <c r="G27" s="1"/>
      <c r="H27" s="1"/>
      <c r="I27" s="1"/>
    </row>
    <row r="28" spans="1:9" s="6" customFormat="1" ht="15.95" customHeight="1" x14ac:dyDescent="0.3">
      <c r="A28" s="1"/>
      <c r="B28" s="3"/>
    </row>
    <row r="29" spans="1:9" s="6" customFormat="1" ht="15.95" customHeight="1" x14ac:dyDescent="0.3">
      <c r="A29" s="1"/>
      <c r="B29" s="3"/>
    </row>
    <row r="30" spans="1:9" s="6" customFormat="1" ht="15.95" customHeight="1" x14ac:dyDescent="0.3">
      <c r="A30" s="1"/>
      <c r="B30" s="3"/>
    </row>
    <row r="31" spans="1:9" s="6" customFormat="1" ht="15.95" customHeight="1" x14ac:dyDescent="0.3">
      <c r="A31" s="1"/>
      <c r="B31" s="3"/>
    </row>
    <row r="32" spans="1:9" s="6" customFormat="1" ht="15.95" customHeight="1" x14ac:dyDescent="0.3">
      <c r="A32" s="1"/>
      <c r="B32" s="3"/>
    </row>
    <row r="33" spans="1:9" s="6" customFormat="1" ht="15.95" customHeight="1" x14ac:dyDescent="0.3">
      <c r="A33" s="1"/>
      <c r="B33" s="3"/>
    </row>
    <row r="34" spans="1:9" s="2" customFormat="1" ht="15.95" customHeight="1" x14ac:dyDescent="0.3">
      <c r="A34" s="1"/>
      <c r="B34" s="3">
        <f>SUM(B13:B33)</f>
        <v>550510</v>
      </c>
      <c r="C34" s="6"/>
      <c r="D34" s="1"/>
      <c r="E34" s="1"/>
      <c r="F34" s="1"/>
      <c r="G34" s="1"/>
      <c r="H34" s="1"/>
      <c r="I34" s="1"/>
    </row>
    <row r="35" spans="1:9" s="2" customFormat="1" ht="15.95" customHeight="1" x14ac:dyDescent="0.3">
      <c r="A35" s="5" t="s">
        <v>1</v>
      </c>
      <c r="B35" s="4">
        <f>B34+B11</f>
        <v>550510</v>
      </c>
      <c r="D35" s="1"/>
      <c r="E35" s="1"/>
      <c r="F35" s="1"/>
      <c r="G35" s="1"/>
      <c r="H35" s="1"/>
      <c r="I35" s="1"/>
    </row>
    <row r="36" spans="1:9" s="2" customFormat="1" ht="15.95" customHeight="1" x14ac:dyDescent="0.3">
      <c r="A36" s="1" t="s">
        <v>0</v>
      </c>
      <c r="B36" s="3">
        <f>B35-B8</f>
        <v>0</v>
      </c>
      <c r="D36" s="1"/>
      <c r="E36" s="1"/>
      <c r="F36" s="1"/>
      <c r="G36" s="1"/>
      <c r="H36" s="1"/>
      <c r="I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36"/>
  <sheetViews>
    <sheetView workbookViewId="0">
      <selection activeCell="C9" sqref="C9"/>
    </sheetView>
  </sheetViews>
  <sheetFormatPr defaultRowHeight="18.75" x14ac:dyDescent="0.3"/>
  <cols>
    <col min="1" max="1" width="27.7109375" style="1" customWidth="1"/>
    <col min="2" max="2" width="20.5703125" style="3" bestFit="1" customWidth="1"/>
    <col min="3" max="3" width="25.7109375" style="2" customWidth="1"/>
    <col min="4" max="7" width="9.140625" style="1"/>
    <col min="8" max="8" width="17.7109375" style="1" customWidth="1"/>
    <col min="9" max="16384" width="9.140625" style="1"/>
  </cols>
  <sheetData>
    <row r="1" spans="1:9" ht="15.95" customHeight="1" x14ac:dyDescent="0.3">
      <c r="A1" s="1" t="s">
        <v>8</v>
      </c>
    </row>
    <row r="2" spans="1:9" ht="15.95" customHeight="1" x14ac:dyDescent="0.3">
      <c r="A2" s="8">
        <v>41912</v>
      </c>
    </row>
    <row r="3" spans="1:9" ht="15.95" customHeight="1" x14ac:dyDescent="0.3">
      <c r="A3" s="1" t="s">
        <v>7</v>
      </c>
      <c r="B3" s="3">
        <v>5181926</v>
      </c>
    </row>
    <row r="4" spans="1:9" ht="15.95" customHeight="1" x14ac:dyDescent="0.3">
      <c r="A4" s="1" t="s">
        <v>6</v>
      </c>
    </row>
    <row r="5" spans="1:9" ht="15.95" customHeight="1" x14ac:dyDescent="0.3">
      <c r="A5" s="1">
        <v>2100</v>
      </c>
      <c r="B5" s="3">
        <v>-4823931</v>
      </c>
    </row>
    <row r="6" spans="1:9" ht="15.95" customHeight="1" x14ac:dyDescent="0.3">
      <c r="A6" s="1">
        <v>2101</v>
      </c>
      <c r="B6" s="3">
        <v>-20000</v>
      </c>
    </row>
    <row r="7" spans="1:9" ht="15.95" customHeight="1" x14ac:dyDescent="0.3">
      <c r="A7" s="1" t="s">
        <v>5</v>
      </c>
      <c r="B7" s="3">
        <f>SUM(B5:B6)</f>
        <v>-4843931</v>
      </c>
    </row>
    <row r="8" spans="1:9" ht="15.95" customHeight="1" x14ac:dyDescent="0.3">
      <c r="A8" s="5" t="s">
        <v>4</v>
      </c>
      <c r="B8" s="4">
        <f>SUM(B3+B7)</f>
        <v>337995</v>
      </c>
    </row>
    <row r="9" spans="1:9" ht="15.95" customHeight="1" x14ac:dyDescent="0.3">
      <c r="A9" s="1" t="s">
        <v>3</v>
      </c>
    </row>
    <row r="10" spans="1:9" ht="15.95" customHeight="1" x14ac:dyDescent="0.3"/>
    <row r="11" spans="1:9" ht="15.95" customHeight="1" x14ac:dyDescent="0.3">
      <c r="B11" s="3">
        <f>B10</f>
        <v>0</v>
      </c>
    </row>
    <row r="12" spans="1:9" ht="15.95" customHeight="1" x14ac:dyDescent="0.3">
      <c r="A12" s="1" t="s">
        <v>2</v>
      </c>
    </row>
    <row r="13" spans="1:9" ht="15.95" customHeight="1" x14ac:dyDescent="0.3">
      <c r="A13" s="1" t="s">
        <v>146</v>
      </c>
      <c r="B13" s="3">
        <v>18553</v>
      </c>
      <c r="C13" s="6" t="s">
        <v>156</v>
      </c>
    </row>
    <row r="14" spans="1:9" ht="15.95" customHeight="1" x14ac:dyDescent="0.3">
      <c r="A14" s="1" t="s">
        <v>147</v>
      </c>
      <c r="B14" s="3">
        <v>21157</v>
      </c>
      <c r="C14" s="6" t="s">
        <v>157</v>
      </c>
    </row>
    <row r="15" spans="1:9" ht="15.95" customHeight="1" x14ac:dyDescent="0.3">
      <c r="A15" s="1" t="s">
        <v>148</v>
      </c>
      <c r="B15" s="3">
        <v>22484</v>
      </c>
      <c r="C15" s="6" t="s">
        <v>158</v>
      </c>
    </row>
    <row r="16" spans="1:9" ht="15.95" customHeight="1" x14ac:dyDescent="0.3">
      <c r="A16" s="1" t="s">
        <v>155</v>
      </c>
      <c r="B16" s="3">
        <v>23686</v>
      </c>
      <c r="C16" s="6" t="s">
        <v>159</v>
      </c>
      <c r="H16" s="3"/>
      <c r="I16" s="6"/>
    </row>
    <row r="17" spans="1:9" ht="15.95" customHeight="1" x14ac:dyDescent="0.3">
      <c r="A17" s="1" t="s">
        <v>118</v>
      </c>
      <c r="B17" s="3">
        <v>24572</v>
      </c>
      <c r="C17" s="6" t="s">
        <v>160</v>
      </c>
      <c r="H17" s="3"/>
      <c r="I17" s="6"/>
    </row>
    <row r="18" spans="1:9" ht="15.95" customHeight="1" x14ac:dyDescent="0.3">
      <c r="A18" s="1" t="s">
        <v>149</v>
      </c>
      <c r="B18" s="3">
        <v>33138</v>
      </c>
      <c r="C18" s="6" t="s">
        <v>158</v>
      </c>
      <c r="H18" s="3"/>
      <c r="I18" s="6"/>
    </row>
    <row r="19" spans="1:9" ht="15.95" customHeight="1" x14ac:dyDescent="0.3">
      <c r="A19" s="1" t="s">
        <v>150</v>
      </c>
      <c r="B19" s="3">
        <v>33427</v>
      </c>
      <c r="C19" s="6" t="s">
        <v>157</v>
      </c>
    </row>
    <row r="20" spans="1:9" s="6" customFormat="1" ht="15.95" customHeight="1" x14ac:dyDescent="0.3">
      <c r="A20" s="1" t="s">
        <v>151</v>
      </c>
      <c r="B20" s="3">
        <v>33445</v>
      </c>
      <c r="C20" s="6" t="s">
        <v>161</v>
      </c>
    </row>
    <row r="21" spans="1:9" s="6" customFormat="1" ht="15.95" customHeight="1" x14ac:dyDescent="0.3">
      <c r="A21" s="1" t="s">
        <v>152</v>
      </c>
      <c r="B21" s="3">
        <v>34317</v>
      </c>
      <c r="C21" s="6" t="s">
        <v>162</v>
      </c>
    </row>
    <row r="22" spans="1:9" s="6" customFormat="1" ht="15.95" customHeight="1" x14ac:dyDescent="0.3">
      <c r="A22" s="1" t="s">
        <v>153</v>
      </c>
      <c r="B22" s="3">
        <v>36138</v>
      </c>
      <c r="C22" s="6" t="s">
        <v>156</v>
      </c>
    </row>
    <row r="23" spans="1:9" s="6" customFormat="1" ht="15.95" customHeight="1" x14ac:dyDescent="0.3">
      <c r="A23" s="1" t="s">
        <v>154</v>
      </c>
      <c r="B23" s="3">
        <v>57078</v>
      </c>
      <c r="C23" s="6" t="s">
        <v>159</v>
      </c>
    </row>
    <row r="24" spans="1:9" s="6" customFormat="1" ht="15.95" customHeight="1" x14ac:dyDescent="0.3">
      <c r="A24" s="1"/>
      <c r="B24" s="3"/>
    </row>
    <row r="25" spans="1:9" s="6" customFormat="1" ht="15.95" customHeight="1" x14ac:dyDescent="0.3">
      <c r="A25" s="1"/>
      <c r="B25" s="7"/>
    </row>
    <row r="26" spans="1:9" ht="15.95" customHeight="1" x14ac:dyDescent="0.3">
      <c r="C26" s="6"/>
    </row>
    <row r="27" spans="1:9" s="2" customFormat="1" ht="15.95" customHeight="1" x14ac:dyDescent="0.3">
      <c r="A27" s="1"/>
      <c r="B27" s="3"/>
      <c r="C27" s="6"/>
      <c r="D27" s="1"/>
      <c r="E27" s="1"/>
      <c r="F27" s="1"/>
      <c r="G27" s="1"/>
      <c r="H27" s="1"/>
      <c r="I27" s="1"/>
    </row>
    <row r="28" spans="1:9" s="6" customFormat="1" ht="15.95" customHeight="1" x14ac:dyDescent="0.3">
      <c r="A28" s="1"/>
      <c r="B28" s="3"/>
    </row>
    <row r="29" spans="1:9" s="6" customFormat="1" ht="15.95" customHeight="1" x14ac:dyDescent="0.3">
      <c r="A29" s="1"/>
      <c r="B29" s="3"/>
    </row>
    <row r="30" spans="1:9" s="6" customFormat="1" ht="15.95" customHeight="1" x14ac:dyDescent="0.3">
      <c r="A30" s="1"/>
      <c r="B30" s="3"/>
    </row>
    <row r="31" spans="1:9" s="6" customFormat="1" ht="15.95" customHeight="1" x14ac:dyDescent="0.3">
      <c r="A31" s="1"/>
      <c r="B31" s="3"/>
    </row>
    <row r="32" spans="1:9" s="6" customFormat="1" ht="15.95" customHeight="1" x14ac:dyDescent="0.3">
      <c r="A32" s="1"/>
      <c r="B32" s="3"/>
    </row>
    <row r="33" spans="1:9" s="6" customFormat="1" ht="15.95" customHeight="1" x14ac:dyDescent="0.3">
      <c r="A33" s="1"/>
      <c r="B33" s="3"/>
    </row>
    <row r="34" spans="1:9" s="2" customFormat="1" ht="15.95" customHeight="1" x14ac:dyDescent="0.3">
      <c r="A34" s="1"/>
      <c r="B34" s="3">
        <f>SUM(B13:B33)</f>
        <v>337995</v>
      </c>
      <c r="C34" s="6"/>
      <c r="D34" s="1"/>
      <c r="E34" s="1"/>
      <c r="F34" s="1"/>
      <c r="G34" s="1"/>
      <c r="H34" s="1"/>
      <c r="I34" s="1"/>
    </row>
    <row r="35" spans="1:9" s="2" customFormat="1" ht="15.95" customHeight="1" x14ac:dyDescent="0.3">
      <c r="A35" s="5" t="s">
        <v>1</v>
      </c>
      <c r="B35" s="4">
        <f>B34+B11</f>
        <v>337995</v>
      </c>
      <c r="D35" s="1"/>
      <c r="E35" s="1"/>
      <c r="F35" s="1"/>
      <c r="G35" s="1"/>
      <c r="H35" s="1"/>
      <c r="I35" s="1"/>
    </row>
    <row r="36" spans="1:9" s="2" customFormat="1" ht="15.95" customHeight="1" x14ac:dyDescent="0.3">
      <c r="A36" s="1" t="s">
        <v>0</v>
      </c>
      <c r="B36" s="3">
        <f>B35-B8</f>
        <v>0</v>
      </c>
      <c r="D36" s="1"/>
      <c r="E36" s="1"/>
      <c r="F36" s="1"/>
      <c r="G36" s="1"/>
      <c r="H36" s="1"/>
      <c r="I36" s="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I36"/>
  <sheetViews>
    <sheetView workbookViewId="0">
      <selection activeCell="C27" sqref="C27"/>
    </sheetView>
  </sheetViews>
  <sheetFormatPr defaultRowHeight="18.75" x14ac:dyDescent="0.3"/>
  <cols>
    <col min="1" max="1" width="27.7109375" style="1" customWidth="1"/>
    <col min="2" max="2" width="20.5703125" style="3" bestFit="1" customWidth="1"/>
    <col min="3" max="3" width="25.7109375" style="2" customWidth="1"/>
    <col min="4" max="7" width="9.140625" style="1"/>
    <col min="8" max="8" width="17.7109375" style="1" customWidth="1"/>
    <col min="9" max="16384" width="9.140625" style="1"/>
  </cols>
  <sheetData>
    <row r="1" spans="1:9" ht="15.95" customHeight="1" x14ac:dyDescent="0.3">
      <c r="A1" s="1" t="s">
        <v>8</v>
      </c>
    </row>
    <row r="2" spans="1:9" ht="15.95" customHeight="1" x14ac:dyDescent="0.3">
      <c r="A2" s="8">
        <v>41943</v>
      </c>
    </row>
    <row r="3" spans="1:9" ht="15.95" customHeight="1" x14ac:dyDescent="0.3">
      <c r="A3" s="1" t="s">
        <v>7</v>
      </c>
      <c r="B3" s="3">
        <v>5059112</v>
      </c>
    </row>
    <row r="4" spans="1:9" ht="15.95" customHeight="1" x14ac:dyDescent="0.3">
      <c r="A4" s="1" t="s">
        <v>6</v>
      </c>
    </row>
    <row r="5" spans="1:9" ht="15.95" customHeight="1" x14ac:dyDescent="0.3">
      <c r="A5" s="1">
        <v>2100</v>
      </c>
      <c r="B5" s="3">
        <v>-4555507</v>
      </c>
    </row>
    <row r="6" spans="1:9" ht="15.95" customHeight="1" x14ac:dyDescent="0.3">
      <c r="A6" s="1">
        <v>2101</v>
      </c>
    </row>
    <row r="7" spans="1:9" ht="15.95" customHeight="1" x14ac:dyDescent="0.3">
      <c r="A7" s="1" t="s">
        <v>5</v>
      </c>
      <c r="B7" s="3">
        <f>SUM(B5:B6)</f>
        <v>-4555507</v>
      </c>
    </row>
    <row r="8" spans="1:9" ht="15.95" customHeight="1" x14ac:dyDescent="0.3">
      <c r="A8" s="5" t="s">
        <v>4</v>
      </c>
      <c r="B8" s="4">
        <f>SUM(B3+B7)</f>
        <v>503605</v>
      </c>
    </row>
    <row r="9" spans="1:9" ht="15.95" customHeight="1" x14ac:dyDescent="0.3">
      <c r="A9" s="1" t="s">
        <v>3</v>
      </c>
    </row>
    <row r="10" spans="1:9" ht="15.95" customHeight="1" x14ac:dyDescent="0.3"/>
    <row r="11" spans="1:9" ht="15.95" customHeight="1" x14ac:dyDescent="0.3">
      <c r="B11" s="3">
        <f>B10</f>
        <v>0</v>
      </c>
    </row>
    <row r="12" spans="1:9" ht="15.95" customHeight="1" x14ac:dyDescent="0.3">
      <c r="A12" s="1" t="s">
        <v>2</v>
      </c>
    </row>
    <row r="13" spans="1:9" ht="15.95" customHeight="1" x14ac:dyDescent="0.3">
      <c r="A13" s="1" t="s">
        <v>163</v>
      </c>
      <c r="B13" s="3">
        <v>21965</v>
      </c>
      <c r="C13" s="6" t="s">
        <v>180</v>
      </c>
    </row>
    <row r="14" spans="1:9" ht="15.95" customHeight="1" x14ac:dyDescent="0.3">
      <c r="A14" s="1" t="s">
        <v>164</v>
      </c>
      <c r="B14" s="3">
        <v>24005</v>
      </c>
      <c r="C14" s="6" t="s">
        <v>181</v>
      </c>
    </row>
    <row r="15" spans="1:9" ht="15.95" customHeight="1" x14ac:dyDescent="0.3">
      <c r="A15" s="1" t="s">
        <v>165</v>
      </c>
      <c r="B15" s="3">
        <v>26582</v>
      </c>
      <c r="C15" s="6" t="s">
        <v>182</v>
      </c>
    </row>
    <row r="16" spans="1:9" ht="15.95" customHeight="1" x14ac:dyDescent="0.3">
      <c r="A16" s="1" t="s">
        <v>166</v>
      </c>
      <c r="B16" s="3">
        <v>32565</v>
      </c>
      <c r="C16" s="6" t="s">
        <v>182</v>
      </c>
      <c r="H16" s="3"/>
      <c r="I16" s="6"/>
    </row>
    <row r="17" spans="1:9" ht="15.95" customHeight="1" x14ac:dyDescent="0.3">
      <c r="A17" s="1" t="s">
        <v>172</v>
      </c>
      <c r="B17" s="3">
        <v>34819</v>
      </c>
      <c r="C17" s="6" t="s">
        <v>177</v>
      </c>
      <c r="H17" s="3"/>
      <c r="I17" s="6"/>
    </row>
    <row r="18" spans="1:9" ht="15.95" customHeight="1" x14ac:dyDescent="0.3">
      <c r="A18" s="1" t="s">
        <v>167</v>
      </c>
      <c r="B18" s="3">
        <v>36668</v>
      </c>
      <c r="C18" s="6" t="s">
        <v>183</v>
      </c>
      <c r="H18" s="3"/>
      <c r="I18" s="6"/>
    </row>
    <row r="19" spans="1:9" ht="15.95" customHeight="1" x14ac:dyDescent="0.3">
      <c r="A19" s="1" t="s">
        <v>168</v>
      </c>
      <c r="B19" s="3">
        <v>37270</v>
      </c>
      <c r="C19" s="6" t="s">
        <v>184</v>
      </c>
    </row>
    <row r="20" spans="1:9" s="6" customFormat="1" ht="15.95" customHeight="1" x14ac:dyDescent="0.3">
      <c r="A20" s="1" t="s">
        <v>169</v>
      </c>
      <c r="B20" s="3">
        <v>37270</v>
      </c>
      <c r="C20" s="6" t="s">
        <v>185</v>
      </c>
    </row>
    <row r="21" spans="1:9" s="6" customFormat="1" ht="15.95" customHeight="1" x14ac:dyDescent="0.3">
      <c r="A21" s="1" t="s">
        <v>173</v>
      </c>
      <c r="B21" s="3">
        <v>37366</v>
      </c>
      <c r="C21" s="6" t="s">
        <v>178</v>
      </c>
    </row>
    <row r="22" spans="1:9" s="6" customFormat="1" ht="15.95" customHeight="1" x14ac:dyDescent="0.3">
      <c r="A22" s="1" t="s">
        <v>174</v>
      </c>
      <c r="B22" s="3">
        <v>38029</v>
      </c>
      <c r="C22" s="6" t="s">
        <v>179</v>
      </c>
    </row>
    <row r="23" spans="1:9" s="6" customFormat="1" ht="15.95" customHeight="1" x14ac:dyDescent="0.3">
      <c r="A23" s="1" t="s">
        <v>175</v>
      </c>
      <c r="B23" s="3">
        <v>41038</v>
      </c>
      <c r="C23" s="6" t="s">
        <v>178</v>
      </c>
    </row>
    <row r="24" spans="1:9" s="6" customFormat="1" ht="15.95" customHeight="1" x14ac:dyDescent="0.3">
      <c r="A24" s="1" t="s">
        <v>176</v>
      </c>
      <c r="B24" s="3">
        <v>43088</v>
      </c>
      <c r="C24" s="6" t="s">
        <v>179</v>
      </c>
    </row>
    <row r="25" spans="1:9" s="6" customFormat="1" ht="15.95" customHeight="1" x14ac:dyDescent="0.3">
      <c r="A25" s="1" t="s">
        <v>170</v>
      </c>
      <c r="B25" s="7">
        <v>44967</v>
      </c>
      <c r="C25" s="6" t="s">
        <v>186</v>
      </c>
    </row>
    <row r="26" spans="1:9" ht="15.95" customHeight="1" x14ac:dyDescent="0.3">
      <c r="A26" s="1" t="s">
        <v>171</v>
      </c>
      <c r="B26" s="3">
        <v>47973</v>
      </c>
      <c r="C26" s="6" t="s">
        <v>187</v>
      </c>
    </row>
    <row r="27" spans="1:9" s="2" customFormat="1" ht="15.95" customHeight="1" x14ac:dyDescent="0.3">
      <c r="A27" s="1"/>
      <c r="B27" s="3"/>
      <c r="C27" s="6"/>
      <c r="D27" s="1"/>
      <c r="E27" s="1"/>
      <c r="F27" s="1"/>
      <c r="G27" s="1"/>
      <c r="H27" s="1"/>
      <c r="I27" s="1"/>
    </row>
    <row r="28" spans="1:9" s="6" customFormat="1" ht="15.95" customHeight="1" x14ac:dyDescent="0.3">
      <c r="A28" s="1"/>
      <c r="B28" s="3"/>
    </row>
    <row r="29" spans="1:9" s="6" customFormat="1" ht="15.95" customHeight="1" x14ac:dyDescent="0.3">
      <c r="A29" s="1"/>
      <c r="B29" s="3"/>
    </row>
    <row r="30" spans="1:9" s="6" customFormat="1" ht="15.95" customHeight="1" x14ac:dyDescent="0.3">
      <c r="A30" s="1"/>
      <c r="B30" s="3"/>
    </row>
    <row r="31" spans="1:9" s="6" customFormat="1" ht="15.95" customHeight="1" x14ac:dyDescent="0.3">
      <c r="A31" s="1"/>
      <c r="B31" s="3"/>
    </row>
    <row r="32" spans="1:9" s="6" customFormat="1" ht="15.95" customHeight="1" x14ac:dyDescent="0.3">
      <c r="A32" s="1"/>
      <c r="B32" s="3"/>
    </row>
    <row r="33" spans="1:9" s="6" customFormat="1" ht="15.95" customHeight="1" x14ac:dyDescent="0.3">
      <c r="A33" s="1"/>
      <c r="B33" s="3"/>
    </row>
    <row r="34" spans="1:9" s="2" customFormat="1" ht="15.95" customHeight="1" x14ac:dyDescent="0.3">
      <c r="A34" s="1"/>
      <c r="B34" s="3">
        <f>SUM(B13:B33)</f>
        <v>503605</v>
      </c>
      <c r="C34" s="6"/>
      <c r="D34" s="1"/>
      <c r="E34" s="1"/>
      <c r="F34" s="1"/>
      <c r="G34" s="1"/>
      <c r="H34" s="1"/>
      <c r="I34" s="1"/>
    </row>
    <row r="35" spans="1:9" s="2" customFormat="1" ht="15.95" customHeight="1" x14ac:dyDescent="0.3">
      <c r="A35" s="5" t="s">
        <v>1</v>
      </c>
      <c r="B35" s="4">
        <f>B34+B11</f>
        <v>503605</v>
      </c>
      <c r="D35" s="1"/>
      <c r="E35" s="1"/>
      <c r="F35" s="1"/>
      <c r="G35" s="1"/>
      <c r="H35" s="1"/>
      <c r="I35" s="1"/>
    </row>
    <row r="36" spans="1:9" s="2" customFormat="1" ht="15.95" customHeight="1" x14ac:dyDescent="0.3">
      <c r="A36" s="1" t="s">
        <v>0</v>
      </c>
      <c r="B36" s="3">
        <f>B35-B8</f>
        <v>0</v>
      </c>
      <c r="D36" s="1"/>
      <c r="E36" s="1"/>
      <c r="F36" s="1"/>
      <c r="G36" s="1"/>
      <c r="H36" s="1"/>
      <c r="I36" s="1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I43"/>
  <sheetViews>
    <sheetView workbookViewId="0">
      <selection activeCell="A2" sqref="A2"/>
    </sheetView>
  </sheetViews>
  <sheetFormatPr defaultRowHeight="18.75" x14ac:dyDescent="0.3"/>
  <cols>
    <col min="1" max="1" width="27.7109375" style="1" customWidth="1"/>
    <col min="2" max="2" width="20.5703125" style="3" bestFit="1" customWidth="1"/>
    <col min="3" max="3" width="25.7109375" style="2" customWidth="1"/>
    <col min="4" max="7" width="9.140625" style="1"/>
    <col min="8" max="8" width="17.7109375" style="1" customWidth="1"/>
    <col min="9" max="16384" width="9.140625" style="1"/>
  </cols>
  <sheetData>
    <row r="1" spans="1:9" ht="15.95" customHeight="1" x14ac:dyDescent="0.3">
      <c r="A1" s="1" t="s">
        <v>8</v>
      </c>
    </row>
    <row r="2" spans="1:9" ht="15.95" customHeight="1" x14ac:dyDescent="0.3">
      <c r="A2" s="8">
        <v>41973</v>
      </c>
    </row>
    <row r="3" spans="1:9" ht="15.95" customHeight="1" x14ac:dyDescent="0.3">
      <c r="A3" s="1" t="s">
        <v>7</v>
      </c>
      <c r="B3" s="3">
        <v>5754229</v>
      </c>
    </row>
    <row r="4" spans="1:9" ht="15.95" customHeight="1" x14ac:dyDescent="0.3">
      <c r="A4" s="1" t="s">
        <v>6</v>
      </c>
    </row>
    <row r="5" spans="1:9" ht="15.95" customHeight="1" x14ac:dyDescent="0.3">
      <c r="A5" s="1">
        <v>2100</v>
      </c>
      <c r="B5" s="3">
        <v>-4711159</v>
      </c>
    </row>
    <row r="6" spans="1:9" ht="15.95" customHeight="1" x14ac:dyDescent="0.3"/>
    <row r="7" spans="1:9" ht="15.95" customHeight="1" x14ac:dyDescent="0.3">
      <c r="A7" s="1" t="s">
        <v>5</v>
      </c>
      <c r="B7" s="3">
        <f>SUM(B5:B6)</f>
        <v>-4711159</v>
      </c>
    </row>
    <row r="8" spans="1:9" ht="15.95" customHeight="1" x14ac:dyDescent="0.3">
      <c r="A8" s="5" t="s">
        <v>4</v>
      </c>
      <c r="B8" s="4">
        <f>SUM(B3+B7)</f>
        <v>1043070</v>
      </c>
    </row>
    <row r="9" spans="1:9" ht="15.95" customHeight="1" x14ac:dyDescent="0.3">
      <c r="A9" s="1" t="s">
        <v>3</v>
      </c>
    </row>
    <row r="10" spans="1:9" ht="15.95" customHeight="1" x14ac:dyDescent="0.3"/>
    <row r="11" spans="1:9" ht="15.95" customHeight="1" x14ac:dyDescent="0.3">
      <c r="B11" s="3">
        <f>B10</f>
        <v>0</v>
      </c>
    </row>
    <row r="12" spans="1:9" ht="15.95" customHeight="1" x14ac:dyDescent="0.3">
      <c r="A12" s="1" t="s">
        <v>2</v>
      </c>
    </row>
    <row r="13" spans="1:9" ht="15.95" customHeight="1" x14ac:dyDescent="0.3">
      <c r="A13" s="1" t="s">
        <v>188</v>
      </c>
      <c r="B13" s="3">
        <v>21156</v>
      </c>
      <c r="C13" s="6" t="s">
        <v>219</v>
      </c>
    </row>
    <row r="14" spans="1:9" ht="15.95" customHeight="1" x14ac:dyDescent="0.3">
      <c r="A14" s="1" t="s">
        <v>189</v>
      </c>
      <c r="B14" s="3">
        <v>24551</v>
      </c>
      <c r="C14" s="6" t="s">
        <v>220</v>
      </c>
    </row>
    <row r="15" spans="1:9" ht="15.95" customHeight="1" x14ac:dyDescent="0.3">
      <c r="A15" s="1" t="s">
        <v>190</v>
      </c>
      <c r="B15" s="3">
        <v>24551</v>
      </c>
      <c r="C15" s="6" t="s">
        <v>221</v>
      </c>
    </row>
    <row r="16" spans="1:9" ht="15.95" customHeight="1" x14ac:dyDescent="0.3">
      <c r="A16" s="1" t="s">
        <v>191</v>
      </c>
      <c r="B16" s="3">
        <v>25065</v>
      </c>
      <c r="C16" s="6" t="s">
        <v>222</v>
      </c>
      <c r="H16" s="3"/>
      <c r="I16" s="6"/>
    </row>
    <row r="17" spans="1:9" ht="15.95" customHeight="1" x14ac:dyDescent="0.3">
      <c r="A17" s="1" t="s">
        <v>192</v>
      </c>
      <c r="B17" s="3">
        <v>25758</v>
      </c>
      <c r="C17" s="6" t="s">
        <v>222</v>
      </c>
      <c r="H17" s="3"/>
      <c r="I17" s="6"/>
    </row>
    <row r="18" spans="1:9" ht="15.95" customHeight="1" x14ac:dyDescent="0.3">
      <c r="A18" s="1" t="s">
        <v>193</v>
      </c>
      <c r="B18" s="3">
        <v>25870</v>
      </c>
      <c r="C18" s="6" t="s">
        <v>223</v>
      </c>
      <c r="H18" s="3"/>
      <c r="I18" s="6"/>
    </row>
    <row r="19" spans="1:9" ht="15.95" customHeight="1" x14ac:dyDescent="0.3">
      <c r="A19" s="1" t="s">
        <v>194</v>
      </c>
      <c r="B19" s="3">
        <v>25914</v>
      </c>
      <c r="C19" s="6" t="s">
        <v>215</v>
      </c>
    </row>
    <row r="20" spans="1:9" s="6" customFormat="1" ht="15.95" customHeight="1" x14ac:dyDescent="0.3">
      <c r="A20" s="1" t="s">
        <v>195</v>
      </c>
      <c r="B20" s="3">
        <v>28303</v>
      </c>
      <c r="C20" s="6" t="s">
        <v>220</v>
      </c>
    </row>
    <row r="21" spans="1:9" s="6" customFormat="1" ht="15.95" customHeight="1" x14ac:dyDescent="0.3">
      <c r="A21" s="1" t="s">
        <v>196</v>
      </c>
      <c r="B21" s="3">
        <v>29719</v>
      </c>
      <c r="C21" s="6" t="s">
        <v>219</v>
      </c>
    </row>
    <row r="22" spans="1:9" s="6" customFormat="1" ht="15.95" customHeight="1" x14ac:dyDescent="0.3">
      <c r="A22" s="1" t="s">
        <v>197</v>
      </c>
      <c r="B22" s="3">
        <v>30164</v>
      </c>
      <c r="C22" s="6" t="s">
        <v>224</v>
      </c>
    </row>
    <row r="23" spans="1:9" s="6" customFormat="1" ht="15.95" customHeight="1" x14ac:dyDescent="0.3">
      <c r="A23" s="1" t="s">
        <v>198</v>
      </c>
      <c r="B23" s="3">
        <v>31077</v>
      </c>
      <c r="C23" s="6" t="s">
        <v>225</v>
      </c>
    </row>
    <row r="24" spans="1:9" s="6" customFormat="1" ht="15.95" customHeight="1" x14ac:dyDescent="0.3">
      <c r="A24" s="1" t="s">
        <v>199</v>
      </c>
      <c r="B24" s="3">
        <v>31077</v>
      </c>
      <c r="C24" s="6" t="s">
        <v>224</v>
      </c>
    </row>
    <row r="25" spans="1:9" s="6" customFormat="1" ht="15.95" customHeight="1" x14ac:dyDescent="0.3">
      <c r="A25" s="1" t="s">
        <v>200</v>
      </c>
      <c r="B25" s="7">
        <v>38532</v>
      </c>
      <c r="C25" s="6" t="s">
        <v>222</v>
      </c>
    </row>
    <row r="26" spans="1:9" ht="15.95" customHeight="1" x14ac:dyDescent="0.3">
      <c r="A26" s="1" t="s">
        <v>201</v>
      </c>
      <c r="B26" s="3">
        <v>38532</v>
      </c>
      <c r="C26" s="6" t="s">
        <v>222</v>
      </c>
    </row>
    <row r="27" spans="1:9" s="2" customFormat="1" ht="15.95" customHeight="1" x14ac:dyDescent="0.3">
      <c r="A27" s="1" t="s">
        <v>202</v>
      </c>
      <c r="B27" s="3">
        <v>38575</v>
      </c>
      <c r="C27" s="6" t="s">
        <v>216</v>
      </c>
      <c r="D27" s="1"/>
      <c r="E27" s="1"/>
      <c r="F27" s="1"/>
      <c r="G27" s="1"/>
      <c r="H27" s="1"/>
      <c r="I27" s="1"/>
    </row>
    <row r="28" spans="1:9" s="6" customFormat="1" ht="15.95" customHeight="1" x14ac:dyDescent="0.3">
      <c r="A28" s="1" t="s">
        <v>203</v>
      </c>
      <c r="B28" s="3">
        <v>38626</v>
      </c>
      <c r="C28" s="6" t="s">
        <v>216</v>
      </c>
    </row>
    <row r="29" spans="1:9" s="6" customFormat="1" ht="15.95" customHeight="1" x14ac:dyDescent="0.3">
      <c r="A29" s="1" t="s">
        <v>204</v>
      </c>
      <c r="B29" s="3">
        <v>39520</v>
      </c>
      <c r="C29" s="6" t="s">
        <v>217</v>
      </c>
    </row>
    <row r="30" spans="1:9" s="6" customFormat="1" ht="15.95" customHeight="1" x14ac:dyDescent="0.3">
      <c r="A30" s="1" t="s">
        <v>205</v>
      </c>
      <c r="B30" s="3">
        <v>39520</v>
      </c>
      <c r="C30" s="6" t="s">
        <v>222</v>
      </c>
    </row>
    <row r="31" spans="1:9" s="6" customFormat="1" ht="15.95" customHeight="1" x14ac:dyDescent="0.3">
      <c r="A31" s="1" t="s">
        <v>206</v>
      </c>
      <c r="B31" s="3">
        <v>40196</v>
      </c>
      <c r="C31" s="6" t="s">
        <v>226</v>
      </c>
    </row>
    <row r="32" spans="1:9" s="6" customFormat="1" ht="15.95" customHeight="1" x14ac:dyDescent="0.3">
      <c r="A32" s="1" t="s">
        <v>207</v>
      </c>
      <c r="B32" s="3">
        <v>43823</v>
      </c>
      <c r="C32" s="6" t="s">
        <v>217</v>
      </c>
    </row>
    <row r="33" spans="1:9" s="6" customFormat="1" ht="15.95" customHeight="1" x14ac:dyDescent="0.3">
      <c r="A33" s="1" t="s">
        <v>208</v>
      </c>
      <c r="B33" s="3">
        <v>49266</v>
      </c>
      <c r="C33" s="6" t="s">
        <v>215</v>
      </c>
    </row>
    <row r="34" spans="1:9" s="6" customFormat="1" ht="15.95" customHeight="1" x14ac:dyDescent="0.3">
      <c r="A34" s="1" t="s">
        <v>209</v>
      </c>
      <c r="B34" s="3">
        <v>50322</v>
      </c>
      <c r="C34" s="6" t="s">
        <v>221</v>
      </c>
    </row>
    <row r="35" spans="1:9" s="6" customFormat="1" ht="15.95" customHeight="1" x14ac:dyDescent="0.3">
      <c r="A35" s="1" t="s">
        <v>210</v>
      </c>
      <c r="B35" s="3">
        <v>50322</v>
      </c>
      <c r="C35" s="6" t="s">
        <v>224</v>
      </c>
    </row>
    <row r="36" spans="1:9" s="6" customFormat="1" ht="15.95" customHeight="1" x14ac:dyDescent="0.3">
      <c r="A36" s="1" t="s">
        <v>211</v>
      </c>
      <c r="B36" s="3">
        <v>62472</v>
      </c>
      <c r="C36" s="6" t="s">
        <v>227</v>
      </c>
    </row>
    <row r="37" spans="1:9" s="6" customFormat="1" ht="15.95" customHeight="1" x14ac:dyDescent="0.3">
      <c r="A37" s="1" t="s">
        <v>212</v>
      </c>
      <c r="B37" s="3">
        <v>62472</v>
      </c>
      <c r="C37" s="6" t="s">
        <v>218</v>
      </c>
    </row>
    <row r="38" spans="1:9" s="6" customFormat="1" ht="15.95" customHeight="1" x14ac:dyDescent="0.3">
      <c r="A38" s="1" t="s">
        <v>213</v>
      </c>
      <c r="B38" s="3">
        <v>63762</v>
      </c>
      <c r="C38" s="6" t="s">
        <v>224</v>
      </c>
    </row>
    <row r="39" spans="1:9" s="6" customFormat="1" ht="15.95" customHeight="1" x14ac:dyDescent="0.3">
      <c r="A39" s="1" t="s">
        <v>214</v>
      </c>
      <c r="B39" s="3">
        <v>63925</v>
      </c>
      <c r="C39" s="6" t="s">
        <v>223</v>
      </c>
    </row>
    <row r="40" spans="1:9" s="6" customFormat="1" ht="15.95" customHeight="1" x14ac:dyDescent="0.3">
      <c r="A40" s="1"/>
      <c r="B40" s="3"/>
    </row>
    <row r="41" spans="1:9" s="2" customFormat="1" ht="15.95" customHeight="1" x14ac:dyDescent="0.3">
      <c r="A41" s="1"/>
      <c r="B41" s="3">
        <f>SUM(B13:B40)</f>
        <v>1043070</v>
      </c>
      <c r="C41" s="6"/>
      <c r="D41" s="1"/>
      <c r="E41" s="1"/>
      <c r="F41" s="1"/>
      <c r="G41" s="1"/>
      <c r="H41" s="1"/>
      <c r="I41" s="1"/>
    </row>
    <row r="42" spans="1:9" s="2" customFormat="1" ht="15.95" customHeight="1" x14ac:dyDescent="0.3">
      <c r="A42" s="5" t="s">
        <v>1</v>
      </c>
      <c r="B42" s="4">
        <f>B41+B11</f>
        <v>1043070</v>
      </c>
      <c r="D42" s="1"/>
      <c r="E42" s="1"/>
      <c r="F42" s="1"/>
      <c r="G42" s="1"/>
      <c r="H42" s="1"/>
      <c r="I42" s="1"/>
    </row>
    <row r="43" spans="1:9" s="2" customFormat="1" ht="15.95" customHeight="1" x14ac:dyDescent="0.3">
      <c r="A43" s="1" t="s">
        <v>0</v>
      </c>
      <c r="B43" s="3">
        <f>B42-B8</f>
        <v>0</v>
      </c>
      <c r="D43" s="1"/>
      <c r="E43" s="1"/>
      <c r="F43" s="1"/>
      <c r="G43" s="1"/>
      <c r="H43" s="1"/>
      <c r="I43" s="1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I43"/>
  <sheetViews>
    <sheetView workbookViewId="0">
      <selection activeCell="C26" sqref="C26"/>
    </sheetView>
  </sheetViews>
  <sheetFormatPr defaultRowHeight="18.75" x14ac:dyDescent="0.3"/>
  <cols>
    <col min="1" max="1" width="27.7109375" style="1" customWidth="1"/>
    <col min="2" max="2" width="20.5703125" style="3" bestFit="1" customWidth="1"/>
    <col min="3" max="3" width="25.7109375" style="2" customWidth="1"/>
    <col min="4" max="7" width="9.140625" style="1"/>
    <col min="8" max="8" width="17.7109375" style="1" customWidth="1"/>
    <col min="9" max="16384" width="9.140625" style="1"/>
  </cols>
  <sheetData>
    <row r="1" spans="1:9" ht="15.95" customHeight="1" x14ac:dyDescent="0.3">
      <c r="A1" s="1" t="s">
        <v>8</v>
      </c>
    </row>
    <row r="2" spans="1:9" ht="15.95" customHeight="1" x14ac:dyDescent="0.3">
      <c r="A2" s="8">
        <v>42004</v>
      </c>
    </row>
    <row r="3" spans="1:9" ht="15.95" customHeight="1" x14ac:dyDescent="0.3">
      <c r="A3" s="1" t="s">
        <v>7</v>
      </c>
      <c r="B3" s="3">
        <v>5402703</v>
      </c>
    </row>
    <row r="4" spans="1:9" ht="15.95" customHeight="1" x14ac:dyDescent="0.3">
      <c r="A4" s="1" t="s">
        <v>6</v>
      </c>
    </row>
    <row r="5" spans="1:9" ht="15.95" customHeight="1" x14ac:dyDescent="0.3">
      <c r="A5" s="1">
        <v>2100</v>
      </c>
      <c r="B5" s="3">
        <v>-4900457</v>
      </c>
    </row>
    <row r="6" spans="1:9" ht="15.95" customHeight="1" x14ac:dyDescent="0.3">
      <c r="A6" s="1">
        <v>2101</v>
      </c>
      <c r="B6" s="3">
        <v>-21370</v>
      </c>
    </row>
    <row r="7" spans="1:9" ht="15.95" customHeight="1" x14ac:dyDescent="0.3">
      <c r="A7" s="1" t="s">
        <v>5</v>
      </c>
      <c r="B7" s="3">
        <f>SUM(B5:B6)</f>
        <v>-4921827</v>
      </c>
    </row>
    <row r="8" spans="1:9" ht="15.95" customHeight="1" x14ac:dyDescent="0.3">
      <c r="A8" s="5" t="s">
        <v>4</v>
      </c>
      <c r="B8" s="4">
        <f>SUM(B3+B7)</f>
        <v>480876</v>
      </c>
    </row>
    <row r="9" spans="1:9" ht="15.95" customHeight="1" x14ac:dyDescent="0.3">
      <c r="A9" s="1" t="s">
        <v>3</v>
      </c>
    </row>
    <row r="10" spans="1:9" ht="15.95" customHeight="1" x14ac:dyDescent="0.3"/>
    <row r="11" spans="1:9" ht="15.95" customHeight="1" x14ac:dyDescent="0.3">
      <c r="B11" s="3">
        <f>B10</f>
        <v>0</v>
      </c>
    </row>
    <row r="12" spans="1:9" ht="15.95" customHeight="1" x14ac:dyDescent="0.3">
      <c r="A12" s="1" t="s">
        <v>2</v>
      </c>
    </row>
    <row r="13" spans="1:9" ht="15.95" customHeight="1" x14ac:dyDescent="0.3">
      <c r="A13" s="1" t="s">
        <v>228</v>
      </c>
      <c r="B13" s="3">
        <v>23207</v>
      </c>
      <c r="C13" s="6" t="s">
        <v>247</v>
      </c>
    </row>
    <row r="14" spans="1:9" ht="15.95" customHeight="1" x14ac:dyDescent="0.3">
      <c r="A14" s="1" t="s">
        <v>235</v>
      </c>
      <c r="B14" s="3">
        <v>25376</v>
      </c>
      <c r="C14" s="6" t="s">
        <v>243</v>
      </c>
    </row>
    <row r="15" spans="1:9" ht="15.95" customHeight="1" x14ac:dyDescent="0.3">
      <c r="A15" s="1" t="s">
        <v>229</v>
      </c>
      <c r="B15" s="3">
        <v>26868</v>
      </c>
      <c r="C15" s="6" t="s">
        <v>248</v>
      </c>
    </row>
    <row r="16" spans="1:9" ht="15.95" customHeight="1" x14ac:dyDescent="0.3">
      <c r="A16" s="1" t="s">
        <v>230</v>
      </c>
      <c r="B16" s="3">
        <v>31515</v>
      </c>
      <c r="C16" s="6" t="s">
        <v>249</v>
      </c>
      <c r="H16" s="3"/>
      <c r="I16" s="6"/>
    </row>
    <row r="17" spans="1:9" ht="15.95" customHeight="1" x14ac:dyDescent="0.3">
      <c r="A17" s="1" t="s">
        <v>231</v>
      </c>
      <c r="B17" s="3">
        <v>31960</v>
      </c>
      <c r="C17" s="6" t="s">
        <v>247</v>
      </c>
      <c r="H17" s="3"/>
      <c r="I17" s="6"/>
    </row>
    <row r="18" spans="1:9" ht="15.95" customHeight="1" x14ac:dyDescent="0.3">
      <c r="A18" s="1" t="s">
        <v>236</v>
      </c>
      <c r="B18" s="3">
        <v>32161</v>
      </c>
      <c r="C18" s="6" t="s">
        <v>242</v>
      </c>
      <c r="H18" s="3"/>
      <c r="I18" s="6"/>
    </row>
    <row r="19" spans="1:9" ht="15.95" customHeight="1" x14ac:dyDescent="0.3">
      <c r="A19" s="1" t="s">
        <v>237</v>
      </c>
      <c r="B19" s="3">
        <v>36706</v>
      </c>
      <c r="C19" s="6" t="s">
        <v>241</v>
      </c>
    </row>
    <row r="20" spans="1:9" s="6" customFormat="1" ht="15.95" customHeight="1" x14ac:dyDescent="0.3">
      <c r="A20" s="1" t="s">
        <v>238</v>
      </c>
      <c r="B20" s="3">
        <v>38209</v>
      </c>
      <c r="C20" s="6" t="s">
        <v>244</v>
      </c>
    </row>
    <row r="21" spans="1:9" s="6" customFormat="1" ht="15.95" customHeight="1" x14ac:dyDescent="0.3">
      <c r="A21" s="1" t="s">
        <v>232</v>
      </c>
      <c r="B21" s="3">
        <v>39206</v>
      </c>
      <c r="C21" s="6" t="s">
        <v>250</v>
      </c>
    </row>
    <row r="22" spans="1:9" s="6" customFormat="1" ht="15.95" customHeight="1" x14ac:dyDescent="0.3">
      <c r="A22" s="1" t="s">
        <v>239</v>
      </c>
      <c r="B22" s="3">
        <v>46873</v>
      </c>
      <c r="C22" s="6" t="s">
        <v>245</v>
      </c>
    </row>
    <row r="23" spans="1:9" s="6" customFormat="1" ht="15.95" customHeight="1" x14ac:dyDescent="0.3">
      <c r="A23" s="1" t="s">
        <v>240</v>
      </c>
      <c r="B23" s="3">
        <v>48988</v>
      </c>
      <c r="C23" s="6" t="s">
        <v>246</v>
      </c>
    </row>
    <row r="24" spans="1:9" s="6" customFormat="1" ht="15.95" customHeight="1" x14ac:dyDescent="0.3">
      <c r="A24" s="1" t="s">
        <v>233</v>
      </c>
      <c r="B24" s="3">
        <v>49266</v>
      </c>
      <c r="C24" s="6" t="s">
        <v>251</v>
      </c>
    </row>
    <row r="25" spans="1:9" s="6" customFormat="1" ht="15.95" customHeight="1" x14ac:dyDescent="0.3">
      <c r="A25" s="1" t="s">
        <v>234</v>
      </c>
      <c r="B25" s="7">
        <v>50541</v>
      </c>
      <c r="C25" s="6" t="s">
        <v>251</v>
      </c>
    </row>
    <row r="26" spans="1:9" ht="15.95" customHeight="1" x14ac:dyDescent="0.3">
      <c r="C26" s="6"/>
    </row>
    <row r="27" spans="1:9" s="2" customFormat="1" ht="15.95" customHeight="1" x14ac:dyDescent="0.3">
      <c r="A27" s="1"/>
      <c r="B27" s="3"/>
      <c r="C27" s="6"/>
      <c r="D27" s="1"/>
      <c r="E27" s="1"/>
      <c r="F27" s="1"/>
      <c r="G27" s="1"/>
      <c r="H27" s="1"/>
      <c r="I27" s="1"/>
    </row>
    <row r="28" spans="1:9" s="6" customFormat="1" ht="15.95" customHeight="1" x14ac:dyDescent="0.3">
      <c r="A28" s="1"/>
      <c r="B28" s="3"/>
    </row>
    <row r="29" spans="1:9" s="6" customFormat="1" ht="15.95" customHeight="1" x14ac:dyDescent="0.3">
      <c r="A29" s="1"/>
      <c r="B29" s="3"/>
    </row>
    <row r="30" spans="1:9" s="6" customFormat="1" ht="15.95" customHeight="1" x14ac:dyDescent="0.3">
      <c r="A30" s="1"/>
      <c r="B30" s="3"/>
    </row>
    <row r="31" spans="1:9" s="6" customFormat="1" ht="15.95" customHeight="1" x14ac:dyDescent="0.3">
      <c r="A31" s="1"/>
      <c r="B31" s="3"/>
    </row>
    <row r="32" spans="1:9" s="6" customFormat="1" ht="15.95" customHeight="1" x14ac:dyDescent="0.3">
      <c r="A32" s="1"/>
      <c r="B32" s="3"/>
    </row>
    <row r="33" spans="1:9" s="6" customFormat="1" ht="15.95" customHeight="1" x14ac:dyDescent="0.3">
      <c r="A33" s="1"/>
      <c r="B33" s="3"/>
    </row>
    <row r="34" spans="1:9" s="6" customFormat="1" ht="15.95" customHeight="1" x14ac:dyDescent="0.3">
      <c r="A34" s="1"/>
      <c r="B34" s="3"/>
    </row>
    <row r="35" spans="1:9" s="6" customFormat="1" ht="15.95" customHeight="1" x14ac:dyDescent="0.3">
      <c r="A35" s="1"/>
      <c r="B35" s="3"/>
    </row>
    <row r="36" spans="1:9" s="6" customFormat="1" ht="15.95" customHeight="1" x14ac:dyDescent="0.3">
      <c r="A36" s="1"/>
      <c r="B36" s="3"/>
    </row>
    <row r="37" spans="1:9" s="6" customFormat="1" ht="15.95" customHeight="1" x14ac:dyDescent="0.3">
      <c r="A37" s="1"/>
      <c r="B37" s="3"/>
    </row>
    <row r="38" spans="1:9" s="6" customFormat="1" ht="15.95" customHeight="1" x14ac:dyDescent="0.3">
      <c r="A38" s="1"/>
      <c r="B38" s="3"/>
    </row>
    <row r="39" spans="1:9" s="6" customFormat="1" ht="15.95" customHeight="1" x14ac:dyDescent="0.3">
      <c r="A39" s="1"/>
      <c r="B39" s="3"/>
    </row>
    <row r="40" spans="1:9" s="6" customFormat="1" ht="15.95" customHeight="1" x14ac:dyDescent="0.3">
      <c r="A40" s="1"/>
      <c r="B40" s="3"/>
    </row>
    <row r="41" spans="1:9" s="2" customFormat="1" ht="15.95" customHeight="1" x14ac:dyDescent="0.3">
      <c r="A41" s="1"/>
      <c r="B41" s="3">
        <f>SUM(B13:B40)</f>
        <v>480876</v>
      </c>
      <c r="C41" s="6"/>
      <c r="D41" s="1"/>
      <c r="E41" s="1"/>
      <c r="F41" s="1"/>
      <c r="G41" s="1"/>
      <c r="H41" s="1"/>
      <c r="I41" s="1"/>
    </row>
    <row r="42" spans="1:9" s="2" customFormat="1" ht="15.95" customHeight="1" x14ac:dyDescent="0.3">
      <c r="A42" s="5" t="s">
        <v>1</v>
      </c>
      <c r="B42" s="4">
        <f>B41+B11</f>
        <v>480876</v>
      </c>
      <c r="D42" s="1"/>
      <c r="E42" s="1"/>
      <c r="F42" s="1"/>
      <c r="G42" s="1"/>
      <c r="H42" s="1"/>
      <c r="I42" s="1"/>
    </row>
    <row r="43" spans="1:9" s="2" customFormat="1" ht="15.95" customHeight="1" x14ac:dyDescent="0.3">
      <c r="A43" s="1" t="s">
        <v>0</v>
      </c>
      <c r="B43" s="3">
        <f>B42-B8</f>
        <v>0</v>
      </c>
      <c r="D43" s="1"/>
      <c r="E43" s="1"/>
      <c r="F43" s="1"/>
      <c r="G43" s="1"/>
      <c r="H43" s="1"/>
      <c r="I43" s="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I34"/>
  <sheetViews>
    <sheetView workbookViewId="0">
      <selection activeCell="C22" sqref="C22"/>
    </sheetView>
  </sheetViews>
  <sheetFormatPr defaultRowHeight="18.75" x14ac:dyDescent="0.3"/>
  <cols>
    <col min="1" max="1" width="27.7109375" style="1" customWidth="1"/>
    <col min="2" max="2" width="20.5703125" style="3" bestFit="1" customWidth="1"/>
    <col min="3" max="3" width="25.7109375" style="2" customWidth="1"/>
    <col min="4" max="7" width="9.140625" style="1"/>
    <col min="8" max="8" width="17.7109375" style="1" customWidth="1"/>
    <col min="9" max="16384" width="9.140625" style="1"/>
  </cols>
  <sheetData>
    <row r="1" spans="1:9" ht="15.95" customHeight="1" x14ac:dyDescent="0.3">
      <c r="A1" s="1" t="s">
        <v>8</v>
      </c>
    </row>
    <row r="2" spans="1:9" ht="15.95" customHeight="1" x14ac:dyDescent="0.3">
      <c r="A2" s="8">
        <v>42035</v>
      </c>
    </row>
    <row r="3" spans="1:9" ht="15.95" customHeight="1" x14ac:dyDescent="0.3">
      <c r="A3" s="1" t="s">
        <v>7</v>
      </c>
      <c r="B3" s="3">
        <v>4712341</v>
      </c>
    </row>
    <row r="4" spans="1:9" ht="15.95" customHeight="1" x14ac:dyDescent="0.3">
      <c r="A4" s="1" t="s">
        <v>6</v>
      </c>
    </row>
    <row r="5" spans="1:9" ht="15.95" customHeight="1" x14ac:dyDescent="0.3">
      <c r="A5" s="1">
        <v>2100</v>
      </c>
      <c r="B5" s="3">
        <v>-4390003</v>
      </c>
    </row>
    <row r="6" spans="1:9" ht="15.95" customHeight="1" x14ac:dyDescent="0.3">
      <c r="A6" s="1">
        <v>2101</v>
      </c>
      <c r="B6" s="3">
        <v>-21370</v>
      </c>
    </row>
    <row r="7" spans="1:9" ht="15.95" customHeight="1" x14ac:dyDescent="0.3">
      <c r="A7" s="1" t="s">
        <v>5</v>
      </c>
      <c r="B7" s="3">
        <f>SUM(B5:B6)</f>
        <v>-4411373</v>
      </c>
    </row>
    <row r="8" spans="1:9" ht="15.95" customHeight="1" x14ac:dyDescent="0.3">
      <c r="A8" s="5" t="s">
        <v>4</v>
      </c>
      <c r="B8" s="4">
        <f>SUM(B3+B7)</f>
        <v>300968</v>
      </c>
    </row>
    <row r="9" spans="1:9" ht="15.95" customHeight="1" x14ac:dyDescent="0.3">
      <c r="A9" s="1" t="s">
        <v>3</v>
      </c>
    </row>
    <row r="10" spans="1:9" ht="15.95" customHeight="1" x14ac:dyDescent="0.3"/>
    <row r="11" spans="1:9" ht="15.95" customHeight="1" x14ac:dyDescent="0.3">
      <c r="B11" s="3">
        <f>SUM(B10)</f>
        <v>0</v>
      </c>
    </row>
    <row r="12" spans="1:9" ht="15.95" customHeight="1" x14ac:dyDescent="0.3">
      <c r="A12" s="1" t="s">
        <v>2</v>
      </c>
    </row>
    <row r="13" spans="1:9" ht="15.95" customHeight="1" x14ac:dyDescent="0.3">
      <c r="A13" s="1" t="s">
        <v>252</v>
      </c>
      <c r="B13" s="3">
        <v>22353</v>
      </c>
      <c r="C13" s="6" t="s">
        <v>261</v>
      </c>
    </row>
    <row r="14" spans="1:9" ht="15.95" customHeight="1" x14ac:dyDescent="0.3">
      <c r="A14" s="1" t="s">
        <v>253</v>
      </c>
      <c r="B14" s="3">
        <v>25160</v>
      </c>
      <c r="C14" s="6" t="s">
        <v>262</v>
      </c>
    </row>
    <row r="15" spans="1:9" ht="15.95" customHeight="1" x14ac:dyDescent="0.3">
      <c r="A15" s="1" t="s">
        <v>254</v>
      </c>
      <c r="B15" s="3">
        <v>25816</v>
      </c>
      <c r="C15" s="6" t="s">
        <v>265</v>
      </c>
    </row>
    <row r="16" spans="1:9" ht="15.95" customHeight="1" x14ac:dyDescent="0.3">
      <c r="A16" s="1" t="s">
        <v>255</v>
      </c>
      <c r="B16" s="3">
        <v>30111</v>
      </c>
      <c r="C16" s="6" t="s">
        <v>266</v>
      </c>
      <c r="H16" s="3"/>
      <c r="I16" s="6"/>
    </row>
    <row r="17" spans="1:9" ht="15.95" customHeight="1" x14ac:dyDescent="0.3">
      <c r="A17" s="1" t="s">
        <v>256</v>
      </c>
      <c r="B17" s="3">
        <v>31469</v>
      </c>
      <c r="C17" s="6" t="s">
        <v>267</v>
      </c>
      <c r="H17" s="3"/>
      <c r="I17" s="6"/>
    </row>
    <row r="18" spans="1:9" ht="15.95" customHeight="1" x14ac:dyDescent="0.3">
      <c r="A18" s="1" t="s">
        <v>257</v>
      </c>
      <c r="B18" s="3">
        <v>33156</v>
      </c>
      <c r="C18" s="6" t="s">
        <v>268</v>
      </c>
      <c r="H18" s="3"/>
      <c r="I18" s="6"/>
    </row>
    <row r="19" spans="1:9" ht="15.95" customHeight="1" x14ac:dyDescent="0.3">
      <c r="A19" s="1" t="s">
        <v>258</v>
      </c>
      <c r="B19" s="3">
        <v>34468</v>
      </c>
      <c r="C19" s="6" t="s">
        <v>263</v>
      </c>
    </row>
    <row r="20" spans="1:9" s="6" customFormat="1" ht="15.95" customHeight="1" x14ac:dyDescent="0.3">
      <c r="A20" s="1" t="s">
        <v>259</v>
      </c>
      <c r="B20" s="3">
        <v>35102</v>
      </c>
      <c r="C20" s="6" t="s">
        <v>264</v>
      </c>
    </row>
    <row r="21" spans="1:9" s="6" customFormat="1" ht="15.95" customHeight="1" x14ac:dyDescent="0.3">
      <c r="A21" s="1" t="s">
        <v>260</v>
      </c>
      <c r="B21" s="3">
        <v>63333</v>
      </c>
      <c r="C21" s="6" t="s">
        <v>265</v>
      </c>
    </row>
    <row r="22" spans="1:9" s="6" customFormat="1" ht="15.95" customHeight="1" x14ac:dyDescent="0.3">
      <c r="A22" s="1"/>
      <c r="B22" s="3"/>
    </row>
    <row r="23" spans="1:9" s="6" customFormat="1" ht="15.95" customHeight="1" x14ac:dyDescent="0.3">
      <c r="A23" s="1"/>
      <c r="B23" s="3"/>
    </row>
    <row r="24" spans="1:9" s="6" customFormat="1" ht="15.95" customHeight="1" x14ac:dyDescent="0.3">
      <c r="A24" s="1"/>
      <c r="B24" s="3"/>
    </row>
    <row r="25" spans="1:9" s="6" customFormat="1" ht="15.95" customHeight="1" x14ac:dyDescent="0.3">
      <c r="A25" s="1"/>
      <c r="B25" s="7"/>
    </row>
    <row r="26" spans="1:9" ht="15.95" customHeight="1" x14ac:dyDescent="0.3">
      <c r="C26" s="6"/>
    </row>
    <row r="27" spans="1:9" s="2" customFormat="1" ht="15.95" customHeight="1" x14ac:dyDescent="0.3">
      <c r="A27" s="1"/>
      <c r="B27" s="3"/>
      <c r="C27" s="6"/>
      <c r="D27" s="1"/>
      <c r="E27" s="1"/>
      <c r="F27" s="1"/>
      <c r="G27" s="1"/>
      <c r="H27" s="1"/>
      <c r="I27" s="1"/>
    </row>
    <row r="28" spans="1:9" s="6" customFormat="1" ht="15.95" customHeight="1" x14ac:dyDescent="0.3">
      <c r="A28" s="1"/>
      <c r="B28" s="3"/>
    </row>
    <row r="29" spans="1:9" s="6" customFormat="1" ht="15.95" customHeight="1" x14ac:dyDescent="0.3">
      <c r="A29" s="1"/>
      <c r="B29" s="3"/>
    </row>
    <row r="30" spans="1:9" s="6" customFormat="1" ht="15.95" customHeight="1" x14ac:dyDescent="0.3">
      <c r="A30" s="1"/>
      <c r="B30" s="3"/>
    </row>
    <row r="31" spans="1:9" s="6" customFormat="1" ht="15.95" customHeight="1" x14ac:dyDescent="0.3">
      <c r="A31" s="1"/>
      <c r="B31" s="3"/>
    </row>
    <row r="32" spans="1:9" s="2" customFormat="1" ht="15.95" customHeight="1" x14ac:dyDescent="0.3">
      <c r="A32" s="1"/>
      <c r="B32" s="3">
        <f>SUM(B13:B31)</f>
        <v>300968</v>
      </c>
      <c r="C32" s="6"/>
      <c r="D32" s="1"/>
      <c r="E32" s="1"/>
      <c r="F32" s="1"/>
      <c r="G32" s="1"/>
      <c r="H32" s="1"/>
      <c r="I32" s="1"/>
    </row>
    <row r="33" spans="1:9" s="2" customFormat="1" ht="15.95" customHeight="1" x14ac:dyDescent="0.3">
      <c r="A33" s="5" t="s">
        <v>1</v>
      </c>
      <c r="B33" s="4">
        <f>B32+B11</f>
        <v>300968</v>
      </c>
      <c r="D33" s="1"/>
      <c r="E33" s="1"/>
      <c r="F33" s="1"/>
      <c r="G33" s="1"/>
      <c r="H33" s="1"/>
      <c r="I33" s="1"/>
    </row>
    <row r="34" spans="1:9" s="2" customFormat="1" ht="15.95" customHeight="1" x14ac:dyDescent="0.3">
      <c r="A34" s="1" t="s">
        <v>0</v>
      </c>
      <c r="B34" s="3">
        <f>B33-B8</f>
        <v>0</v>
      </c>
      <c r="D34" s="1"/>
      <c r="E34" s="1"/>
      <c r="F34" s="1"/>
      <c r="G34" s="1"/>
      <c r="H34" s="1"/>
      <c r="I34" s="1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I36"/>
  <sheetViews>
    <sheetView workbookViewId="0">
      <selection activeCell="C33" sqref="C33"/>
    </sheetView>
  </sheetViews>
  <sheetFormatPr defaultRowHeight="18.75" x14ac:dyDescent="0.3"/>
  <cols>
    <col min="1" max="1" width="27.7109375" style="1" customWidth="1"/>
    <col min="2" max="2" width="20.5703125" style="3" bestFit="1" customWidth="1"/>
    <col min="3" max="3" width="25.7109375" style="2" customWidth="1"/>
    <col min="4" max="7" width="9.140625" style="1"/>
    <col min="8" max="8" width="17.7109375" style="1" customWidth="1"/>
    <col min="9" max="16384" width="9.140625" style="1"/>
  </cols>
  <sheetData>
    <row r="1" spans="1:9" ht="15.95" customHeight="1" x14ac:dyDescent="0.3">
      <c r="A1" s="1" t="s">
        <v>8</v>
      </c>
    </row>
    <row r="2" spans="1:9" ht="15.95" customHeight="1" x14ac:dyDescent="0.3">
      <c r="A2" s="8">
        <v>42063</v>
      </c>
    </row>
    <row r="3" spans="1:9" ht="15.95" customHeight="1" x14ac:dyDescent="0.3">
      <c r="A3" s="1" t="s">
        <v>7</v>
      </c>
      <c r="B3" s="3">
        <v>4871703</v>
      </c>
    </row>
    <row r="4" spans="1:9" ht="15.95" customHeight="1" x14ac:dyDescent="0.3">
      <c r="A4" s="1" t="s">
        <v>6</v>
      </c>
    </row>
    <row r="5" spans="1:9" ht="15.95" customHeight="1" x14ac:dyDescent="0.3">
      <c r="A5" s="1">
        <v>2100</v>
      </c>
      <c r="B5" s="3">
        <v>-4125197</v>
      </c>
    </row>
    <row r="6" spans="1:9" ht="15.95" customHeight="1" x14ac:dyDescent="0.3">
      <c r="A6" s="1">
        <v>2101</v>
      </c>
      <c r="B6" s="3">
        <v>-14135</v>
      </c>
    </row>
    <row r="7" spans="1:9" ht="15.95" customHeight="1" x14ac:dyDescent="0.3">
      <c r="A7" s="1" t="s">
        <v>5</v>
      </c>
      <c r="B7" s="3">
        <f>SUM(B5:B6)</f>
        <v>-4139332</v>
      </c>
    </row>
    <row r="8" spans="1:9" ht="15.95" customHeight="1" x14ac:dyDescent="0.3">
      <c r="A8" s="5" t="s">
        <v>4</v>
      </c>
      <c r="B8" s="4">
        <f>SUM(B3+B7)</f>
        <v>732371</v>
      </c>
    </row>
    <row r="9" spans="1:9" ht="15.95" customHeight="1" x14ac:dyDescent="0.3">
      <c r="A9" s="1" t="s">
        <v>3</v>
      </c>
    </row>
    <row r="10" spans="1:9" ht="15.95" customHeight="1" x14ac:dyDescent="0.3">
      <c r="A10" s="1" t="s">
        <v>269</v>
      </c>
      <c r="B10" s="3">
        <v>-14135</v>
      </c>
      <c r="C10" s="2" t="s">
        <v>297</v>
      </c>
    </row>
    <row r="11" spans="1:9" ht="15.95" customHeight="1" x14ac:dyDescent="0.3">
      <c r="B11" s="3">
        <f>SUM(B10)</f>
        <v>-14135</v>
      </c>
    </row>
    <row r="12" spans="1:9" ht="15.95" customHeight="1" x14ac:dyDescent="0.3">
      <c r="A12" s="1" t="s">
        <v>2</v>
      </c>
    </row>
    <row r="13" spans="1:9" ht="15.95" customHeight="1" x14ac:dyDescent="0.3">
      <c r="A13" s="1" t="s">
        <v>270</v>
      </c>
      <c r="B13" s="3">
        <v>19326</v>
      </c>
      <c r="C13" s="6" t="s">
        <v>298</v>
      </c>
    </row>
    <row r="14" spans="1:9" ht="15.95" customHeight="1" x14ac:dyDescent="0.3">
      <c r="A14" s="1" t="s">
        <v>271</v>
      </c>
      <c r="B14" s="3">
        <v>19326</v>
      </c>
      <c r="C14" s="6" t="s">
        <v>299</v>
      </c>
    </row>
    <row r="15" spans="1:9" ht="15.95" customHeight="1" x14ac:dyDescent="0.3">
      <c r="A15" s="1" t="s">
        <v>272</v>
      </c>
      <c r="B15" s="3">
        <v>21430</v>
      </c>
      <c r="C15" s="6" t="s">
        <v>300</v>
      </c>
    </row>
    <row r="16" spans="1:9" ht="15.95" customHeight="1" x14ac:dyDescent="0.3">
      <c r="A16" s="1" t="s">
        <v>273</v>
      </c>
      <c r="B16" s="3">
        <v>22421</v>
      </c>
      <c r="C16" s="6" t="s">
        <v>301</v>
      </c>
      <c r="H16" s="3"/>
      <c r="I16" s="6"/>
    </row>
    <row r="17" spans="1:9" ht="15.95" customHeight="1" x14ac:dyDescent="0.3">
      <c r="A17" s="1" t="s">
        <v>282</v>
      </c>
      <c r="B17" s="3">
        <v>31469</v>
      </c>
      <c r="C17" s="6" t="s">
        <v>290</v>
      </c>
      <c r="H17" s="3"/>
      <c r="I17" s="6"/>
    </row>
    <row r="18" spans="1:9" ht="15.95" customHeight="1" x14ac:dyDescent="0.3">
      <c r="A18" s="1" t="s">
        <v>283</v>
      </c>
      <c r="B18" s="3">
        <v>33864</v>
      </c>
      <c r="C18" s="6" t="s">
        <v>291</v>
      </c>
      <c r="H18" s="3"/>
      <c r="I18" s="6"/>
    </row>
    <row r="19" spans="1:9" ht="15.95" customHeight="1" x14ac:dyDescent="0.3">
      <c r="A19" s="1" t="s">
        <v>284</v>
      </c>
      <c r="B19" s="3">
        <v>35310</v>
      </c>
      <c r="C19" s="6" t="s">
        <v>292</v>
      </c>
    </row>
    <row r="20" spans="1:9" s="6" customFormat="1" ht="15.95" customHeight="1" x14ac:dyDescent="0.3">
      <c r="A20" s="1" t="s">
        <v>274</v>
      </c>
      <c r="B20" s="3">
        <v>36503</v>
      </c>
      <c r="C20" s="6" t="s">
        <v>301</v>
      </c>
    </row>
    <row r="21" spans="1:9" s="6" customFormat="1" ht="15.95" customHeight="1" x14ac:dyDescent="0.3">
      <c r="A21" s="1" t="s">
        <v>285</v>
      </c>
      <c r="B21" s="3">
        <v>36664</v>
      </c>
      <c r="C21" s="6" t="s">
        <v>293</v>
      </c>
    </row>
    <row r="22" spans="1:9" s="6" customFormat="1" ht="15.95" customHeight="1" x14ac:dyDescent="0.3">
      <c r="A22" s="1" t="s">
        <v>286</v>
      </c>
      <c r="B22" s="3">
        <v>36907</v>
      </c>
      <c r="C22" s="6" t="s">
        <v>294</v>
      </c>
    </row>
    <row r="23" spans="1:9" s="6" customFormat="1" ht="15.95" customHeight="1" x14ac:dyDescent="0.3">
      <c r="A23" s="1" t="s">
        <v>287</v>
      </c>
      <c r="B23" s="3">
        <v>37596</v>
      </c>
      <c r="C23" s="6" t="s">
        <v>295</v>
      </c>
    </row>
    <row r="24" spans="1:9" s="6" customFormat="1" ht="15.95" customHeight="1" x14ac:dyDescent="0.3">
      <c r="A24" s="1" t="s">
        <v>288</v>
      </c>
      <c r="B24" s="3">
        <v>40772</v>
      </c>
      <c r="C24" s="6" t="s">
        <v>294</v>
      </c>
    </row>
    <row r="25" spans="1:9" s="6" customFormat="1" ht="15.95" customHeight="1" x14ac:dyDescent="0.3">
      <c r="A25" s="1" t="s">
        <v>289</v>
      </c>
      <c r="B25" s="7">
        <v>41000</v>
      </c>
      <c r="C25" s="6" t="s">
        <v>296</v>
      </c>
    </row>
    <row r="26" spans="1:9" s="6" customFormat="1" ht="15.95" customHeight="1" x14ac:dyDescent="0.3">
      <c r="A26" s="1" t="s">
        <v>281</v>
      </c>
      <c r="B26" s="7">
        <v>44961</v>
      </c>
      <c r="C26" s="6" t="s">
        <v>300</v>
      </c>
    </row>
    <row r="27" spans="1:9" ht="15.95" customHeight="1" x14ac:dyDescent="0.3">
      <c r="A27" s="1" t="s">
        <v>275</v>
      </c>
      <c r="B27" s="3">
        <v>43253</v>
      </c>
      <c r="C27" s="6" t="s">
        <v>302</v>
      </c>
    </row>
    <row r="28" spans="1:9" s="2" customFormat="1" ht="15.95" customHeight="1" x14ac:dyDescent="0.3">
      <c r="A28" s="1" t="s">
        <v>276</v>
      </c>
      <c r="B28" s="3">
        <v>46377</v>
      </c>
      <c r="C28" s="6" t="s">
        <v>302</v>
      </c>
      <c r="D28" s="1"/>
      <c r="E28" s="1"/>
      <c r="F28" s="1"/>
      <c r="G28" s="1"/>
      <c r="H28" s="1"/>
      <c r="I28" s="1"/>
    </row>
    <row r="29" spans="1:9" s="6" customFormat="1" ht="15.95" customHeight="1" x14ac:dyDescent="0.3">
      <c r="A29" s="1" t="s">
        <v>277</v>
      </c>
      <c r="B29" s="3">
        <v>47610</v>
      </c>
      <c r="C29" s="6" t="s">
        <v>302</v>
      </c>
    </row>
    <row r="30" spans="1:9" s="6" customFormat="1" ht="15.95" customHeight="1" x14ac:dyDescent="0.3">
      <c r="A30" s="1" t="s">
        <v>278</v>
      </c>
      <c r="B30" s="3">
        <v>48867</v>
      </c>
      <c r="C30" s="6" t="s">
        <v>300</v>
      </c>
    </row>
    <row r="31" spans="1:9" s="6" customFormat="1" ht="15.95" customHeight="1" x14ac:dyDescent="0.3">
      <c r="A31" s="1" t="s">
        <v>279</v>
      </c>
      <c r="B31" s="3">
        <v>50937</v>
      </c>
      <c r="C31" s="6" t="s">
        <v>298</v>
      </c>
    </row>
    <row r="32" spans="1:9" s="6" customFormat="1" ht="15.95" customHeight="1" x14ac:dyDescent="0.3">
      <c r="A32" s="1" t="s">
        <v>280</v>
      </c>
      <c r="B32" s="3">
        <v>51913</v>
      </c>
      <c r="C32" s="6" t="s">
        <v>303</v>
      </c>
    </row>
    <row r="33" spans="1:9" s="6" customFormat="1" ht="15.95" customHeight="1" x14ac:dyDescent="0.3">
      <c r="A33" s="1"/>
      <c r="B33" s="3"/>
    </row>
    <row r="34" spans="1:9" s="2" customFormat="1" ht="15.95" customHeight="1" x14ac:dyDescent="0.3">
      <c r="A34" s="1"/>
      <c r="B34" s="3">
        <f>SUM(B13:B33)</f>
        <v>746506</v>
      </c>
      <c r="C34" s="6"/>
      <c r="D34" s="1"/>
      <c r="E34" s="1"/>
      <c r="F34" s="1"/>
      <c r="G34" s="1"/>
      <c r="H34" s="1"/>
      <c r="I34" s="1"/>
    </row>
    <row r="35" spans="1:9" s="2" customFormat="1" ht="15.95" customHeight="1" x14ac:dyDescent="0.3">
      <c r="A35" s="5" t="s">
        <v>1</v>
      </c>
      <c r="B35" s="4">
        <f>B34+B11</f>
        <v>732371</v>
      </c>
      <c r="D35" s="1"/>
      <c r="E35" s="1"/>
      <c r="F35" s="1"/>
      <c r="G35" s="1"/>
      <c r="H35" s="1"/>
      <c r="I35" s="1"/>
    </row>
    <row r="36" spans="1:9" s="2" customFormat="1" ht="15.95" customHeight="1" x14ac:dyDescent="0.3">
      <c r="A36" s="1" t="s">
        <v>0</v>
      </c>
      <c r="B36" s="3">
        <f>B35-B8</f>
        <v>0</v>
      </c>
      <c r="D36" s="1"/>
      <c r="E36" s="1"/>
      <c r="F36" s="1"/>
      <c r="G36" s="1"/>
      <c r="H36" s="1"/>
      <c r="I36" s="1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I28"/>
  <sheetViews>
    <sheetView workbookViewId="0">
      <selection activeCell="C16" sqref="C16"/>
    </sheetView>
  </sheetViews>
  <sheetFormatPr defaultRowHeight="18.75" x14ac:dyDescent="0.3"/>
  <cols>
    <col min="1" max="1" width="25.42578125" style="1" customWidth="1"/>
    <col min="2" max="2" width="22.140625" style="3" bestFit="1" customWidth="1"/>
    <col min="3" max="3" width="25.7109375" style="6" customWidth="1"/>
    <col min="4" max="7" width="9.140625" style="1"/>
    <col min="8" max="8" width="17.7109375" style="1" customWidth="1"/>
    <col min="9" max="16384" width="9.140625" style="1"/>
  </cols>
  <sheetData>
    <row r="1" spans="1:4" ht="20.100000000000001" customHeight="1" x14ac:dyDescent="0.3">
      <c r="A1" s="1" t="s">
        <v>304</v>
      </c>
      <c r="D1"/>
    </row>
    <row r="2" spans="1:4" ht="20.100000000000001" customHeight="1" x14ac:dyDescent="0.3">
      <c r="A2" s="8">
        <v>42582</v>
      </c>
      <c r="D2"/>
    </row>
    <row r="3" spans="1:4" ht="20.100000000000001" customHeight="1" x14ac:dyDescent="0.3">
      <c r="A3" s="1" t="s">
        <v>311</v>
      </c>
      <c r="B3" s="3">
        <v>8777856</v>
      </c>
      <c r="D3"/>
    </row>
    <row r="4" spans="1:4" ht="20.100000000000001" customHeight="1" x14ac:dyDescent="0.3">
      <c r="A4" s="1" t="s">
        <v>6</v>
      </c>
      <c r="D4"/>
    </row>
    <row r="5" spans="1:4" ht="20.100000000000001" customHeight="1" x14ac:dyDescent="0.3">
      <c r="A5" s="1">
        <v>2100</v>
      </c>
      <c r="B5" s="3">
        <v>-9096583</v>
      </c>
      <c r="D5"/>
    </row>
    <row r="6" spans="1:4" ht="20.100000000000001" customHeight="1" x14ac:dyDescent="0.3">
      <c r="A6" s="1" t="s">
        <v>5</v>
      </c>
      <c r="B6" s="3">
        <f>SUM(B5:B5)</f>
        <v>-9096583</v>
      </c>
      <c r="D6"/>
    </row>
    <row r="7" spans="1:4" ht="20.100000000000001" customHeight="1" x14ac:dyDescent="0.3">
      <c r="A7" s="5" t="s">
        <v>4</v>
      </c>
      <c r="B7" s="4">
        <f>SUM(B3+B6)</f>
        <v>-318727</v>
      </c>
      <c r="D7"/>
    </row>
    <row r="8" spans="1:4" ht="20.100000000000001" customHeight="1" x14ac:dyDescent="0.3">
      <c r="A8" s="1" t="s">
        <v>3</v>
      </c>
      <c r="D8"/>
    </row>
    <row r="9" spans="1:4" ht="20.100000000000001" customHeight="1" x14ac:dyDescent="0.3">
      <c r="A9" s="1" t="s">
        <v>314</v>
      </c>
      <c r="B9" s="10">
        <v>-23420</v>
      </c>
      <c r="C9" s="6" t="s">
        <v>321</v>
      </c>
      <c r="D9"/>
    </row>
    <row r="10" spans="1:4" ht="20.100000000000001" customHeight="1" x14ac:dyDescent="0.3">
      <c r="A10" s="1" t="s">
        <v>315</v>
      </c>
      <c r="B10" s="10">
        <v>-35264</v>
      </c>
      <c r="C10" s="6" t="s">
        <v>321</v>
      </c>
      <c r="D10"/>
    </row>
    <row r="11" spans="1:4" ht="20.100000000000001" customHeight="1" x14ac:dyDescent="0.3">
      <c r="A11" s="1" t="s">
        <v>316</v>
      </c>
      <c r="B11" s="10">
        <v>-38547</v>
      </c>
      <c r="C11" s="6" t="s">
        <v>322</v>
      </c>
      <c r="D11"/>
    </row>
    <row r="12" spans="1:4" ht="20.100000000000001" customHeight="1" x14ac:dyDescent="0.3">
      <c r="A12" s="1" t="s">
        <v>317</v>
      </c>
      <c r="B12" s="10">
        <v>-45206</v>
      </c>
      <c r="C12" s="6" t="s">
        <v>323</v>
      </c>
      <c r="D12"/>
    </row>
    <row r="13" spans="1:4" ht="20.100000000000001" customHeight="1" x14ac:dyDescent="0.3">
      <c r="A13" s="1" t="s">
        <v>318</v>
      </c>
      <c r="B13" s="10">
        <v>-49830</v>
      </c>
      <c r="C13" s="6" t="s">
        <v>323</v>
      </c>
      <c r="D13"/>
    </row>
    <row r="14" spans="1:4" ht="20.100000000000001" customHeight="1" x14ac:dyDescent="0.3">
      <c r="A14" s="1" t="s">
        <v>319</v>
      </c>
      <c r="B14" s="10">
        <v>-63230</v>
      </c>
      <c r="C14" s="6" t="s">
        <v>324</v>
      </c>
      <c r="D14"/>
    </row>
    <row r="15" spans="1:4" ht="20.100000000000001" customHeight="1" x14ac:dyDescent="0.3">
      <c r="A15" s="1" t="s">
        <v>320</v>
      </c>
      <c r="B15" s="10">
        <v>-63230</v>
      </c>
      <c r="C15" s="6" t="s">
        <v>325</v>
      </c>
      <c r="D15"/>
    </row>
    <row r="16" spans="1:4" ht="20.100000000000001" customHeight="1" x14ac:dyDescent="0.3">
      <c r="D16"/>
    </row>
    <row r="17" spans="1:9" ht="20.100000000000001" customHeight="1" x14ac:dyDescent="0.3">
      <c r="D17"/>
    </row>
    <row r="18" spans="1:9" ht="20.100000000000001" customHeight="1" x14ac:dyDescent="0.3">
      <c r="B18" s="3">
        <f>SUM(B9:B17)</f>
        <v>-318727</v>
      </c>
      <c r="D18"/>
    </row>
    <row r="19" spans="1:9" ht="20.100000000000001" customHeight="1" x14ac:dyDescent="0.3">
      <c r="A19" s="1" t="s">
        <v>2</v>
      </c>
      <c r="D19"/>
    </row>
    <row r="20" spans="1:9" ht="20.100000000000001" customHeight="1" x14ac:dyDescent="0.3">
      <c r="B20" s="10"/>
      <c r="D20"/>
    </row>
    <row r="21" spans="1:9" ht="20.100000000000001" customHeight="1" x14ac:dyDescent="0.3">
      <c r="B21" s="10"/>
      <c r="D21"/>
      <c r="H21" s="3"/>
      <c r="I21" s="6"/>
    </row>
    <row r="22" spans="1:9" ht="20.100000000000001" customHeight="1" x14ac:dyDescent="0.3">
      <c r="B22" s="10"/>
      <c r="D22"/>
      <c r="H22" s="3"/>
      <c r="I22" s="6"/>
    </row>
    <row r="23" spans="1:9" ht="20.100000000000001" customHeight="1" x14ac:dyDescent="0.3">
      <c r="D23"/>
      <c r="H23" s="3"/>
      <c r="I23" s="6"/>
    </row>
    <row r="24" spans="1:9" ht="20.100000000000001" customHeight="1" x14ac:dyDescent="0.3">
      <c r="D24"/>
      <c r="H24" s="3"/>
      <c r="I24" s="6"/>
    </row>
    <row r="25" spans="1:9" s="2" customFormat="1" ht="20.100000000000001" customHeight="1" x14ac:dyDescent="0.3">
      <c r="A25" s="1"/>
      <c r="B25" s="3">
        <f>SUM(B20:B24)</f>
        <v>0</v>
      </c>
      <c r="C25" s="6"/>
      <c r="D25"/>
      <c r="E25" s="1"/>
      <c r="F25" s="1"/>
      <c r="G25" s="1"/>
      <c r="H25" s="1"/>
      <c r="I25" s="1"/>
    </row>
    <row r="26" spans="1:9" s="2" customFormat="1" ht="20.100000000000001" customHeight="1" x14ac:dyDescent="0.3">
      <c r="A26" s="5" t="s">
        <v>1</v>
      </c>
      <c r="B26" s="4">
        <f>B25+B18</f>
        <v>-318727</v>
      </c>
      <c r="C26" s="6"/>
      <c r="D26"/>
      <c r="E26" s="1"/>
      <c r="F26" s="1"/>
      <c r="G26" s="1"/>
      <c r="H26" s="1"/>
      <c r="I26" s="1"/>
    </row>
    <row r="27" spans="1:9" s="2" customFormat="1" ht="20.100000000000001" customHeight="1" x14ac:dyDescent="0.3">
      <c r="A27" s="1" t="s">
        <v>0</v>
      </c>
      <c r="B27" s="3">
        <f>B26-B7</f>
        <v>0</v>
      </c>
      <c r="C27" s="6"/>
      <c r="D27"/>
      <c r="E27" s="1"/>
      <c r="F27" s="1"/>
      <c r="G27" s="1"/>
      <c r="H27" s="1"/>
      <c r="I27" s="1"/>
    </row>
    <row r="28" spans="1:9" ht="20.100000000000001" customHeight="1" x14ac:dyDescent="0.3"/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I28"/>
  <sheetViews>
    <sheetView workbookViewId="0">
      <selection activeCell="A3" sqref="A3"/>
    </sheetView>
  </sheetViews>
  <sheetFormatPr defaultRowHeight="18.75" x14ac:dyDescent="0.3"/>
  <cols>
    <col min="1" max="1" width="25.42578125" style="1" customWidth="1"/>
    <col min="2" max="2" width="20.5703125" style="3" bestFit="1" customWidth="1"/>
    <col min="3" max="3" width="25.7109375" style="6" customWidth="1"/>
    <col min="4" max="7" width="9.140625" style="1"/>
    <col min="8" max="8" width="17.7109375" style="1" customWidth="1"/>
    <col min="9" max="16384" width="9.140625" style="1"/>
  </cols>
  <sheetData>
    <row r="1" spans="1:4" ht="20.100000000000001" customHeight="1" x14ac:dyDescent="0.3">
      <c r="A1" s="1" t="s">
        <v>304</v>
      </c>
      <c r="D1"/>
    </row>
    <row r="2" spans="1:4" ht="20.100000000000001" customHeight="1" x14ac:dyDescent="0.3">
      <c r="A2" s="8">
        <v>42551</v>
      </c>
      <c r="D2"/>
    </row>
    <row r="3" spans="1:4" ht="20.100000000000001" customHeight="1" x14ac:dyDescent="0.3">
      <c r="A3" s="1" t="s">
        <v>311</v>
      </c>
      <c r="B3" s="3">
        <v>9743895</v>
      </c>
      <c r="D3"/>
    </row>
    <row r="4" spans="1:4" ht="20.100000000000001" customHeight="1" x14ac:dyDescent="0.3">
      <c r="A4" s="1" t="s">
        <v>6</v>
      </c>
      <c r="D4"/>
    </row>
    <row r="5" spans="1:4" ht="20.100000000000001" customHeight="1" x14ac:dyDescent="0.3">
      <c r="A5" s="1">
        <v>2100</v>
      </c>
      <c r="B5" s="3">
        <v>-9851045</v>
      </c>
      <c r="D5"/>
    </row>
    <row r="6" spans="1:4" ht="20.100000000000001" customHeight="1" x14ac:dyDescent="0.3">
      <c r="A6" s="1" t="s">
        <v>5</v>
      </c>
      <c r="B6" s="3">
        <f>SUM(B5:B5)</f>
        <v>-9851045</v>
      </c>
      <c r="D6"/>
    </row>
    <row r="7" spans="1:4" ht="20.100000000000001" customHeight="1" x14ac:dyDescent="0.3">
      <c r="A7" s="5" t="s">
        <v>4</v>
      </c>
      <c r="B7" s="4">
        <f>SUM(B3+B6)</f>
        <v>-107150</v>
      </c>
      <c r="D7"/>
    </row>
    <row r="8" spans="1:4" ht="20.100000000000001" customHeight="1" x14ac:dyDescent="0.3">
      <c r="A8" s="1" t="s">
        <v>3</v>
      </c>
      <c r="D8"/>
    </row>
    <row r="9" spans="1:4" ht="20.100000000000001" customHeight="1" x14ac:dyDescent="0.3">
      <c r="A9" s="1" t="s">
        <v>305</v>
      </c>
      <c r="B9" s="10">
        <v>-23216</v>
      </c>
      <c r="C9" s="6" t="s">
        <v>312</v>
      </c>
      <c r="D9"/>
    </row>
    <row r="10" spans="1:4" ht="20.100000000000001" customHeight="1" x14ac:dyDescent="0.3">
      <c r="A10" s="1" t="s">
        <v>310</v>
      </c>
      <c r="B10" s="10">
        <v>-26234</v>
      </c>
      <c r="C10" s="6" t="s">
        <v>313</v>
      </c>
      <c r="D10"/>
    </row>
    <row r="11" spans="1:4" ht="20.100000000000001" customHeight="1" x14ac:dyDescent="0.3">
      <c r="A11" s="1" t="s">
        <v>306</v>
      </c>
      <c r="B11" s="10">
        <v>-40284</v>
      </c>
      <c r="C11" s="6" t="s">
        <v>312</v>
      </c>
      <c r="D11"/>
    </row>
    <row r="12" spans="1:4" ht="20.100000000000001" customHeight="1" x14ac:dyDescent="0.3">
      <c r="A12" s="1" t="s">
        <v>307</v>
      </c>
      <c r="B12" s="10">
        <v>-42453</v>
      </c>
      <c r="C12" s="6" t="s">
        <v>313</v>
      </c>
      <c r="D12"/>
    </row>
    <row r="13" spans="1:4" ht="20.100000000000001" customHeight="1" x14ac:dyDescent="0.3">
      <c r="A13" s="1" t="s">
        <v>308</v>
      </c>
      <c r="B13" s="10">
        <v>-43650</v>
      </c>
      <c r="C13" s="6" t="s">
        <v>312</v>
      </c>
      <c r="D13"/>
    </row>
    <row r="14" spans="1:4" ht="20.100000000000001" customHeight="1" x14ac:dyDescent="0.3">
      <c r="B14" s="10"/>
      <c r="D14"/>
    </row>
    <row r="15" spans="1:4" ht="20.100000000000001" customHeight="1" x14ac:dyDescent="0.3">
      <c r="B15" s="10"/>
      <c r="D15"/>
    </row>
    <row r="16" spans="1:4" ht="20.100000000000001" customHeight="1" x14ac:dyDescent="0.3">
      <c r="B16" s="10"/>
      <c r="D16"/>
    </row>
    <row r="17" spans="1:9" ht="20.100000000000001" customHeight="1" x14ac:dyDescent="0.3">
      <c r="D17"/>
    </row>
    <row r="18" spans="1:9" ht="20.100000000000001" customHeight="1" x14ac:dyDescent="0.3">
      <c r="B18" s="3">
        <f>SUM(B9:B17)</f>
        <v>-175837</v>
      </c>
      <c r="D18"/>
    </row>
    <row r="19" spans="1:9" ht="20.100000000000001" customHeight="1" x14ac:dyDescent="0.3">
      <c r="A19" s="1" t="s">
        <v>2</v>
      </c>
      <c r="D19"/>
    </row>
    <row r="20" spans="1:9" ht="20.100000000000001" customHeight="1" x14ac:dyDescent="0.3">
      <c r="A20" s="1" t="s">
        <v>309</v>
      </c>
      <c r="B20" s="10">
        <v>42363</v>
      </c>
      <c r="C20" s="6" t="s">
        <v>313</v>
      </c>
      <c r="D20"/>
    </row>
    <row r="21" spans="1:9" ht="20.100000000000001" customHeight="1" x14ac:dyDescent="0.3">
      <c r="A21" s="1" t="s">
        <v>310</v>
      </c>
      <c r="B21" s="10">
        <v>26324</v>
      </c>
      <c r="C21" s="6" t="s">
        <v>313</v>
      </c>
      <c r="D21"/>
      <c r="H21" s="3"/>
      <c r="I21" s="6"/>
    </row>
    <row r="22" spans="1:9" ht="20.100000000000001" customHeight="1" x14ac:dyDescent="0.3">
      <c r="B22" s="10"/>
      <c r="D22"/>
      <c r="H22" s="3"/>
      <c r="I22" s="6"/>
    </row>
    <row r="23" spans="1:9" ht="20.100000000000001" customHeight="1" x14ac:dyDescent="0.3">
      <c r="D23"/>
      <c r="H23" s="3"/>
      <c r="I23" s="6"/>
    </row>
    <row r="24" spans="1:9" ht="20.100000000000001" customHeight="1" x14ac:dyDescent="0.3">
      <c r="D24"/>
      <c r="H24" s="3"/>
      <c r="I24" s="6"/>
    </row>
    <row r="25" spans="1:9" s="2" customFormat="1" ht="20.100000000000001" customHeight="1" x14ac:dyDescent="0.3">
      <c r="A25" s="1"/>
      <c r="B25" s="3">
        <f>SUM(B20:B24)</f>
        <v>68687</v>
      </c>
      <c r="C25" s="6"/>
      <c r="D25"/>
      <c r="E25" s="1"/>
      <c r="F25" s="1"/>
      <c r="G25" s="1"/>
      <c r="H25" s="1"/>
      <c r="I25" s="1"/>
    </row>
    <row r="26" spans="1:9" s="2" customFormat="1" ht="20.100000000000001" customHeight="1" x14ac:dyDescent="0.3">
      <c r="A26" s="5" t="s">
        <v>1</v>
      </c>
      <c r="B26" s="4">
        <f>B25+B18</f>
        <v>-107150</v>
      </c>
      <c r="C26" s="6"/>
      <c r="D26"/>
      <c r="E26" s="1"/>
      <c r="F26" s="1"/>
      <c r="G26" s="1"/>
      <c r="H26" s="1"/>
      <c r="I26" s="1"/>
    </row>
    <row r="27" spans="1:9" s="2" customFormat="1" ht="20.100000000000001" customHeight="1" x14ac:dyDescent="0.3">
      <c r="A27" s="1" t="s">
        <v>0</v>
      </c>
      <c r="B27" s="3">
        <f>B26-B7</f>
        <v>0</v>
      </c>
      <c r="C27" s="6"/>
      <c r="D27"/>
      <c r="E27" s="1"/>
      <c r="F27" s="1"/>
      <c r="G27" s="1"/>
      <c r="H27" s="1"/>
      <c r="I27" s="1"/>
    </row>
    <row r="28" spans="1:9" ht="20.100000000000001" customHeight="1" x14ac:dyDescent="0.3"/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I29"/>
  <sheetViews>
    <sheetView workbookViewId="0">
      <selection activeCell="C29" sqref="C28:C29"/>
    </sheetView>
  </sheetViews>
  <sheetFormatPr defaultRowHeight="18.75" x14ac:dyDescent="0.3"/>
  <cols>
    <col min="1" max="1" width="25.42578125" style="1" customWidth="1"/>
    <col min="2" max="2" width="20.5703125" style="3" customWidth="1"/>
    <col min="3" max="3" width="25.7109375" style="6" customWidth="1"/>
    <col min="4" max="7" width="9.140625" style="1"/>
    <col min="8" max="8" width="17.7109375" style="1" customWidth="1"/>
    <col min="9" max="16384" width="9.140625" style="1"/>
  </cols>
  <sheetData>
    <row r="1" spans="1:3" s="11" customFormat="1" ht="15.95" customHeight="1" x14ac:dyDescent="0.25">
      <c r="A1" s="11" t="s">
        <v>304</v>
      </c>
      <c r="B1" s="12"/>
      <c r="C1" s="13"/>
    </row>
    <row r="2" spans="1:3" s="11" customFormat="1" ht="15.95" customHeight="1" x14ac:dyDescent="0.25">
      <c r="A2" s="14">
        <v>42613</v>
      </c>
      <c r="B2" s="12"/>
      <c r="C2" s="13"/>
    </row>
    <row r="3" spans="1:3" s="11" customFormat="1" ht="15.95" customHeight="1" x14ac:dyDescent="0.25">
      <c r="A3" s="11" t="s">
        <v>311</v>
      </c>
      <c r="B3" s="12">
        <v>9059365</v>
      </c>
      <c r="C3" s="13"/>
    </row>
    <row r="4" spans="1:3" s="11" customFormat="1" ht="15.95" customHeight="1" x14ac:dyDescent="0.25">
      <c r="A4" s="11" t="s">
        <v>6</v>
      </c>
      <c r="B4" s="12"/>
      <c r="C4" s="13"/>
    </row>
    <row r="5" spans="1:3" s="11" customFormat="1" ht="15.95" customHeight="1" x14ac:dyDescent="0.25">
      <c r="A5" s="11">
        <v>2100</v>
      </c>
      <c r="B5" s="12">
        <v>-9517160</v>
      </c>
      <c r="C5" s="13"/>
    </row>
    <row r="6" spans="1:3" s="11" customFormat="1" ht="15.95" customHeight="1" x14ac:dyDescent="0.25">
      <c r="A6" s="11" t="s">
        <v>5</v>
      </c>
      <c r="B6" s="12">
        <f>SUM(B5:B5)</f>
        <v>-9517160</v>
      </c>
      <c r="C6" s="13"/>
    </row>
    <row r="7" spans="1:3" s="11" customFormat="1" ht="15.95" customHeight="1" x14ac:dyDescent="0.25">
      <c r="A7" s="15" t="s">
        <v>4</v>
      </c>
      <c r="B7" s="16">
        <f>SUM(B3+B6)</f>
        <v>-457795</v>
      </c>
      <c r="C7" s="13"/>
    </row>
    <row r="8" spans="1:3" s="11" customFormat="1" ht="15.95" customHeight="1" x14ac:dyDescent="0.25">
      <c r="A8" s="11" t="s">
        <v>3</v>
      </c>
      <c r="B8" s="12"/>
      <c r="C8" s="13"/>
    </row>
    <row r="9" spans="1:3" s="11" customFormat="1" ht="15.95" customHeight="1" x14ac:dyDescent="0.25">
      <c r="A9" s="11" t="s">
        <v>326</v>
      </c>
      <c r="B9" s="17">
        <v>-21212</v>
      </c>
      <c r="C9" s="13" t="s">
        <v>338</v>
      </c>
    </row>
    <row r="10" spans="1:3" s="11" customFormat="1" ht="15.95" customHeight="1" x14ac:dyDescent="0.25">
      <c r="A10" s="11" t="s">
        <v>327</v>
      </c>
      <c r="B10" s="17">
        <v>-22520</v>
      </c>
      <c r="C10" s="13" t="s">
        <v>339</v>
      </c>
    </row>
    <row r="11" spans="1:3" s="11" customFormat="1" ht="15.95" customHeight="1" x14ac:dyDescent="0.25">
      <c r="A11" s="11" t="s">
        <v>314</v>
      </c>
      <c r="B11" s="17">
        <v>-23420</v>
      </c>
      <c r="C11" s="13" t="s">
        <v>338</v>
      </c>
    </row>
    <row r="12" spans="1:3" s="11" customFormat="1" ht="15.95" customHeight="1" x14ac:dyDescent="0.25">
      <c r="A12" s="11" t="s">
        <v>328</v>
      </c>
      <c r="B12" s="17">
        <v>-23534</v>
      </c>
      <c r="C12" s="13" t="s">
        <v>338</v>
      </c>
    </row>
    <row r="13" spans="1:3" s="11" customFormat="1" ht="15.95" customHeight="1" x14ac:dyDescent="0.25">
      <c r="A13" s="11" t="s">
        <v>340</v>
      </c>
      <c r="B13" s="17">
        <v>-25400</v>
      </c>
      <c r="C13" s="13" t="s">
        <v>339</v>
      </c>
    </row>
    <row r="14" spans="1:3" s="11" customFormat="1" ht="15.95" customHeight="1" x14ac:dyDescent="0.25">
      <c r="A14" s="11" t="s">
        <v>329</v>
      </c>
      <c r="B14" s="17">
        <v>-25400</v>
      </c>
      <c r="C14" s="13" t="s">
        <v>339</v>
      </c>
    </row>
    <row r="15" spans="1:3" s="11" customFormat="1" ht="15.95" customHeight="1" x14ac:dyDescent="0.25">
      <c r="A15" s="11" t="s">
        <v>330</v>
      </c>
      <c r="B15" s="17">
        <v>-29502</v>
      </c>
      <c r="C15" s="13" t="s">
        <v>339</v>
      </c>
    </row>
    <row r="16" spans="1:3" s="11" customFormat="1" ht="15.95" customHeight="1" x14ac:dyDescent="0.25">
      <c r="A16" s="11" t="s">
        <v>331</v>
      </c>
      <c r="B16" s="17">
        <v>-29632</v>
      </c>
      <c r="C16" s="13" t="s">
        <v>338</v>
      </c>
    </row>
    <row r="17" spans="1:9" s="11" customFormat="1" ht="15.95" customHeight="1" x14ac:dyDescent="0.25">
      <c r="A17" s="11" t="s">
        <v>332</v>
      </c>
      <c r="B17" s="17">
        <v>-31413</v>
      </c>
      <c r="C17" s="13" t="s">
        <v>338</v>
      </c>
    </row>
    <row r="18" spans="1:9" s="11" customFormat="1" ht="15.95" customHeight="1" x14ac:dyDescent="0.25">
      <c r="A18" s="11" t="s">
        <v>333</v>
      </c>
      <c r="B18" s="17">
        <v>-32504</v>
      </c>
      <c r="C18" s="13" t="s">
        <v>339</v>
      </c>
    </row>
    <row r="19" spans="1:9" s="11" customFormat="1" ht="15.95" customHeight="1" x14ac:dyDescent="0.25">
      <c r="A19" s="11" t="s">
        <v>334</v>
      </c>
      <c r="B19" s="17">
        <v>-38548</v>
      </c>
      <c r="C19" s="13" t="s">
        <v>339</v>
      </c>
    </row>
    <row r="20" spans="1:9" s="11" customFormat="1" ht="15.95" customHeight="1" x14ac:dyDescent="0.25">
      <c r="A20" s="11" t="s">
        <v>335</v>
      </c>
      <c r="B20" s="17">
        <v>-43113</v>
      </c>
      <c r="C20" s="13" t="s">
        <v>339</v>
      </c>
    </row>
    <row r="21" spans="1:9" s="11" customFormat="1" ht="15.95" customHeight="1" x14ac:dyDescent="0.25">
      <c r="A21" s="11" t="s">
        <v>336</v>
      </c>
      <c r="B21" s="17">
        <v>-48021</v>
      </c>
      <c r="C21" s="13" t="s">
        <v>339</v>
      </c>
    </row>
    <row r="22" spans="1:9" s="11" customFormat="1" ht="15.95" customHeight="1" x14ac:dyDescent="0.25">
      <c r="A22" s="11" t="s">
        <v>337</v>
      </c>
      <c r="B22" s="12">
        <v>-63575</v>
      </c>
      <c r="C22" s="13" t="s">
        <v>338</v>
      </c>
    </row>
    <row r="23" spans="1:9" s="11" customFormat="1" ht="15.95" customHeight="1" x14ac:dyDescent="0.25">
      <c r="B23" s="12">
        <f>SUM(B9:B22)</f>
        <v>-457794</v>
      </c>
      <c r="C23" s="13"/>
    </row>
    <row r="24" spans="1:9" s="11" customFormat="1" ht="15.95" customHeight="1" x14ac:dyDescent="0.25">
      <c r="A24" s="11" t="s">
        <v>2</v>
      </c>
      <c r="B24" s="12"/>
      <c r="C24" s="13"/>
    </row>
    <row r="25" spans="1:9" s="11" customFormat="1" ht="15.95" customHeight="1" x14ac:dyDescent="0.25">
      <c r="B25" s="12"/>
      <c r="C25" s="13"/>
    </row>
    <row r="26" spans="1:9" s="13" customFormat="1" ht="15.95" customHeight="1" x14ac:dyDescent="0.25">
      <c r="A26" s="11"/>
      <c r="B26" s="12">
        <f>SUM(B25)</f>
        <v>0</v>
      </c>
      <c r="D26" s="11"/>
      <c r="E26" s="11"/>
      <c r="F26" s="11"/>
      <c r="G26" s="11"/>
      <c r="H26" s="11"/>
      <c r="I26" s="11"/>
    </row>
    <row r="27" spans="1:9" s="13" customFormat="1" ht="15.95" customHeight="1" x14ac:dyDescent="0.25">
      <c r="A27" s="15" t="s">
        <v>1</v>
      </c>
      <c r="B27" s="16">
        <f>B26+B23</f>
        <v>-457794</v>
      </c>
      <c r="D27" s="11"/>
      <c r="E27" s="11"/>
      <c r="F27" s="11"/>
      <c r="G27" s="11"/>
      <c r="H27" s="11"/>
      <c r="I27" s="11"/>
    </row>
    <row r="28" spans="1:9" s="13" customFormat="1" ht="15.95" customHeight="1" x14ac:dyDescent="0.25">
      <c r="A28" s="11" t="s">
        <v>0</v>
      </c>
      <c r="B28" s="12">
        <f>B27-B7</f>
        <v>1</v>
      </c>
      <c r="C28" s="13" t="s">
        <v>341</v>
      </c>
      <c r="D28" s="11"/>
      <c r="E28" s="11"/>
      <c r="F28" s="11"/>
      <c r="G28" s="11"/>
      <c r="H28" s="11"/>
      <c r="I28" s="11"/>
    </row>
    <row r="29" spans="1:9" ht="20.100000000000001" customHeight="1" x14ac:dyDescent="0.3"/>
  </sheetData>
  <pageMargins left="0.7" right="0.7" top="0.75" bottom="0.75" header="0.3" footer="0.3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I29"/>
  <sheetViews>
    <sheetView workbookViewId="0">
      <selection activeCell="C28" sqref="C28"/>
    </sheetView>
  </sheetViews>
  <sheetFormatPr defaultRowHeight="18.75" x14ac:dyDescent="0.3"/>
  <cols>
    <col min="1" max="1" width="25.42578125" style="1" customWidth="1"/>
    <col min="2" max="2" width="20.5703125" style="3" customWidth="1"/>
    <col min="3" max="3" width="25.7109375" style="6" customWidth="1"/>
    <col min="4" max="7" width="9.140625" style="1"/>
    <col min="8" max="8" width="17.7109375" style="1" customWidth="1"/>
    <col min="9" max="16384" width="9.140625" style="1"/>
  </cols>
  <sheetData>
    <row r="1" spans="1:3" s="11" customFormat="1" ht="15.95" customHeight="1" x14ac:dyDescent="0.25">
      <c r="A1" s="11" t="s">
        <v>304</v>
      </c>
      <c r="B1" s="12"/>
      <c r="C1" s="13"/>
    </row>
    <row r="2" spans="1:3" s="11" customFormat="1" ht="15.95" customHeight="1" x14ac:dyDescent="0.25">
      <c r="A2" s="14">
        <v>42643</v>
      </c>
      <c r="B2" s="12"/>
      <c r="C2" s="13"/>
    </row>
    <row r="3" spans="1:3" s="11" customFormat="1" ht="15.95" customHeight="1" x14ac:dyDescent="0.25">
      <c r="A3" s="11" t="s">
        <v>311</v>
      </c>
      <c r="B3" s="12">
        <v>8452265</v>
      </c>
      <c r="C3" s="13"/>
    </row>
    <row r="4" spans="1:3" s="11" customFormat="1" ht="15.95" customHeight="1" x14ac:dyDescent="0.25">
      <c r="A4" s="11" t="s">
        <v>6</v>
      </c>
      <c r="B4" s="12"/>
      <c r="C4" s="13"/>
    </row>
    <row r="5" spans="1:3" s="11" customFormat="1" ht="15.95" customHeight="1" x14ac:dyDescent="0.25">
      <c r="A5" s="11">
        <v>2100</v>
      </c>
      <c r="B5" s="12">
        <v>-8452265</v>
      </c>
      <c r="C5" s="13"/>
    </row>
    <row r="6" spans="1:3" s="11" customFormat="1" ht="15.95" customHeight="1" x14ac:dyDescent="0.25">
      <c r="A6" s="11" t="s">
        <v>5</v>
      </c>
      <c r="B6" s="12">
        <f>SUM(B5:B5)</f>
        <v>-8452265</v>
      </c>
      <c r="C6" s="13"/>
    </row>
    <row r="7" spans="1:3" s="11" customFormat="1" ht="15.95" customHeight="1" x14ac:dyDescent="0.25">
      <c r="A7" s="15" t="s">
        <v>4</v>
      </c>
      <c r="B7" s="16">
        <f>SUM(B3+B6)</f>
        <v>0</v>
      </c>
      <c r="C7" s="13"/>
    </row>
    <row r="8" spans="1:3" s="11" customFormat="1" ht="15.95" customHeight="1" x14ac:dyDescent="0.25">
      <c r="A8" s="11" t="s">
        <v>3</v>
      </c>
      <c r="B8" s="12"/>
      <c r="C8" s="13"/>
    </row>
    <row r="9" spans="1:3" s="11" customFormat="1" ht="15.95" customHeight="1" x14ac:dyDescent="0.25">
      <c r="B9" s="17"/>
      <c r="C9" s="13"/>
    </row>
    <row r="10" spans="1:3" s="11" customFormat="1" ht="15.95" customHeight="1" x14ac:dyDescent="0.25">
      <c r="B10" s="17"/>
      <c r="C10" s="13"/>
    </row>
    <row r="11" spans="1:3" s="11" customFormat="1" ht="15.95" customHeight="1" x14ac:dyDescent="0.25">
      <c r="B11" s="17"/>
      <c r="C11" s="13"/>
    </row>
    <row r="12" spans="1:3" s="11" customFormat="1" ht="15.95" customHeight="1" x14ac:dyDescent="0.25">
      <c r="B12" s="17"/>
      <c r="C12" s="13"/>
    </row>
    <row r="13" spans="1:3" s="11" customFormat="1" ht="15.95" customHeight="1" x14ac:dyDescent="0.25">
      <c r="B13" s="17"/>
      <c r="C13" s="13"/>
    </row>
    <row r="14" spans="1:3" s="11" customFormat="1" ht="15.95" customHeight="1" x14ac:dyDescent="0.25">
      <c r="B14" s="17"/>
      <c r="C14" s="13"/>
    </row>
    <row r="15" spans="1:3" s="11" customFormat="1" ht="15.95" customHeight="1" x14ac:dyDescent="0.25">
      <c r="B15" s="17"/>
      <c r="C15" s="13"/>
    </row>
    <row r="16" spans="1:3" s="11" customFormat="1" ht="15.95" customHeight="1" x14ac:dyDescent="0.25">
      <c r="B16" s="17"/>
      <c r="C16" s="13"/>
    </row>
    <row r="17" spans="1:9" s="11" customFormat="1" ht="15.95" customHeight="1" x14ac:dyDescent="0.25">
      <c r="B17" s="17"/>
      <c r="C17" s="13"/>
    </row>
    <row r="18" spans="1:9" s="11" customFormat="1" ht="15.95" customHeight="1" x14ac:dyDescent="0.25">
      <c r="B18" s="17"/>
      <c r="C18" s="13"/>
    </row>
    <row r="19" spans="1:9" s="11" customFormat="1" ht="15.95" customHeight="1" x14ac:dyDescent="0.25">
      <c r="B19" s="17"/>
      <c r="C19" s="13"/>
    </row>
    <row r="20" spans="1:9" s="11" customFormat="1" ht="15.95" customHeight="1" x14ac:dyDescent="0.25">
      <c r="B20" s="17"/>
      <c r="C20" s="13"/>
    </row>
    <row r="21" spans="1:9" s="11" customFormat="1" ht="15.95" customHeight="1" x14ac:dyDescent="0.25">
      <c r="B21" s="17"/>
      <c r="C21" s="13"/>
    </row>
    <row r="22" spans="1:9" s="11" customFormat="1" ht="15.95" customHeight="1" x14ac:dyDescent="0.25">
      <c r="B22" s="12"/>
      <c r="C22" s="13"/>
    </row>
    <row r="23" spans="1:9" s="11" customFormat="1" ht="15.95" customHeight="1" x14ac:dyDescent="0.25">
      <c r="B23" s="12">
        <f>SUM(B9:B22)</f>
        <v>0</v>
      </c>
      <c r="C23" s="13"/>
    </row>
    <row r="24" spans="1:9" s="11" customFormat="1" ht="15.95" customHeight="1" x14ac:dyDescent="0.25">
      <c r="A24" s="11" t="s">
        <v>2</v>
      </c>
      <c r="B24" s="12"/>
      <c r="C24" s="13"/>
    </row>
    <row r="25" spans="1:9" s="11" customFormat="1" ht="15.95" customHeight="1" x14ac:dyDescent="0.25">
      <c r="B25" s="12"/>
      <c r="C25" s="13"/>
    </row>
    <row r="26" spans="1:9" s="13" customFormat="1" ht="15.95" customHeight="1" x14ac:dyDescent="0.25">
      <c r="A26" s="11"/>
      <c r="B26" s="12">
        <f>SUM(B25)</f>
        <v>0</v>
      </c>
      <c r="D26" s="11"/>
      <c r="E26" s="11"/>
      <c r="F26" s="11"/>
      <c r="G26" s="11"/>
      <c r="H26" s="11"/>
      <c r="I26" s="11"/>
    </row>
    <row r="27" spans="1:9" s="13" customFormat="1" ht="15.95" customHeight="1" x14ac:dyDescent="0.25">
      <c r="A27" s="15" t="s">
        <v>1</v>
      </c>
      <c r="B27" s="16">
        <f>B26+B23</f>
        <v>0</v>
      </c>
      <c r="D27" s="11"/>
      <c r="E27" s="11"/>
      <c r="F27" s="11"/>
      <c r="G27" s="11"/>
      <c r="H27" s="11"/>
      <c r="I27" s="11"/>
    </row>
    <row r="28" spans="1:9" s="13" customFormat="1" ht="15.95" customHeight="1" x14ac:dyDescent="0.25">
      <c r="A28" s="11" t="s">
        <v>0</v>
      </c>
      <c r="B28" s="12">
        <f>B27-B7</f>
        <v>0</v>
      </c>
      <c r="D28" s="11"/>
      <c r="E28" s="11"/>
      <c r="F28" s="11"/>
      <c r="G28" s="11"/>
      <c r="H28" s="11"/>
      <c r="I28" s="11"/>
    </row>
    <row r="29" spans="1:9" ht="20.100000000000001" customHeight="1" x14ac:dyDescent="0.3"/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I38"/>
  <sheetViews>
    <sheetView workbookViewId="0">
      <selection activeCell="C36" sqref="C36"/>
    </sheetView>
  </sheetViews>
  <sheetFormatPr defaultRowHeight="18.75" x14ac:dyDescent="0.3"/>
  <cols>
    <col min="1" max="1" width="19.42578125" style="1" customWidth="1"/>
    <col min="2" max="2" width="15.140625" style="3" customWidth="1"/>
    <col min="3" max="3" width="25.7109375" style="6" customWidth="1"/>
    <col min="4" max="7" width="9.140625" style="1"/>
    <col min="8" max="8" width="17.7109375" style="1" customWidth="1"/>
    <col min="9" max="16384" width="9.140625" style="1"/>
  </cols>
  <sheetData>
    <row r="1" spans="1:3" s="11" customFormat="1" ht="15.95" customHeight="1" x14ac:dyDescent="0.25">
      <c r="A1" s="11" t="s">
        <v>304</v>
      </c>
      <c r="B1" s="12"/>
      <c r="C1" s="13"/>
    </row>
    <row r="2" spans="1:3" s="11" customFormat="1" ht="15.95" customHeight="1" x14ac:dyDescent="0.25">
      <c r="A2" s="14">
        <v>42674</v>
      </c>
      <c r="B2" s="12"/>
      <c r="C2" s="13"/>
    </row>
    <row r="3" spans="1:3" s="11" customFormat="1" ht="15.95" customHeight="1" x14ac:dyDescent="0.25">
      <c r="A3" s="11" t="s">
        <v>311</v>
      </c>
      <c r="B3" s="12">
        <v>8262559</v>
      </c>
      <c r="C3" s="13"/>
    </row>
    <row r="4" spans="1:3" s="11" customFormat="1" ht="15.95" customHeight="1" x14ac:dyDescent="0.25">
      <c r="A4" s="11" t="s">
        <v>6</v>
      </c>
      <c r="B4" s="12"/>
      <c r="C4" s="13"/>
    </row>
    <row r="5" spans="1:3" s="11" customFormat="1" ht="15.95" customHeight="1" x14ac:dyDescent="0.25">
      <c r="A5" s="11">
        <v>2100</v>
      </c>
      <c r="B5" s="12">
        <v>-8585953</v>
      </c>
      <c r="C5" s="13"/>
    </row>
    <row r="6" spans="1:3" s="11" customFormat="1" ht="15.95" customHeight="1" x14ac:dyDescent="0.25">
      <c r="A6" s="11" t="s">
        <v>5</v>
      </c>
      <c r="B6" s="12">
        <f>SUM(B5:B5)</f>
        <v>-8585953</v>
      </c>
      <c r="C6" s="13"/>
    </row>
    <row r="7" spans="1:3" s="11" customFormat="1" ht="15.95" customHeight="1" x14ac:dyDescent="0.25">
      <c r="A7" s="15" t="s">
        <v>4</v>
      </c>
      <c r="B7" s="16">
        <f>SUM(B3+B6)</f>
        <v>-323394</v>
      </c>
      <c r="C7" s="13"/>
    </row>
    <row r="8" spans="1:3" s="11" customFormat="1" ht="15.95" customHeight="1" x14ac:dyDescent="0.25">
      <c r="A8" s="11" t="s">
        <v>3</v>
      </c>
      <c r="B8" s="12"/>
      <c r="C8" s="13"/>
    </row>
    <row r="9" spans="1:3" s="11" customFormat="1" ht="15.95" customHeight="1" x14ac:dyDescent="0.25">
      <c r="A9" s="11" t="s">
        <v>342</v>
      </c>
      <c r="B9" s="17">
        <v>-22740</v>
      </c>
      <c r="C9" s="13" t="s">
        <v>356</v>
      </c>
    </row>
    <row r="10" spans="1:3" s="11" customFormat="1" ht="15.95" customHeight="1" x14ac:dyDescent="0.25">
      <c r="A10" s="11" t="s">
        <v>343</v>
      </c>
      <c r="B10" s="17">
        <v>-22740</v>
      </c>
      <c r="C10" s="13" t="s">
        <v>356</v>
      </c>
    </row>
    <row r="11" spans="1:3" s="11" customFormat="1" ht="15.95" customHeight="1" x14ac:dyDescent="0.25">
      <c r="A11" s="11" t="s">
        <v>344</v>
      </c>
      <c r="B11" s="17">
        <v>-24398</v>
      </c>
      <c r="C11" s="13" t="s">
        <v>356</v>
      </c>
    </row>
    <row r="12" spans="1:3" s="11" customFormat="1" ht="15.95" customHeight="1" x14ac:dyDescent="0.25">
      <c r="A12" s="11" t="s">
        <v>345</v>
      </c>
      <c r="B12" s="17">
        <v>-24398</v>
      </c>
      <c r="C12" s="13" t="s">
        <v>356</v>
      </c>
    </row>
    <row r="13" spans="1:3" s="11" customFormat="1" ht="15.95" customHeight="1" x14ac:dyDescent="0.25">
      <c r="A13" s="11" t="s">
        <v>346</v>
      </c>
      <c r="B13" s="17">
        <v>-25620</v>
      </c>
      <c r="C13" s="13" t="s">
        <v>357</v>
      </c>
    </row>
    <row r="14" spans="1:3" s="11" customFormat="1" ht="15.95" customHeight="1" x14ac:dyDescent="0.25">
      <c r="A14" s="11" t="s">
        <v>347</v>
      </c>
      <c r="B14" s="17">
        <v>-25855</v>
      </c>
      <c r="C14" s="13" t="s">
        <v>356</v>
      </c>
    </row>
    <row r="15" spans="1:3" s="11" customFormat="1" ht="15.95" customHeight="1" x14ac:dyDescent="0.25">
      <c r="A15" s="11" t="s">
        <v>348</v>
      </c>
      <c r="B15" s="17">
        <v>-26628</v>
      </c>
      <c r="C15" s="13" t="s">
        <v>357</v>
      </c>
    </row>
    <row r="16" spans="1:3" s="11" customFormat="1" ht="15.95" customHeight="1" x14ac:dyDescent="0.25">
      <c r="A16" s="11" t="s">
        <v>355</v>
      </c>
      <c r="B16" s="17">
        <v>-30046</v>
      </c>
      <c r="C16" s="13" t="s">
        <v>357</v>
      </c>
    </row>
    <row r="17" spans="1:3" s="11" customFormat="1" ht="15.95" customHeight="1" x14ac:dyDescent="0.25">
      <c r="A17" s="11" t="s">
        <v>349</v>
      </c>
      <c r="B17" s="17">
        <v>-31129</v>
      </c>
      <c r="C17" s="13" t="s">
        <v>356</v>
      </c>
    </row>
    <row r="18" spans="1:3" s="11" customFormat="1" ht="15.95" customHeight="1" x14ac:dyDescent="0.25">
      <c r="A18" s="11" t="s">
        <v>350</v>
      </c>
      <c r="B18" s="17">
        <v>-31129</v>
      </c>
      <c r="C18" s="13" t="s">
        <v>356</v>
      </c>
    </row>
    <row r="19" spans="1:3" s="11" customFormat="1" ht="15.95" customHeight="1" x14ac:dyDescent="0.25">
      <c r="A19" s="11" t="s">
        <v>351</v>
      </c>
      <c r="B19" s="17">
        <v>-45201</v>
      </c>
      <c r="C19" s="13" t="s">
        <v>360</v>
      </c>
    </row>
    <row r="20" spans="1:3" s="11" customFormat="1" ht="15.95" customHeight="1" x14ac:dyDescent="0.25">
      <c r="A20" s="11" t="s">
        <v>352</v>
      </c>
      <c r="B20" s="17">
        <v>-58369</v>
      </c>
      <c r="C20" s="13" t="s">
        <v>361</v>
      </c>
    </row>
    <row r="21" spans="1:3" s="11" customFormat="1" ht="15.95" customHeight="1" x14ac:dyDescent="0.25">
      <c r="B21" s="12"/>
      <c r="C21" s="13"/>
    </row>
    <row r="22" spans="1:3" s="11" customFormat="1" ht="15.95" customHeight="1" x14ac:dyDescent="0.25">
      <c r="B22" s="12">
        <f>SUM(B9:B21)</f>
        <v>-368253</v>
      </c>
      <c r="C22" s="13"/>
    </row>
    <row r="23" spans="1:3" s="11" customFormat="1" ht="15.95" customHeight="1" x14ac:dyDescent="0.25">
      <c r="A23" s="11" t="s">
        <v>2</v>
      </c>
      <c r="B23" s="12"/>
      <c r="C23" s="13"/>
    </row>
    <row r="24" spans="1:3" s="11" customFormat="1" ht="15.95" customHeight="1" x14ac:dyDescent="0.25">
      <c r="A24" s="11" t="s">
        <v>353</v>
      </c>
      <c r="B24" s="12">
        <v>22119</v>
      </c>
      <c r="C24" s="13" t="s">
        <v>358</v>
      </c>
    </row>
    <row r="25" spans="1:3" s="11" customFormat="1" ht="15.95" customHeight="1" x14ac:dyDescent="0.25">
      <c r="A25" s="11" t="s">
        <v>354</v>
      </c>
      <c r="B25" s="12">
        <v>22740</v>
      </c>
      <c r="C25" s="13" t="s">
        <v>359</v>
      </c>
    </row>
    <row r="26" spans="1:3" s="11" customFormat="1" ht="15.95" customHeight="1" x14ac:dyDescent="0.25">
      <c r="B26" s="12"/>
      <c r="C26" s="13"/>
    </row>
    <row r="27" spans="1:3" s="11" customFormat="1" ht="15.95" customHeight="1" x14ac:dyDescent="0.25">
      <c r="B27" s="12">
        <f>SUM(B24:B26)</f>
        <v>44859</v>
      </c>
      <c r="C27" s="13"/>
    </row>
    <row r="28" spans="1:3" s="11" customFormat="1" ht="15.95" customHeight="1" x14ac:dyDescent="0.25">
      <c r="A28" s="15" t="s">
        <v>1</v>
      </c>
      <c r="B28" s="16">
        <f>B27+B22</f>
        <v>-323394</v>
      </c>
      <c r="C28" s="13"/>
    </row>
    <row r="29" spans="1:3" s="11" customFormat="1" ht="15.95" customHeight="1" x14ac:dyDescent="0.25">
      <c r="A29" s="11" t="s">
        <v>0</v>
      </c>
      <c r="B29" s="12">
        <f>B28-B7</f>
        <v>0</v>
      </c>
      <c r="C29" s="13"/>
    </row>
    <row r="30" spans="1:3" s="11" customFormat="1" ht="15.95" customHeight="1" x14ac:dyDescent="0.3">
      <c r="A30" s="1"/>
      <c r="B30" s="3"/>
      <c r="C30" s="13"/>
    </row>
    <row r="31" spans="1:3" s="11" customFormat="1" ht="15.95" customHeight="1" x14ac:dyDescent="0.3">
      <c r="A31" s="1"/>
      <c r="B31" s="3"/>
      <c r="C31" s="13"/>
    </row>
    <row r="32" spans="1:3" s="11" customFormat="1" ht="15.95" customHeight="1" x14ac:dyDescent="0.3">
      <c r="A32" s="1"/>
      <c r="B32" s="3"/>
      <c r="C32" s="13"/>
    </row>
    <row r="33" spans="1:9" s="11" customFormat="1" ht="15.95" customHeight="1" x14ac:dyDescent="0.3">
      <c r="A33" s="1"/>
      <c r="B33" s="3"/>
      <c r="C33" s="13"/>
    </row>
    <row r="34" spans="1:9" s="11" customFormat="1" ht="15.95" customHeight="1" x14ac:dyDescent="0.3">
      <c r="A34" s="1"/>
      <c r="B34" s="3"/>
      <c r="C34" s="13"/>
    </row>
    <row r="35" spans="1:9" s="13" customFormat="1" ht="15.95" customHeight="1" x14ac:dyDescent="0.3">
      <c r="A35" s="1"/>
      <c r="B35" s="3"/>
      <c r="D35" s="11"/>
      <c r="E35" s="11"/>
      <c r="F35" s="11"/>
      <c r="G35" s="11"/>
      <c r="H35" s="11"/>
      <c r="I35" s="11"/>
    </row>
    <row r="36" spans="1:9" s="13" customFormat="1" ht="15.95" customHeight="1" x14ac:dyDescent="0.3">
      <c r="A36" s="1"/>
      <c r="B36" s="3"/>
      <c r="D36" s="11"/>
      <c r="E36" s="11"/>
      <c r="F36" s="11"/>
      <c r="G36" s="11"/>
      <c r="H36" s="11"/>
      <c r="I36" s="11"/>
    </row>
    <row r="37" spans="1:9" s="13" customFormat="1" ht="15.95" customHeight="1" x14ac:dyDescent="0.3">
      <c r="A37" s="1"/>
      <c r="B37" s="3"/>
      <c r="D37" s="11"/>
      <c r="E37" s="11"/>
      <c r="F37" s="11"/>
      <c r="G37" s="11"/>
      <c r="H37" s="11"/>
      <c r="I37" s="11"/>
    </row>
    <row r="38" spans="1:9" ht="20.100000000000001" customHeight="1" x14ac:dyDescent="0.3"/>
  </sheetData>
  <pageMargins left="0.7" right="0.7" top="0.75" bottom="0.75" header="0.3" footer="0.3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I32"/>
  <sheetViews>
    <sheetView workbookViewId="0">
      <selection activeCell="H17" sqref="H17"/>
    </sheetView>
  </sheetViews>
  <sheetFormatPr defaultRowHeight="18.75" x14ac:dyDescent="0.3"/>
  <cols>
    <col min="1" max="1" width="19.42578125" style="1" customWidth="1"/>
    <col min="2" max="2" width="15.140625" style="3" customWidth="1"/>
    <col min="3" max="3" width="25.7109375" style="6" customWidth="1"/>
    <col min="4" max="7" width="9.140625" style="1"/>
    <col min="8" max="8" width="17.7109375" style="1" customWidth="1"/>
    <col min="9" max="16384" width="9.140625" style="1"/>
  </cols>
  <sheetData>
    <row r="1" spans="1:3" s="11" customFormat="1" ht="15.95" customHeight="1" x14ac:dyDescent="0.25">
      <c r="A1" s="11" t="s">
        <v>304</v>
      </c>
      <c r="B1" s="12"/>
      <c r="C1" s="13"/>
    </row>
    <row r="2" spans="1:3" s="11" customFormat="1" ht="15.95" customHeight="1" x14ac:dyDescent="0.25">
      <c r="A2" s="14">
        <v>42704</v>
      </c>
      <c r="B2" s="12"/>
      <c r="C2" s="13"/>
    </row>
    <row r="3" spans="1:3" s="11" customFormat="1" ht="15.95" customHeight="1" x14ac:dyDescent="0.25">
      <c r="A3" s="11" t="s">
        <v>311</v>
      </c>
      <c r="B3" s="12">
        <v>9547813.8800000008</v>
      </c>
      <c r="C3" s="13"/>
    </row>
    <row r="4" spans="1:3" s="11" customFormat="1" ht="15.95" customHeight="1" x14ac:dyDescent="0.25">
      <c r="A4" s="11" t="s">
        <v>6</v>
      </c>
      <c r="B4" s="12"/>
      <c r="C4" s="13"/>
    </row>
    <row r="5" spans="1:3" s="11" customFormat="1" ht="15.95" customHeight="1" x14ac:dyDescent="0.25">
      <c r="A5" s="11">
        <v>2100</v>
      </c>
      <c r="B5" s="12">
        <v>-9573758.8800000008</v>
      </c>
      <c r="C5" s="13"/>
    </row>
    <row r="6" spans="1:3" s="11" customFormat="1" ht="15.95" customHeight="1" x14ac:dyDescent="0.25">
      <c r="A6" s="11" t="s">
        <v>5</v>
      </c>
      <c r="B6" s="12">
        <f>SUM(B5:B5)</f>
        <v>-9573758.8800000008</v>
      </c>
      <c r="C6" s="13"/>
    </row>
    <row r="7" spans="1:3" s="11" customFormat="1" ht="15.95" customHeight="1" x14ac:dyDescent="0.25">
      <c r="A7" s="15" t="s">
        <v>4</v>
      </c>
      <c r="B7" s="16">
        <f>SUM(B3+B6)</f>
        <v>-25945</v>
      </c>
      <c r="C7" s="13"/>
    </row>
    <row r="8" spans="1:3" s="11" customFormat="1" ht="15.95" customHeight="1" x14ac:dyDescent="0.25">
      <c r="A8" s="11" t="s">
        <v>3</v>
      </c>
      <c r="B8" s="12"/>
      <c r="C8" s="13"/>
    </row>
    <row r="9" spans="1:3" s="11" customFormat="1" ht="15.95" customHeight="1" x14ac:dyDescent="0.25">
      <c r="A9" s="11" t="s">
        <v>362</v>
      </c>
      <c r="B9" s="17">
        <v>-61451</v>
      </c>
      <c r="C9" s="13" t="s">
        <v>363</v>
      </c>
    </row>
    <row r="10" spans="1:3" s="11" customFormat="1" ht="15.95" customHeight="1" x14ac:dyDescent="0.25">
      <c r="A10" s="11" t="s">
        <v>364</v>
      </c>
      <c r="B10" s="17">
        <v>-65736</v>
      </c>
      <c r="C10" s="13" t="s">
        <v>363</v>
      </c>
    </row>
    <row r="11" spans="1:3" s="11" customFormat="1" ht="15.95" customHeight="1" x14ac:dyDescent="0.25">
      <c r="B11" s="17"/>
      <c r="C11" s="13"/>
    </row>
    <row r="12" spans="1:3" s="11" customFormat="1" ht="15.95" customHeight="1" x14ac:dyDescent="0.25">
      <c r="B12" s="17"/>
      <c r="C12" s="13"/>
    </row>
    <row r="13" spans="1:3" s="11" customFormat="1" ht="15.95" customHeight="1" x14ac:dyDescent="0.25">
      <c r="B13" s="12"/>
      <c r="C13" s="13"/>
    </row>
    <row r="14" spans="1:3" s="11" customFormat="1" ht="15.95" customHeight="1" x14ac:dyDescent="0.25">
      <c r="B14" s="12">
        <f>SUM(B9:B13)</f>
        <v>-127187</v>
      </c>
      <c r="C14" s="13"/>
    </row>
    <row r="15" spans="1:3" s="11" customFormat="1" ht="15.95" customHeight="1" x14ac:dyDescent="0.25">
      <c r="A15" s="11" t="s">
        <v>2</v>
      </c>
      <c r="B15" s="12"/>
      <c r="C15" s="13"/>
    </row>
    <row r="16" spans="1:3" s="11" customFormat="1" ht="15.95" customHeight="1" x14ac:dyDescent="0.25">
      <c r="A16" s="11" t="s">
        <v>365</v>
      </c>
      <c r="B16" s="12">
        <v>22740</v>
      </c>
      <c r="C16" s="13" t="s">
        <v>369</v>
      </c>
    </row>
    <row r="17" spans="1:9" s="11" customFormat="1" ht="15.95" customHeight="1" x14ac:dyDescent="0.25">
      <c r="A17" s="11" t="s">
        <v>367</v>
      </c>
      <c r="B17" s="12">
        <v>39208</v>
      </c>
      <c r="C17" s="13" t="s">
        <v>366</v>
      </c>
    </row>
    <row r="18" spans="1:9" s="11" customFormat="1" ht="15.95" customHeight="1" x14ac:dyDescent="0.25">
      <c r="A18" s="11" t="s">
        <v>368</v>
      </c>
      <c r="B18" s="12">
        <v>39294</v>
      </c>
      <c r="C18" s="13" t="s">
        <v>366</v>
      </c>
    </row>
    <row r="19" spans="1:9" s="11" customFormat="1" ht="15.95" customHeight="1" x14ac:dyDescent="0.25">
      <c r="B19" s="12"/>
      <c r="C19" s="13"/>
    </row>
    <row r="20" spans="1:9" s="11" customFormat="1" ht="15.95" customHeight="1" x14ac:dyDescent="0.25">
      <c r="B20" s="12"/>
      <c r="C20" s="13"/>
    </row>
    <row r="21" spans="1:9" s="11" customFormat="1" ht="15.95" customHeight="1" x14ac:dyDescent="0.25">
      <c r="B21" s="12">
        <f>SUM(B16:B20)</f>
        <v>101242</v>
      </c>
      <c r="C21" s="13"/>
    </row>
    <row r="22" spans="1:9" s="11" customFormat="1" ht="15.95" customHeight="1" x14ac:dyDescent="0.25">
      <c r="A22" s="15" t="s">
        <v>1</v>
      </c>
      <c r="B22" s="16">
        <f>B21+B14</f>
        <v>-25945</v>
      </c>
      <c r="C22" s="13"/>
    </row>
    <row r="23" spans="1:9" s="11" customFormat="1" ht="15.95" customHeight="1" x14ac:dyDescent="0.25">
      <c r="A23" s="11" t="s">
        <v>0</v>
      </c>
      <c r="B23" s="12">
        <f>B22-B7</f>
        <v>0</v>
      </c>
      <c r="C23" s="13"/>
    </row>
    <row r="24" spans="1:9" s="11" customFormat="1" ht="15.95" customHeight="1" x14ac:dyDescent="0.3">
      <c r="A24" s="1"/>
      <c r="B24" s="3"/>
      <c r="C24" s="13"/>
    </row>
    <row r="25" spans="1:9" s="11" customFormat="1" ht="15.95" customHeight="1" x14ac:dyDescent="0.3">
      <c r="A25" s="1"/>
      <c r="B25" s="3"/>
      <c r="C25" s="13"/>
    </row>
    <row r="26" spans="1:9" s="11" customFormat="1" ht="15.95" customHeight="1" x14ac:dyDescent="0.3">
      <c r="A26" s="1"/>
      <c r="B26" s="3"/>
      <c r="C26" s="13"/>
    </row>
    <row r="27" spans="1:9" s="11" customFormat="1" ht="15.95" customHeight="1" x14ac:dyDescent="0.3">
      <c r="A27" s="1"/>
      <c r="B27" s="3"/>
      <c r="C27" s="13"/>
    </row>
    <row r="28" spans="1:9" s="11" customFormat="1" ht="15.95" customHeight="1" x14ac:dyDescent="0.3">
      <c r="A28" s="1"/>
      <c r="B28" s="3"/>
      <c r="C28" s="13"/>
    </row>
    <row r="29" spans="1:9" s="13" customFormat="1" ht="15.95" customHeight="1" x14ac:dyDescent="0.3">
      <c r="A29" s="1"/>
      <c r="B29" s="3"/>
      <c r="D29" s="11"/>
      <c r="E29" s="11"/>
      <c r="F29" s="11"/>
      <c r="G29" s="11"/>
      <c r="H29" s="11"/>
      <c r="I29" s="11"/>
    </row>
    <row r="30" spans="1:9" s="13" customFormat="1" ht="15.95" customHeight="1" x14ac:dyDescent="0.3">
      <c r="A30" s="1"/>
      <c r="B30" s="3"/>
      <c r="D30" s="11"/>
      <c r="E30" s="11"/>
      <c r="F30" s="11"/>
      <c r="G30" s="11"/>
      <c r="H30" s="11"/>
      <c r="I30" s="11"/>
    </row>
    <row r="31" spans="1:9" s="13" customFormat="1" ht="15.95" customHeight="1" x14ac:dyDescent="0.3">
      <c r="A31" s="1"/>
      <c r="B31" s="3"/>
      <c r="D31" s="11"/>
      <c r="E31" s="11"/>
      <c r="F31" s="11"/>
      <c r="G31" s="11"/>
      <c r="H31" s="11"/>
      <c r="I31" s="11"/>
    </row>
    <row r="32" spans="1:9" ht="20.100000000000001" customHeight="1" x14ac:dyDescent="0.3"/>
  </sheetData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I35"/>
  <sheetViews>
    <sheetView workbookViewId="0">
      <selection activeCell="A2" sqref="A2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25.7109375" style="6" customWidth="1"/>
    <col min="4" max="7" width="9.140625" style="1"/>
    <col min="8" max="8" width="17.7109375" style="1" customWidth="1"/>
    <col min="9" max="16384" width="9.140625" style="1"/>
  </cols>
  <sheetData>
    <row r="1" spans="1:3" s="11" customFormat="1" ht="20.100000000000001" customHeight="1" x14ac:dyDescent="0.25">
      <c r="A1" s="11" t="s">
        <v>304</v>
      </c>
      <c r="B1" s="12"/>
      <c r="C1" s="13"/>
    </row>
    <row r="2" spans="1:3" s="11" customFormat="1" ht="20.100000000000001" customHeight="1" x14ac:dyDescent="0.25">
      <c r="A2" s="14">
        <v>42735</v>
      </c>
      <c r="B2" s="12"/>
      <c r="C2" s="13"/>
    </row>
    <row r="3" spans="1:3" s="11" customFormat="1" ht="20.100000000000001" customHeight="1" x14ac:dyDescent="0.25">
      <c r="A3" s="11" t="s">
        <v>311</v>
      </c>
      <c r="B3" s="12">
        <v>11118580.58</v>
      </c>
      <c r="C3" s="13"/>
    </row>
    <row r="4" spans="1:3" s="11" customFormat="1" ht="20.100000000000001" customHeight="1" x14ac:dyDescent="0.25">
      <c r="A4" s="11" t="s">
        <v>6</v>
      </c>
      <c r="B4" s="12"/>
      <c r="C4" s="13"/>
    </row>
    <row r="5" spans="1:3" s="11" customFormat="1" ht="20.100000000000001" customHeight="1" x14ac:dyDescent="0.25">
      <c r="A5" s="11">
        <v>2100</v>
      </c>
      <c r="B5" s="12">
        <v>-11197149.58</v>
      </c>
      <c r="C5" s="13"/>
    </row>
    <row r="6" spans="1:3" s="11" customFormat="1" ht="20.100000000000001" customHeight="1" x14ac:dyDescent="0.25">
      <c r="A6" s="11" t="s">
        <v>5</v>
      </c>
      <c r="B6" s="12">
        <f>SUM(B5:B5)</f>
        <v>-11197149.58</v>
      </c>
      <c r="C6" s="13"/>
    </row>
    <row r="7" spans="1:3" s="11" customFormat="1" ht="20.100000000000001" customHeight="1" x14ac:dyDescent="0.25">
      <c r="A7" s="15" t="s">
        <v>4</v>
      </c>
      <c r="B7" s="16">
        <f>SUM(B3+B6)</f>
        <v>-78569</v>
      </c>
      <c r="C7" s="13"/>
    </row>
    <row r="8" spans="1:3" s="11" customFormat="1" ht="20.100000000000001" customHeight="1" x14ac:dyDescent="0.25">
      <c r="A8" s="11" t="s">
        <v>3</v>
      </c>
      <c r="B8" s="12"/>
      <c r="C8" s="13"/>
    </row>
    <row r="9" spans="1:3" s="11" customFormat="1" ht="20.100000000000001" customHeight="1" x14ac:dyDescent="0.25">
      <c r="A9" s="11" t="s">
        <v>370</v>
      </c>
      <c r="B9" s="17">
        <v>-22243</v>
      </c>
      <c r="C9" s="13" t="s">
        <v>375</v>
      </c>
    </row>
    <row r="10" spans="1:3" s="11" customFormat="1" ht="20.100000000000001" customHeight="1" x14ac:dyDescent="0.25">
      <c r="A10" s="11" t="s">
        <v>371</v>
      </c>
      <c r="B10" s="17">
        <v>-22980</v>
      </c>
      <c r="C10" s="13" t="s">
        <v>375</v>
      </c>
    </row>
    <row r="11" spans="1:3" s="11" customFormat="1" ht="20.100000000000001" customHeight="1" x14ac:dyDescent="0.25">
      <c r="A11" s="11" t="s">
        <v>372</v>
      </c>
      <c r="B11" s="17">
        <v>-23929</v>
      </c>
      <c r="C11" s="13" t="s">
        <v>377</v>
      </c>
    </row>
    <row r="12" spans="1:3" s="11" customFormat="1" ht="20.100000000000001" customHeight="1" x14ac:dyDescent="0.25">
      <c r="A12" s="11" t="s">
        <v>373</v>
      </c>
      <c r="B12" s="17">
        <v>-32157</v>
      </c>
      <c r="C12" s="13" t="s">
        <v>376</v>
      </c>
    </row>
    <row r="13" spans="1:3" s="11" customFormat="1" ht="20.100000000000001" customHeight="1" x14ac:dyDescent="0.25">
      <c r="B13" s="17"/>
      <c r="C13" s="13"/>
    </row>
    <row r="14" spans="1:3" s="11" customFormat="1" ht="20.100000000000001" customHeight="1" x14ac:dyDescent="0.25">
      <c r="B14" s="12"/>
      <c r="C14" s="13"/>
    </row>
    <row r="15" spans="1:3" s="11" customFormat="1" ht="20.100000000000001" customHeight="1" x14ac:dyDescent="0.25">
      <c r="B15" s="12">
        <f>SUM(B9:B14)</f>
        <v>-101309</v>
      </c>
      <c r="C15" s="13"/>
    </row>
    <row r="16" spans="1:3" s="11" customFormat="1" ht="20.100000000000001" customHeight="1" x14ac:dyDescent="0.25">
      <c r="A16" s="11" t="s">
        <v>2</v>
      </c>
      <c r="B16" s="12"/>
      <c r="C16" s="13"/>
    </row>
    <row r="17" spans="1:9" s="11" customFormat="1" ht="20.100000000000001" customHeight="1" x14ac:dyDescent="0.25">
      <c r="A17" s="11" t="s">
        <v>374</v>
      </c>
      <c r="B17" s="12">
        <v>22740</v>
      </c>
      <c r="C17" s="13" t="s">
        <v>378</v>
      </c>
    </row>
    <row r="18" spans="1:9" s="11" customFormat="1" ht="20.100000000000001" customHeight="1" x14ac:dyDescent="0.25">
      <c r="B18" s="12"/>
      <c r="C18" s="13"/>
    </row>
    <row r="19" spans="1:9" s="11" customFormat="1" ht="20.100000000000001" customHeight="1" x14ac:dyDescent="0.25">
      <c r="B19" s="12"/>
      <c r="C19" s="13"/>
    </row>
    <row r="20" spans="1:9" s="11" customFormat="1" ht="20.100000000000001" customHeight="1" x14ac:dyDescent="0.25">
      <c r="B20" s="12"/>
      <c r="C20" s="13"/>
    </row>
    <row r="21" spans="1:9" s="11" customFormat="1" ht="20.100000000000001" customHeight="1" x14ac:dyDescent="0.25">
      <c r="B21" s="12">
        <f>SUM(B17:B20)</f>
        <v>22740</v>
      </c>
      <c r="C21" s="13"/>
    </row>
    <row r="22" spans="1:9" s="11" customFormat="1" ht="20.100000000000001" customHeight="1" x14ac:dyDescent="0.25">
      <c r="A22" s="15" t="s">
        <v>1</v>
      </c>
      <c r="B22" s="16">
        <f>B21+B15</f>
        <v>-78569</v>
      </c>
      <c r="C22" s="13"/>
    </row>
    <row r="23" spans="1:9" s="11" customFormat="1" ht="20.100000000000001" customHeight="1" x14ac:dyDescent="0.25">
      <c r="A23" s="11" t="s">
        <v>0</v>
      </c>
      <c r="B23" s="12">
        <f>B22-B7</f>
        <v>0</v>
      </c>
      <c r="C23" s="13"/>
    </row>
    <row r="24" spans="1:9" s="11" customFormat="1" ht="20.100000000000001" customHeight="1" x14ac:dyDescent="0.3">
      <c r="A24" s="1"/>
      <c r="B24" s="3"/>
      <c r="C24" s="13"/>
    </row>
    <row r="25" spans="1:9" s="11" customFormat="1" ht="20.100000000000001" customHeight="1" x14ac:dyDescent="0.3">
      <c r="A25" s="1"/>
      <c r="B25" s="3"/>
      <c r="C25" s="13"/>
    </row>
    <row r="26" spans="1:9" s="11" customFormat="1" ht="20.100000000000001" customHeight="1" x14ac:dyDescent="0.3">
      <c r="A26" s="1"/>
      <c r="B26" s="3"/>
      <c r="C26" s="13"/>
    </row>
    <row r="27" spans="1:9" s="11" customFormat="1" ht="20.100000000000001" customHeight="1" x14ac:dyDescent="0.3">
      <c r="A27" s="1"/>
      <c r="B27" s="3"/>
      <c r="C27" s="13"/>
    </row>
    <row r="28" spans="1:9" s="11" customFormat="1" ht="20.100000000000001" customHeight="1" x14ac:dyDescent="0.3">
      <c r="A28" s="1"/>
      <c r="B28" s="3"/>
      <c r="C28" s="13"/>
    </row>
    <row r="29" spans="1:9" s="13" customFormat="1" ht="20.100000000000001" customHeight="1" x14ac:dyDescent="0.3">
      <c r="A29" s="1"/>
      <c r="B29" s="3"/>
      <c r="D29" s="11"/>
      <c r="E29" s="11"/>
      <c r="F29" s="11"/>
      <c r="G29" s="11"/>
      <c r="H29" s="11"/>
      <c r="I29" s="11"/>
    </row>
    <row r="30" spans="1:9" s="13" customFormat="1" ht="20.100000000000001" customHeight="1" x14ac:dyDescent="0.3">
      <c r="A30" s="1"/>
      <c r="B30" s="3"/>
      <c r="D30" s="11"/>
      <c r="E30" s="11"/>
      <c r="F30" s="11"/>
      <c r="G30" s="11"/>
      <c r="H30" s="11"/>
      <c r="I30" s="11"/>
    </row>
    <row r="31" spans="1:9" s="13" customFormat="1" ht="20.100000000000001" customHeight="1" x14ac:dyDescent="0.3">
      <c r="A31" s="1"/>
      <c r="B31" s="3"/>
      <c r="D31" s="11"/>
      <c r="E31" s="11"/>
      <c r="F31" s="11"/>
      <c r="G31" s="11"/>
      <c r="H31" s="11"/>
      <c r="I31" s="11"/>
    </row>
    <row r="32" spans="1:9" ht="20.100000000000001" customHeight="1" x14ac:dyDescent="0.3"/>
    <row r="33" ht="20.100000000000001" customHeight="1" x14ac:dyDescent="0.3"/>
    <row r="34" ht="20.100000000000001" customHeight="1" x14ac:dyDescent="0.3"/>
    <row r="35" ht="20.100000000000001" customHeight="1" x14ac:dyDescent="0.3"/>
  </sheetData>
  <pageMargins left="0.7" right="0.7" top="0.75" bottom="0.75" header="0.3" footer="0.3"/>
  <pageSetup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I36"/>
  <sheetViews>
    <sheetView workbookViewId="0">
      <selection activeCell="C21" sqref="C21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25.7109375" style="6" customWidth="1"/>
    <col min="4" max="7" width="9.140625" style="1"/>
    <col min="8" max="8" width="17.7109375" style="1" customWidth="1"/>
    <col min="9" max="16384" width="9.140625" style="1"/>
  </cols>
  <sheetData>
    <row r="1" spans="1:3" s="11" customFormat="1" ht="20.100000000000001" customHeight="1" x14ac:dyDescent="0.25">
      <c r="A1" s="11" t="s">
        <v>304</v>
      </c>
      <c r="B1" s="12"/>
      <c r="C1" s="13"/>
    </row>
    <row r="2" spans="1:3" s="11" customFormat="1" ht="20.100000000000001" customHeight="1" x14ac:dyDescent="0.25">
      <c r="A2" s="14" t="s">
        <v>379</v>
      </c>
      <c r="B2" s="12"/>
      <c r="C2" s="13"/>
    </row>
    <row r="3" spans="1:3" s="11" customFormat="1" ht="20.100000000000001" customHeight="1" x14ac:dyDescent="0.25">
      <c r="A3" s="11" t="s">
        <v>311</v>
      </c>
      <c r="B3" s="12">
        <v>10599710.68</v>
      </c>
      <c r="C3" s="13"/>
    </row>
    <row r="4" spans="1:3" s="11" customFormat="1" ht="20.100000000000001" customHeight="1" x14ac:dyDescent="0.25">
      <c r="A4" s="11" t="s">
        <v>6</v>
      </c>
      <c r="B4" s="12"/>
      <c r="C4" s="13"/>
    </row>
    <row r="5" spans="1:3" s="11" customFormat="1" ht="20.100000000000001" customHeight="1" x14ac:dyDescent="0.25">
      <c r="A5" s="11">
        <v>2100</v>
      </c>
      <c r="B5" s="12">
        <v>-10552859.68</v>
      </c>
      <c r="C5" s="13"/>
    </row>
    <row r="6" spans="1:3" s="11" customFormat="1" ht="20.100000000000001" customHeight="1" x14ac:dyDescent="0.25">
      <c r="A6" s="11" t="s">
        <v>5</v>
      </c>
      <c r="B6" s="12">
        <f>SUM(B5:B5)</f>
        <v>-10552859.68</v>
      </c>
      <c r="C6" s="13"/>
    </row>
    <row r="7" spans="1:3" s="11" customFormat="1" ht="20.100000000000001" customHeight="1" x14ac:dyDescent="0.25">
      <c r="A7" s="15" t="s">
        <v>4</v>
      </c>
      <c r="B7" s="16">
        <f>SUM(B3+B6)</f>
        <v>46851</v>
      </c>
      <c r="C7" s="13"/>
    </row>
    <row r="8" spans="1:3" s="11" customFormat="1" ht="20.100000000000001" customHeight="1" x14ac:dyDescent="0.25">
      <c r="A8" s="11" t="s">
        <v>3</v>
      </c>
      <c r="B8" s="12"/>
      <c r="C8" s="13"/>
    </row>
    <row r="9" spans="1:3" s="11" customFormat="1" ht="20.100000000000001" customHeight="1" x14ac:dyDescent="0.25">
      <c r="A9" s="11" t="s">
        <v>384</v>
      </c>
      <c r="B9" s="17">
        <v>-23668</v>
      </c>
      <c r="C9" s="13" t="s">
        <v>386</v>
      </c>
    </row>
    <row r="10" spans="1:3" s="11" customFormat="1" ht="20.100000000000001" customHeight="1" x14ac:dyDescent="0.25">
      <c r="A10" s="11" t="s">
        <v>385</v>
      </c>
      <c r="B10" s="17">
        <v>-25826</v>
      </c>
      <c r="C10" s="13" t="s">
        <v>386</v>
      </c>
    </row>
    <row r="11" spans="1:3" s="11" customFormat="1" ht="20.100000000000001" customHeight="1" x14ac:dyDescent="0.25">
      <c r="B11" s="17"/>
      <c r="C11" s="13"/>
    </row>
    <row r="12" spans="1:3" s="11" customFormat="1" ht="20.100000000000001" customHeight="1" x14ac:dyDescent="0.25">
      <c r="B12" s="17"/>
      <c r="C12" s="13"/>
    </row>
    <row r="13" spans="1:3" s="11" customFormat="1" ht="20.100000000000001" customHeight="1" x14ac:dyDescent="0.25">
      <c r="B13" s="17"/>
      <c r="C13" s="13"/>
    </row>
    <row r="14" spans="1:3" s="11" customFormat="1" ht="20.100000000000001" customHeight="1" x14ac:dyDescent="0.25">
      <c r="B14" s="12"/>
      <c r="C14" s="13"/>
    </row>
    <row r="15" spans="1:3" s="11" customFormat="1" ht="20.100000000000001" customHeight="1" x14ac:dyDescent="0.25">
      <c r="B15" s="12">
        <f>SUM(B9:B14)</f>
        <v>-49494</v>
      </c>
      <c r="C15" s="13"/>
    </row>
    <row r="16" spans="1:3" s="11" customFormat="1" ht="20.100000000000001" customHeight="1" x14ac:dyDescent="0.25">
      <c r="A16" s="11" t="s">
        <v>2</v>
      </c>
      <c r="B16" s="12"/>
      <c r="C16" s="13"/>
    </row>
    <row r="17" spans="1:9" s="11" customFormat="1" ht="20.100000000000001" customHeight="1" x14ac:dyDescent="0.25">
      <c r="A17" s="11" t="s">
        <v>380</v>
      </c>
      <c r="B17" s="12">
        <v>19455</v>
      </c>
      <c r="C17" s="13" t="s">
        <v>387</v>
      </c>
    </row>
    <row r="18" spans="1:9" s="11" customFormat="1" ht="20.100000000000001" customHeight="1" x14ac:dyDescent="0.25">
      <c r="A18" s="11" t="s">
        <v>381</v>
      </c>
      <c r="B18" s="12">
        <v>22936</v>
      </c>
      <c r="C18" s="13" t="s">
        <v>388</v>
      </c>
    </row>
    <row r="19" spans="1:9" s="11" customFormat="1" ht="20.100000000000001" customHeight="1" x14ac:dyDescent="0.25">
      <c r="A19" s="11" t="s">
        <v>382</v>
      </c>
      <c r="B19" s="12">
        <v>23955</v>
      </c>
      <c r="C19" s="13" t="s">
        <v>388</v>
      </c>
    </row>
    <row r="20" spans="1:9" s="11" customFormat="1" ht="20.100000000000001" customHeight="1" x14ac:dyDescent="0.25">
      <c r="A20" s="11" t="s">
        <v>383</v>
      </c>
      <c r="B20" s="12">
        <v>29999</v>
      </c>
      <c r="C20" s="13" t="s">
        <v>389</v>
      </c>
    </row>
    <row r="21" spans="1:9" s="11" customFormat="1" ht="20.100000000000001" customHeight="1" x14ac:dyDescent="0.25">
      <c r="B21" s="12"/>
      <c r="C21" s="13"/>
    </row>
    <row r="22" spans="1:9" s="11" customFormat="1" ht="20.100000000000001" customHeight="1" x14ac:dyDescent="0.25">
      <c r="B22" s="12">
        <f>SUM(B17:B20)</f>
        <v>96345</v>
      </c>
      <c r="C22" s="13"/>
    </row>
    <row r="23" spans="1:9" s="11" customFormat="1" ht="20.100000000000001" customHeight="1" x14ac:dyDescent="0.25">
      <c r="A23" s="15" t="s">
        <v>1</v>
      </c>
      <c r="B23" s="16">
        <f>B22+B15</f>
        <v>46851</v>
      </c>
      <c r="C23" s="13"/>
    </row>
    <row r="24" spans="1:9" s="11" customFormat="1" ht="20.100000000000001" customHeight="1" x14ac:dyDescent="0.25">
      <c r="A24" s="11" t="s">
        <v>0</v>
      </c>
      <c r="B24" s="12">
        <f>B23-B7</f>
        <v>0</v>
      </c>
      <c r="C24" s="13"/>
    </row>
    <row r="25" spans="1:9" s="11" customFormat="1" ht="20.100000000000001" customHeight="1" x14ac:dyDescent="0.3">
      <c r="A25" s="1"/>
      <c r="B25" s="3"/>
      <c r="C25" s="13"/>
    </row>
    <row r="26" spans="1:9" s="11" customFormat="1" ht="20.100000000000001" customHeight="1" x14ac:dyDescent="0.3">
      <c r="A26" s="1"/>
      <c r="B26" s="3"/>
      <c r="C26" s="13"/>
    </row>
    <row r="27" spans="1:9" s="11" customFormat="1" ht="20.100000000000001" customHeight="1" x14ac:dyDescent="0.3">
      <c r="A27" s="1"/>
      <c r="B27" s="3"/>
      <c r="C27" s="13"/>
    </row>
    <row r="28" spans="1:9" s="11" customFormat="1" ht="20.100000000000001" customHeight="1" x14ac:dyDescent="0.3">
      <c r="A28" s="1"/>
      <c r="B28" s="3"/>
      <c r="C28" s="13"/>
    </row>
    <row r="29" spans="1:9" s="11" customFormat="1" ht="20.100000000000001" customHeight="1" x14ac:dyDescent="0.3">
      <c r="A29" s="1"/>
      <c r="B29" s="3"/>
      <c r="C29" s="13"/>
    </row>
    <row r="30" spans="1:9" s="13" customFormat="1" ht="20.100000000000001" customHeight="1" x14ac:dyDescent="0.3">
      <c r="A30" s="1"/>
      <c r="B30" s="3"/>
      <c r="D30" s="11"/>
      <c r="E30" s="11"/>
      <c r="F30" s="11"/>
      <c r="G30" s="11"/>
      <c r="H30" s="11"/>
      <c r="I30" s="11"/>
    </row>
    <row r="31" spans="1:9" s="13" customFormat="1" ht="20.100000000000001" customHeight="1" x14ac:dyDescent="0.3">
      <c r="A31" s="1"/>
      <c r="B31" s="3"/>
      <c r="D31" s="11"/>
      <c r="E31" s="11"/>
      <c r="F31" s="11"/>
      <c r="G31" s="11"/>
      <c r="H31" s="11"/>
      <c r="I31" s="11"/>
    </row>
    <row r="32" spans="1:9" s="13" customFormat="1" ht="20.100000000000001" customHeight="1" x14ac:dyDescent="0.3">
      <c r="A32" s="1"/>
      <c r="B32" s="3"/>
      <c r="D32" s="11"/>
      <c r="E32" s="11"/>
      <c r="F32" s="11"/>
      <c r="G32" s="11"/>
      <c r="H32" s="11"/>
      <c r="I32" s="11"/>
    </row>
    <row r="33" ht="20.100000000000001" customHeight="1" x14ac:dyDescent="0.3"/>
    <row r="34" ht="20.100000000000001" customHeight="1" x14ac:dyDescent="0.3"/>
    <row r="35" ht="20.100000000000001" customHeight="1" x14ac:dyDescent="0.3"/>
    <row r="36" ht="20.100000000000001" customHeight="1" x14ac:dyDescent="0.3"/>
  </sheetData>
  <pageMargins left="0.7" right="0.7" top="0.75" bottom="0.75" header="0.3" footer="0.3"/>
  <pageSetup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I38"/>
  <sheetViews>
    <sheetView workbookViewId="0">
      <selection activeCell="C23" sqref="C23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25.7109375" style="6" customWidth="1"/>
    <col min="4" max="7" width="9.140625" style="1"/>
    <col min="8" max="8" width="17.7109375" style="1" customWidth="1"/>
    <col min="9" max="16384" width="9.140625" style="1"/>
  </cols>
  <sheetData>
    <row r="1" spans="1:3" s="11" customFormat="1" ht="20.100000000000001" customHeight="1" x14ac:dyDescent="0.25">
      <c r="A1" s="11" t="s">
        <v>304</v>
      </c>
      <c r="B1" s="12"/>
      <c r="C1" s="13"/>
    </row>
    <row r="2" spans="1:3" s="11" customFormat="1" ht="20.100000000000001" customHeight="1" x14ac:dyDescent="0.25">
      <c r="A2" s="14">
        <v>42794</v>
      </c>
      <c r="B2" s="12"/>
      <c r="C2" s="13"/>
    </row>
    <row r="3" spans="1:3" s="11" customFormat="1" ht="20.100000000000001" customHeight="1" x14ac:dyDescent="0.25">
      <c r="A3" s="11" t="s">
        <v>311</v>
      </c>
      <c r="B3" s="12">
        <v>10104620.279999999</v>
      </c>
      <c r="C3" s="13"/>
    </row>
    <row r="4" spans="1:3" s="11" customFormat="1" ht="20.100000000000001" customHeight="1" x14ac:dyDescent="0.25">
      <c r="A4" s="11" t="s">
        <v>6</v>
      </c>
      <c r="B4" s="12"/>
      <c r="C4" s="13"/>
    </row>
    <row r="5" spans="1:3" s="11" customFormat="1" ht="20.100000000000001" customHeight="1" x14ac:dyDescent="0.25">
      <c r="A5" s="11">
        <v>2100</v>
      </c>
      <c r="B5" s="12">
        <v>-10185589.279999999</v>
      </c>
      <c r="C5" s="13"/>
    </row>
    <row r="6" spans="1:3" s="11" customFormat="1" ht="20.100000000000001" customHeight="1" x14ac:dyDescent="0.25">
      <c r="A6" s="11" t="s">
        <v>5</v>
      </c>
      <c r="B6" s="12">
        <f>SUM(B5:B5)</f>
        <v>-10185589.279999999</v>
      </c>
      <c r="C6" s="13"/>
    </row>
    <row r="7" spans="1:3" s="11" customFormat="1" ht="20.100000000000001" customHeight="1" x14ac:dyDescent="0.25">
      <c r="A7" s="15" t="s">
        <v>4</v>
      </c>
      <c r="B7" s="16">
        <f>SUM(B3+B6)</f>
        <v>-80969</v>
      </c>
      <c r="C7" s="13"/>
    </row>
    <row r="8" spans="1:3" s="11" customFormat="1" ht="20.100000000000001" customHeight="1" x14ac:dyDescent="0.25">
      <c r="A8" s="11" t="s">
        <v>3</v>
      </c>
      <c r="B8" s="12"/>
      <c r="C8" s="13"/>
    </row>
    <row r="9" spans="1:3" s="11" customFormat="1" ht="20.100000000000001" customHeight="1" x14ac:dyDescent="0.25">
      <c r="A9" s="11" t="s">
        <v>390</v>
      </c>
      <c r="B9" s="17">
        <v>-18399</v>
      </c>
      <c r="C9" s="13" t="s">
        <v>401</v>
      </c>
    </row>
    <row r="10" spans="1:3" s="11" customFormat="1" ht="20.100000000000001" customHeight="1" x14ac:dyDescent="0.25">
      <c r="A10" s="11" t="s">
        <v>391</v>
      </c>
      <c r="B10" s="17">
        <v>-19455</v>
      </c>
      <c r="C10" s="13" t="s">
        <v>401</v>
      </c>
    </row>
    <row r="11" spans="1:3" s="11" customFormat="1" ht="20.100000000000001" customHeight="1" x14ac:dyDescent="0.25">
      <c r="A11" s="11" t="s">
        <v>392</v>
      </c>
      <c r="B11" s="17">
        <v>-21464</v>
      </c>
      <c r="C11" s="13" t="s">
        <v>401</v>
      </c>
    </row>
    <row r="12" spans="1:3" s="11" customFormat="1" ht="20.100000000000001" customHeight="1" x14ac:dyDescent="0.25">
      <c r="A12" s="11" t="s">
        <v>393</v>
      </c>
      <c r="B12" s="17">
        <v>-25400</v>
      </c>
      <c r="C12" s="13" t="s">
        <v>401</v>
      </c>
    </row>
    <row r="13" spans="1:3" s="11" customFormat="1" ht="20.100000000000001" customHeight="1" x14ac:dyDescent="0.25">
      <c r="A13" s="11" t="s">
        <v>394</v>
      </c>
      <c r="B13" s="17">
        <v>-28184</v>
      </c>
      <c r="C13" s="13" t="s">
        <v>401</v>
      </c>
    </row>
    <row r="14" spans="1:3" s="11" customFormat="1" ht="20.100000000000001" customHeight="1" x14ac:dyDescent="0.25">
      <c r="A14" s="11" t="s">
        <v>395</v>
      </c>
      <c r="B14" s="17">
        <v>-29240</v>
      </c>
      <c r="C14" s="13" t="s">
        <v>401</v>
      </c>
    </row>
    <row r="15" spans="1:3" s="11" customFormat="1" ht="20.100000000000001" customHeight="1" x14ac:dyDescent="0.25">
      <c r="A15" s="11" t="s">
        <v>396</v>
      </c>
      <c r="B15" s="17">
        <v>-31972</v>
      </c>
      <c r="C15" s="13" t="s">
        <v>401</v>
      </c>
    </row>
    <row r="16" spans="1:3" s="11" customFormat="1" ht="20.100000000000001" customHeight="1" x14ac:dyDescent="0.25">
      <c r="B16" s="17"/>
      <c r="C16" s="13"/>
    </row>
    <row r="17" spans="1:9" s="11" customFormat="1" ht="20.100000000000001" customHeight="1" x14ac:dyDescent="0.25">
      <c r="B17" s="12">
        <f>SUM(B9:B16)</f>
        <v>-174114</v>
      </c>
      <c r="C17" s="13"/>
    </row>
    <row r="18" spans="1:9" s="11" customFormat="1" ht="20.100000000000001" customHeight="1" x14ac:dyDescent="0.25">
      <c r="A18" s="11" t="s">
        <v>2</v>
      </c>
      <c r="B18" s="12"/>
      <c r="C18" s="13"/>
    </row>
    <row r="19" spans="1:9" s="11" customFormat="1" ht="20.100000000000001" customHeight="1" x14ac:dyDescent="0.25">
      <c r="A19" s="11" t="s">
        <v>397</v>
      </c>
      <c r="B19" s="12">
        <v>18959</v>
      </c>
      <c r="C19" s="13" t="s">
        <v>402</v>
      </c>
    </row>
    <row r="20" spans="1:9" s="11" customFormat="1" ht="20.100000000000001" customHeight="1" x14ac:dyDescent="0.25">
      <c r="A20" s="11" t="s">
        <v>398</v>
      </c>
      <c r="B20" s="12">
        <v>19819</v>
      </c>
      <c r="C20" s="13" t="s">
        <v>403</v>
      </c>
    </row>
    <row r="21" spans="1:9" s="11" customFormat="1" ht="20.100000000000001" customHeight="1" x14ac:dyDescent="0.25">
      <c r="A21" s="11" t="s">
        <v>400</v>
      </c>
      <c r="B21" s="12">
        <v>26115</v>
      </c>
      <c r="C21" s="13" t="s">
        <v>404</v>
      </c>
    </row>
    <row r="22" spans="1:9" s="11" customFormat="1" ht="20.100000000000001" customHeight="1" x14ac:dyDescent="0.25">
      <c r="A22" s="11" t="s">
        <v>399</v>
      </c>
      <c r="B22" s="12">
        <v>28252</v>
      </c>
      <c r="C22" s="13" t="s">
        <v>404</v>
      </c>
    </row>
    <row r="23" spans="1:9" s="11" customFormat="1" ht="20.100000000000001" customHeight="1" x14ac:dyDescent="0.25">
      <c r="B23" s="12"/>
      <c r="C23" s="13"/>
    </row>
    <row r="24" spans="1:9" s="11" customFormat="1" ht="20.100000000000001" customHeight="1" x14ac:dyDescent="0.25">
      <c r="B24" s="12">
        <f>SUM(B19:B22)</f>
        <v>93145</v>
      </c>
      <c r="C24" s="13"/>
    </row>
    <row r="25" spans="1:9" s="11" customFormat="1" ht="20.100000000000001" customHeight="1" x14ac:dyDescent="0.25">
      <c r="A25" s="15" t="s">
        <v>1</v>
      </c>
      <c r="B25" s="16">
        <f>B24+B17</f>
        <v>-80969</v>
      </c>
      <c r="C25" s="13"/>
    </row>
    <row r="26" spans="1:9" s="11" customFormat="1" ht="20.100000000000001" customHeight="1" x14ac:dyDescent="0.25">
      <c r="A26" s="11" t="s">
        <v>0</v>
      </c>
      <c r="B26" s="12">
        <f>B25-B7</f>
        <v>0</v>
      </c>
      <c r="C26" s="13"/>
    </row>
    <row r="27" spans="1:9" s="11" customFormat="1" ht="20.100000000000001" customHeight="1" x14ac:dyDescent="0.3">
      <c r="A27" s="1"/>
      <c r="B27" s="3"/>
      <c r="C27" s="13"/>
    </row>
    <row r="28" spans="1:9" s="11" customFormat="1" ht="20.100000000000001" customHeight="1" x14ac:dyDescent="0.3">
      <c r="A28" s="1"/>
      <c r="B28" s="3"/>
      <c r="C28" s="13"/>
    </row>
    <row r="29" spans="1:9" s="11" customFormat="1" ht="20.100000000000001" customHeight="1" x14ac:dyDescent="0.3">
      <c r="A29" s="1"/>
      <c r="B29" s="3"/>
      <c r="C29" s="13"/>
    </row>
    <row r="30" spans="1:9" s="11" customFormat="1" ht="20.100000000000001" customHeight="1" x14ac:dyDescent="0.3">
      <c r="A30" s="1"/>
      <c r="B30" s="3"/>
      <c r="C30" s="13"/>
    </row>
    <row r="31" spans="1:9" s="11" customFormat="1" ht="20.100000000000001" customHeight="1" x14ac:dyDescent="0.3">
      <c r="A31" s="1"/>
      <c r="B31" s="3"/>
      <c r="C31" s="13"/>
    </row>
    <row r="32" spans="1:9" s="13" customFormat="1" ht="20.100000000000001" customHeight="1" x14ac:dyDescent="0.3">
      <c r="A32" s="1"/>
      <c r="B32" s="3"/>
      <c r="D32" s="11"/>
      <c r="E32" s="11"/>
      <c r="F32" s="11"/>
      <c r="G32" s="11"/>
      <c r="H32" s="11"/>
      <c r="I32" s="11"/>
    </row>
    <row r="33" spans="1:9" s="13" customFormat="1" ht="20.100000000000001" customHeight="1" x14ac:dyDescent="0.3">
      <c r="A33" s="1"/>
      <c r="B33" s="3"/>
      <c r="D33" s="11"/>
      <c r="E33" s="11"/>
      <c r="F33" s="11"/>
      <c r="G33" s="11"/>
      <c r="H33" s="11"/>
      <c r="I33" s="11"/>
    </row>
    <row r="34" spans="1:9" s="13" customFormat="1" ht="20.100000000000001" customHeight="1" x14ac:dyDescent="0.3">
      <c r="A34" s="1"/>
      <c r="B34" s="3"/>
      <c r="D34" s="11"/>
      <c r="E34" s="11"/>
      <c r="F34" s="11"/>
      <c r="G34" s="11"/>
      <c r="H34" s="11"/>
      <c r="I34" s="11"/>
    </row>
    <row r="35" spans="1:9" ht="20.100000000000001" customHeight="1" x14ac:dyDescent="0.3"/>
    <row r="36" spans="1:9" ht="20.100000000000001" customHeight="1" x14ac:dyDescent="0.3"/>
    <row r="37" spans="1:9" ht="20.100000000000001" customHeight="1" x14ac:dyDescent="0.3"/>
    <row r="38" spans="1:9" ht="20.100000000000001" customHeight="1" x14ac:dyDescent="0.3"/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39"/>
  <sheetViews>
    <sheetView workbookViewId="0">
      <selection activeCell="C22" sqref="C22:F23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25.7109375" style="6" customWidth="1"/>
    <col min="4" max="7" width="9.140625" style="1"/>
    <col min="8" max="8" width="17.7109375" style="1" customWidth="1"/>
    <col min="9" max="16384" width="9.140625" style="1"/>
  </cols>
  <sheetData>
    <row r="1" spans="1:3" s="11" customFormat="1" ht="20.100000000000001" customHeight="1" x14ac:dyDescent="0.25">
      <c r="A1" s="11" t="s">
        <v>304</v>
      </c>
      <c r="B1" s="12"/>
      <c r="C1" s="13"/>
    </row>
    <row r="2" spans="1:3" s="11" customFormat="1" ht="20.100000000000001" customHeight="1" x14ac:dyDescent="0.25">
      <c r="A2" s="14">
        <v>42825</v>
      </c>
      <c r="B2" s="12"/>
      <c r="C2" s="13"/>
    </row>
    <row r="3" spans="1:3" s="11" customFormat="1" ht="20.100000000000001" customHeight="1" x14ac:dyDescent="0.25">
      <c r="A3" s="11" t="s">
        <v>311</v>
      </c>
      <c r="B3" s="12">
        <v>8961847.8800000008</v>
      </c>
      <c r="C3" s="13"/>
    </row>
    <row r="4" spans="1:3" s="11" customFormat="1" ht="20.100000000000001" customHeight="1" x14ac:dyDescent="0.25">
      <c r="A4" s="11" t="s">
        <v>6</v>
      </c>
      <c r="B4" s="12"/>
      <c r="C4" s="13"/>
    </row>
    <row r="5" spans="1:3" s="11" customFormat="1" ht="20.100000000000001" customHeight="1" x14ac:dyDescent="0.25">
      <c r="A5" s="11">
        <v>2100</v>
      </c>
      <c r="B5" s="12">
        <v>-9209255.8800000008</v>
      </c>
      <c r="C5" s="13"/>
    </row>
    <row r="6" spans="1:3" s="11" customFormat="1" ht="20.100000000000001" customHeight="1" x14ac:dyDescent="0.25">
      <c r="A6" s="11" t="s">
        <v>5</v>
      </c>
      <c r="B6" s="12">
        <f>SUM(B5:B5)</f>
        <v>-9209255.8800000008</v>
      </c>
      <c r="C6" s="13"/>
    </row>
    <row r="7" spans="1:3" s="11" customFormat="1" ht="20.100000000000001" customHeight="1" x14ac:dyDescent="0.25">
      <c r="A7" s="15" t="s">
        <v>4</v>
      </c>
      <c r="B7" s="16">
        <f>SUM(B3+B6)</f>
        <v>-247408</v>
      </c>
      <c r="C7" s="13"/>
    </row>
    <row r="8" spans="1:3" s="11" customFormat="1" ht="20.100000000000001" customHeight="1" x14ac:dyDescent="0.25">
      <c r="A8" s="11" t="s">
        <v>3</v>
      </c>
      <c r="B8" s="12"/>
      <c r="C8" s="13"/>
    </row>
    <row r="9" spans="1:3" s="11" customFormat="1" ht="20.100000000000001" customHeight="1" x14ac:dyDescent="0.25">
      <c r="A9" s="11" t="s">
        <v>405</v>
      </c>
      <c r="B9" s="17">
        <v>-25371</v>
      </c>
      <c r="C9" s="13" t="s">
        <v>412</v>
      </c>
    </row>
    <row r="10" spans="1:3" s="11" customFormat="1" ht="20.100000000000001" customHeight="1" x14ac:dyDescent="0.25">
      <c r="A10" s="11" t="s">
        <v>411</v>
      </c>
      <c r="B10" s="17">
        <v>-25582</v>
      </c>
      <c r="C10" s="13" t="s">
        <v>412</v>
      </c>
    </row>
    <row r="11" spans="1:3" s="11" customFormat="1" ht="20.100000000000001" customHeight="1" x14ac:dyDescent="0.25">
      <c r="A11" s="11" t="s">
        <v>406</v>
      </c>
      <c r="B11" s="17">
        <v>-26859</v>
      </c>
      <c r="C11" s="13" t="s">
        <v>412</v>
      </c>
    </row>
    <row r="12" spans="1:3" s="11" customFormat="1" ht="20.100000000000001" customHeight="1" x14ac:dyDescent="0.25">
      <c r="A12" s="11" t="s">
        <v>407</v>
      </c>
      <c r="B12" s="17">
        <v>-27252</v>
      </c>
      <c r="C12" s="13" t="s">
        <v>413</v>
      </c>
    </row>
    <row r="13" spans="1:3" s="11" customFormat="1" ht="20.100000000000001" customHeight="1" x14ac:dyDescent="0.25">
      <c r="A13" s="11" t="s">
        <v>408</v>
      </c>
      <c r="B13" s="17">
        <v>-33176</v>
      </c>
      <c r="C13" s="13" t="s">
        <v>412</v>
      </c>
    </row>
    <row r="14" spans="1:3" s="11" customFormat="1" ht="20.100000000000001" customHeight="1" x14ac:dyDescent="0.25">
      <c r="A14" s="11" t="s">
        <v>409</v>
      </c>
      <c r="B14" s="17">
        <v>-190209</v>
      </c>
      <c r="C14" s="13" t="s">
        <v>414</v>
      </c>
    </row>
    <row r="15" spans="1:3" s="11" customFormat="1" ht="20.100000000000001" customHeight="1" x14ac:dyDescent="0.25">
      <c r="B15" s="17"/>
      <c r="C15" s="13"/>
    </row>
    <row r="16" spans="1:3" s="11" customFormat="1" ht="20.100000000000001" customHeight="1" x14ac:dyDescent="0.25">
      <c r="B16" s="17"/>
      <c r="C16" s="13"/>
    </row>
    <row r="17" spans="1:6" s="11" customFormat="1" ht="20.100000000000001" customHeight="1" x14ac:dyDescent="0.25">
      <c r="B17" s="17"/>
      <c r="C17" s="13"/>
    </row>
    <row r="18" spans="1:6" s="11" customFormat="1" ht="20.100000000000001" customHeight="1" x14ac:dyDescent="0.25">
      <c r="B18" s="12">
        <f>SUM(B9:B17)</f>
        <v>-328449</v>
      </c>
      <c r="C18" s="13"/>
    </row>
    <row r="19" spans="1:6" s="11" customFormat="1" ht="20.100000000000001" customHeight="1" x14ac:dyDescent="0.25">
      <c r="A19" s="11" t="s">
        <v>2</v>
      </c>
      <c r="B19" s="12"/>
      <c r="C19" s="13"/>
    </row>
    <row r="20" spans="1:6" s="11" customFormat="1" ht="20.100000000000001" customHeight="1" x14ac:dyDescent="0.25">
      <c r="A20" s="11" t="s">
        <v>410</v>
      </c>
      <c r="B20" s="12">
        <v>25497</v>
      </c>
      <c r="C20" s="13" t="s">
        <v>415</v>
      </c>
    </row>
    <row r="21" spans="1:6" s="11" customFormat="1" ht="20.100000000000001" customHeight="1" x14ac:dyDescent="0.25">
      <c r="A21" s="11" t="s">
        <v>407</v>
      </c>
      <c r="B21" s="12">
        <v>27292</v>
      </c>
      <c r="C21" s="13" t="s">
        <v>413</v>
      </c>
    </row>
    <row r="22" spans="1:6" s="11" customFormat="1" ht="20.100000000000001" customHeight="1" x14ac:dyDescent="0.25">
      <c r="A22" s="11" t="s">
        <v>399</v>
      </c>
      <c r="B22" s="12">
        <v>28252</v>
      </c>
      <c r="C22" s="191" t="s">
        <v>416</v>
      </c>
      <c r="D22" s="191"/>
      <c r="E22" s="191"/>
      <c r="F22" s="191"/>
    </row>
    <row r="23" spans="1:6" s="11" customFormat="1" ht="20.100000000000001" customHeight="1" x14ac:dyDescent="0.25">
      <c r="B23" s="12"/>
      <c r="C23" s="191"/>
      <c r="D23" s="191"/>
      <c r="E23" s="191"/>
      <c r="F23" s="191"/>
    </row>
    <row r="24" spans="1:6" s="11" customFormat="1" ht="20.100000000000001" customHeight="1" x14ac:dyDescent="0.25">
      <c r="B24" s="12"/>
      <c r="C24" s="13"/>
    </row>
    <row r="25" spans="1:6" s="11" customFormat="1" ht="20.100000000000001" customHeight="1" x14ac:dyDescent="0.25">
      <c r="B25" s="12">
        <f>SUM(B20:B23)</f>
        <v>81041</v>
      </c>
      <c r="C25" s="13"/>
    </row>
    <row r="26" spans="1:6" s="11" customFormat="1" ht="20.100000000000001" customHeight="1" x14ac:dyDescent="0.25">
      <c r="A26" s="15" t="s">
        <v>1</v>
      </c>
      <c r="B26" s="16">
        <f>B25+B18</f>
        <v>-247408</v>
      </c>
      <c r="C26" s="13"/>
    </row>
    <row r="27" spans="1:6" s="11" customFormat="1" ht="20.100000000000001" customHeight="1" x14ac:dyDescent="0.25">
      <c r="A27" s="11" t="s">
        <v>0</v>
      </c>
      <c r="B27" s="12">
        <f>B26-B7</f>
        <v>0</v>
      </c>
      <c r="C27" s="13"/>
    </row>
    <row r="28" spans="1:6" s="11" customFormat="1" ht="20.100000000000001" customHeight="1" x14ac:dyDescent="0.3">
      <c r="A28" s="1"/>
      <c r="B28" s="3"/>
      <c r="C28" s="13"/>
    </row>
    <row r="29" spans="1:6" s="11" customFormat="1" ht="20.100000000000001" customHeight="1" x14ac:dyDescent="0.3">
      <c r="A29" s="1"/>
      <c r="B29" s="3"/>
      <c r="C29" s="13"/>
    </row>
    <row r="30" spans="1:6" s="11" customFormat="1" ht="20.100000000000001" customHeight="1" x14ac:dyDescent="0.3">
      <c r="A30" s="1"/>
      <c r="B30" s="3"/>
      <c r="C30" s="13"/>
    </row>
    <row r="31" spans="1:6" s="11" customFormat="1" ht="20.100000000000001" customHeight="1" x14ac:dyDescent="0.3">
      <c r="A31" s="1"/>
      <c r="B31" s="3"/>
      <c r="C31" s="13"/>
    </row>
    <row r="32" spans="1:6" s="11" customFormat="1" ht="20.100000000000001" customHeight="1" x14ac:dyDescent="0.3">
      <c r="A32" s="1"/>
      <c r="B32" s="3"/>
      <c r="C32" s="13"/>
    </row>
    <row r="33" spans="1:9" s="13" customFormat="1" ht="20.100000000000001" customHeight="1" x14ac:dyDescent="0.3">
      <c r="A33" s="1"/>
      <c r="B33" s="3"/>
      <c r="D33" s="11"/>
      <c r="E33" s="11"/>
      <c r="F33" s="11"/>
      <c r="G33" s="11"/>
      <c r="H33" s="11"/>
      <c r="I33" s="11"/>
    </row>
    <row r="34" spans="1:9" s="13" customFormat="1" ht="20.100000000000001" customHeight="1" x14ac:dyDescent="0.3">
      <c r="A34" s="1"/>
      <c r="B34" s="3"/>
      <c r="D34" s="11"/>
      <c r="E34" s="11"/>
      <c r="F34" s="11"/>
      <c r="G34" s="11"/>
      <c r="H34" s="11"/>
      <c r="I34" s="11"/>
    </row>
    <row r="35" spans="1:9" s="13" customFormat="1" ht="20.100000000000001" customHeight="1" x14ac:dyDescent="0.3">
      <c r="A35" s="1"/>
      <c r="B35" s="3"/>
      <c r="D35" s="11"/>
      <c r="E35" s="11"/>
      <c r="F35" s="11"/>
      <c r="G35" s="11"/>
      <c r="H35" s="11"/>
      <c r="I35" s="11"/>
    </row>
    <row r="36" spans="1:9" ht="20.100000000000001" customHeight="1" x14ac:dyDescent="0.3"/>
    <row r="37" spans="1:9" ht="20.100000000000001" customHeight="1" x14ac:dyDescent="0.3"/>
    <row r="38" spans="1:9" ht="20.100000000000001" customHeight="1" x14ac:dyDescent="0.3"/>
    <row r="39" spans="1:9" ht="20.100000000000001" customHeight="1" x14ac:dyDescent="0.3"/>
  </sheetData>
  <mergeCells count="1">
    <mergeCell ref="C22:F23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39"/>
  <sheetViews>
    <sheetView workbookViewId="0">
      <selection activeCell="C5" sqref="C5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25.7109375" style="6" customWidth="1"/>
    <col min="4" max="7" width="9.140625" style="1"/>
    <col min="8" max="8" width="17.7109375" style="1" customWidth="1"/>
    <col min="9" max="16384" width="9.140625" style="1"/>
  </cols>
  <sheetData>
    <row r="1" spans="1:3" s="11" customFormat="1" ht="20.100000000000001" customHeight="1" x14ac:dyDescent="0.25">
      <c r="A1" s="11" t="s">
        <v>304</v>
      </c>
      <c r="B1" s="12"/>
      <c r="C1" s="13"/>
    </row>
    <row r="2" spans="1:3" s="11" customFormat="1" ht="20.100000000000001" customHeight="1" x14ac:dyDescent="0.25">
      <c r="A2" s="14">
        <v>42855</v>
      </c>
      <c r="B2" s="12"/>
      <c r="C2" s="13"/>
    </row>
    <row r="3" spans="1:3" s="11" customFormat="1" ht="20.100000000000001" customHeight="1" x14ac:dyDescent="0.25">
      <c r="A3" s="11" t="s">
        <v>311</v>
      </c>
      <c r="B3" s="12">
        <v>9520177.5800000001</v>
      </c>
      <c r="C3" s="13"/>
    </row>
    <row r="4" spans="1:3" s="11" customFormat="1" ht="20.100000000000001" customHeight="1" x14ac:dyDescent="0.25">
      <c r="A4" s="11" t="s">
        <v>6</v>
      </c>
      <c r="B4" s="12"/>
      <c r="C4" s="13"/>
    </row>
    <row r="5" spans="1:3" s="11" customFormat="1" ht="20.100000000000001" customHeight="1" x14ac:dyDescent="0.25">
      <c r="A5" s="11">
        <v>2100</v>
      </c>
      <c r="B5" s="12">
        <v>-9779003.9600000009</v>
      </c>
      <c r="C5" s="13"/>
    </row>
    <row r="6" spans="1:3" s="11" customFormat="1" ht="20.100000000000001" customHeight="1" x14ac:dyDescent="0.25">
      <c r="A6" s="11" t="s">
        <v>5</v>
      </c>
      <c r="B6" s="12">
        <f>SUM(B5:B5)</f>
        <v>-9779003.9600000009</v>
      </c>
      <c r="C6" s="13"/>
    </row>
    <row r="7" spans="1:3" s="11" customFormat="1" ht="20.100000000000001" customHeight="1" x14ac:dyDescent="0.25">
      <c r="A7" s="15" t="s">
        <v>4</v>
      </c>
      <c r="B7" s="16">
        <f>SUM(B3+B6)</f>
        <v>-258826.38000000082</v>
      </c>
      <c r="C7" s="13"/>
    </row>
    <row r="8" spans="1:3" s="11" customFormat="1" ht="20.100000000000001" customHeight="1" x14ac:dyDescent="0.25">
      <c r="A8" s="11" t="s">
        <v>3</v>
      </c>
      <c r="B8" s="12"/>
      <c r="C8" s="13"/>
    </row>
    <row r="9" spans="1:3" s="11" customFormat="1" ht="20.100000000000001" customHeight="1" x14ac:dyDescent="0.25">
      <c r="A9" s="11" t="s">
        <v>417</v>
      </c>
      <c r="B9" s="17">
        <v>-24305</v>
      </c>
      <c r="C9" s="13" t="s">
        <v>424</v>
      </c>
    </row>
    <row r="10" spans="1:3" s="11" customFormat="1" ht="20.100000000000001" customHeight="1" x14ac:dyDescent="0.25">
      <c r="A10" s="11" t="s">
        <v>418</v>
      </c>
      <c r="B10" s="17">
        <v>-24835</v>
      </c>
      <c r="C10" s="13" t="s">
        <v>425</v>
      </c>
    </row>
    <row r="11" spans="1:3" s="11" customFormat="1" ht="20.100000000000001" customHeight="1" x14ac:dyDescent="0.25">
      <c r="A11" s="11" t="s">
        <v>419</v>
      </c>
      <c r="B11" s="17">
        <v>-26651</v>
      </c>
      <c r="C11" s="13" t="s">
        <v>425</v>
      </c>
    </row>
    <row r="12" spans="1:3" s="11" customFormat="1" ht="20.100000000000001" customHeight="1" x14ac:dyDescent="0.25">
      <c r="A12" s="11" t="s">
        <v>420</v>
      </c>
      <c r="B12" s="17">
        <v>-26993</v>
      </c>
      <c r="C12" s="13" t="s">
        <v>425</v>
      </c>
    </row>
    <row r="13" spans="1:3" s="11" customFormat="1" ht="20.100000000000001" customHeight="1" x14ac:dyDescent="0.25">
      <c r="A13" s="11" t="s">
        <v>421</v>
      </c>
      <c r="B13" s="17">
        <v>-31394</v>
      </c>
      <c r="C13" s="13" t="s">
        <v>425</v>
      </c>
    </row>
    <row r="14" spans="1:3" s="11" customFormat="1" ht="20.100000000000001" customHeight="1" x14ac:dyDescent="0.25">
      <c r="A14" s="11" t="s">
        <v>423</v>
      </c>
      <c r="B14" s="17">
        <v>-32084</v>
      </c>
      <c r="C14" s="13" t="s">
        <v>424</v>
      </c>
    </row>
    <row r="15" spans="1:3" s="11" customFormat="1" ht="20.100000000000001" customHeight="1" x14ac:dyDescent="0.25">
      <c r="A15" s="11" t="s">
        <v>422</v>
      </c>
      <c r="B15" s="17">
        <v>-92564.38</v>
      </c>
      <c r="C15" s="13" t="s">
        <v>426</v>
      </c>
    </row>
    <row r="16" spans="1:3" s="11" customFormat="1" ht="20.100000000000001" customHeight="1" x14ac:dyDescent="0.25">
      <c r="B16" s="17"/>
      <c r="C16" s="13"/>
    </row>
    <row r="17" spans="1:6" s="11" customFormat="1" ht="20.100000000000001" customHeight="1" x14ac:dyDescent="0.25">
      <c r="B17" s="17"/>
      <c r="C17" s="13"/>
    </row>
    <row r="18" spans="1:6" s="11" customFormat="1" ht="20.100000000000001" customHeight="1" x14ac:dyDescent="0.25">
      <c r="B18" s="12">
        <f>SUM(B9:B17)</f>
        <v>-258826.38</v>
      </c>
      <c r="C18" s="13"/>
    </row>
    <row r="19" spans="1:6" s="11" customFormat="1" ht="20.100000000000001" customHeight="1" x14ac:dyDescent="0.25">
      <c r="A19" s="11" t="s">
        <v>2</v>
      </c>
      <c r="B19" s="12"/>
      <c r="C19" s="13"/>
    </row>
    <row r="20" spans="1:6" s="11" customFormat="1" ht="20.100000000000001" customHeight="1" x14ac:dyDescent="0.25">
      <c r="B20" s="12"/>
      <c r="C20" s="13"/>
    </row>
    <row r="21" spans="1:6" s="11" customFormat="1" ht="20.100000000000001" customHeight="1" x14ac:dyDescent="0.25">
      <c r="B21" s="12"/>
      <c r="C21" s="13"/>
    </row>
    <row r="22" spans="1:6" s="11" customFormat="1" ht="20.100000000000001" customHeight="1" x14ac:dyDescent="0.25">
      <c r="B22" s="12"/>
      <c r="C22" s="191"/>
      <c r="D22" s="191"/>
      <c r="E22" s="191"/>
      <c r="F22" s="191"/>
    </row>
    <row r="23" spans="1:6" s="11" customFormat="1" ht="20.100000000000001" customHeight="1" x14ac:dyDescent="0.25">
      <c r="B23" s="12"/>
      <c r="C23" s="191"/>
      <c r="D23" s="191"/>
      <c r="E23" s="191"/>
      <c r="F23" s="191"/>
    </row>
    <row r="24" spans="1:6" s="11" customFormat="1" ht="20.100000000000001" customHeight="1" x14ac:dyDescent="0.25">
      <c r="B24" s="12"/>
      <c r="C24" s="13"/>
    </row>
    <row r="25" spans="1:6" s="11" customFormat="1" ht="20.100000000000001" customHeight="1" x14ac:dyDescent="0.25">
      <c r="B25" s="12">
        <f>SUM(B20:B23)</f>
        <v>0</v>
      </c>
      <c r="C25" s="13"/>
    </row>
    <row r="26" spans="1:6" s="11" customFormat="1" ht="20.100000000000001" customHeight="1" x14ac:dyDescent="0.25">
      <c r="A26" s="15" t="s">
        <v>1</v>
      </c>
      <c r="B26" s="16">
        <f>B25+B18</f>
        <v>-258826.38</v>
      </c>
      <c r="C26" s="13"/>
    </row>
    <row r="27" spans="1:6" s="11" customFormat="1" ht="20.100000000000001" customHeight="1" x14ac:dyDescent="0.25">
      <c r="A27" s="11" t="s">
        <v>0</v>
      </c>
      <c r="B27" s="12">
        <f>B26-B7</f>
        <v>8.149072527885437E-10</v>
      </c>
      <c r="C27" s="13"/>
    </row>
    <row r="28" spans="1:6" s="11" customFormat="1" ht="20.100000000000001" customHeight="1" x14ac:dyDescent="0.3">
      <c r="A28" s="1"/>
      <c r="B28" s="3"/>
      <c r="C28" s="13"/>
    </row>
    <row r="29" spans="1:6" s="11" customFormat="1" ht="20.100000000000001" customHeight="1" x14ac:dyDescent="0.3">
      <c r="A29" s="1"/>
      <c r="B29" s="3"/>
      <c r="C29" s="13"/>
    </row>
    <row r="30" spans="1:6" s="11" customFormat="1" ht="20.100000000000001" customHeight="1" x14ac:dyDescent="0.3">
      <c r="A30" s="1"/>
      <c r="B30" s="3"/>
      <c r="C30" s="13"/>
    </row>
    <row r="31" spans="1:6" s="11" customFormat="1" ht="20.100000000000001" customHeight="1" x14ac:dyDescent="0.3">
      <c r="A31" s="1"/>
      <c r="B31" s="3"/>
      <c r="C31" s="13"/>
    </row>
    <row r="32" spans="1:6" s="11" customFormat="1" ht="20.100000000000001" customHeight="1" x14ac:dyDescent="0.3">
      <c r="A32" s="1"/>
      <c r="B32" s="3"/>
      <c r="C32" s="13"/>
    </row>
    <row r="33" spans="1:9" s="13" customFormat="1" ht="20.100000000000001" customHeight="1" x14ac:dyDescent="0.3">
      <c r="A33" s="1"/>
      <c r="B33" s="3"/>
      <c r="D33" s="11"/>
      <c r="E33" s="11"/>
      <c r="F33" s="11"/>
      <c r="G33" s="11"/>
      <c r="H33" s="11"/>
      <c r="I33" s="11"/>
    </row>
    <row r="34" spans="1:9" s="13" customFormat="1" ht="20.100000000000001" customHeight="1" x14ac:dyDescent="0.3">
      <c r="A34" s="1"/>
      <c r="B34" s="3"/>
      <c r="D34" s="11"/>
      <c r="E34" s="11"/>
      <c r="F34" s="11"/>
      <c r="G34" s="11"/>
      <c r="H34" s="11"/>
      <c r="I34" s="11"/>
    </row>
    <row r="35" spans="1:9" s="13" customFormat="1" ht="20.100000000000001" customHeight="1" x14ac:dyDescent="0.3">
      <c r="A35" s="1"/>
      <c r="B35" s="3"/>
      <c r="D35" s="11"/>
      <c r="E35" s="11"/>
      <c r="F35" s="11"/>
      <c r="G35" s="11"/>
      <c r="H35" s="11"/>
      <c r="I35" s="11"/>
    </row>
    <row r="36" spans="1:9" ht="20.100000000000001" customHeight="1" x14ac:dyDescent="0.3"/>
    <row r="37" spans="1:9" ht="20.100000000000001" customHeight="1" x14ac:dyDescent="0.3"/>
    <row r="38" spans="1:9" ht="20.100000000000001" customHeight="1" x14ac:dyDescent="0.3"/>
    <row r="39" spans="1:9" ht="20.100000000000001" customHeight="1" x14ac:dyDescent="0.3"/>
  </sheetData>
  <mergeCells count="1">
    <mergeCell ref="C22:F2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39"/>
  <sheetViews>
    <sheetView workbookViewId="0">
      <selection activeCell="C13" sqref="C13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25.7109375" style="6" customWidth="1"/>
    <col min="4" max="7" width="9.140625" style="1"/>
    <col min="8" max="8" width="17.7109375" style="1" customWidth="1"/>
    <col min="9" max="16384" width="9.140625" style="1"/>
  </cols>
  <sheetData>
    <row r="1" spans="1:3" s="11" customFormat="1" ht="20.100000000000001" customHeight="1" x14ac:dyDescent="0.25">
      <c r="A1" s="11" t="s">
        <v>304</v>
      </c>
      <c r="B1" s="12"/>
      <c r="C1" s="13"/>
    </row>
    <row r="2" spans="1:3" s="11" customFormat="1" ht="20.100000000000001" customHeight="1" x14ac:dyDescent="0.25">
      <c r="A2" s="14">
        <v>42886</v>
      </c>
      <c r="B2" s="12"/>
      <c r="C2" s="13"/>
    </row>
    <row r="3" spans="1:3" s="11" customFormat="1" ht="20.100000000000001" customHeight="1" x14ac:dyDescent="0.25">
      <c r="A3" s="11" t="s">
        <v>311</v>
      </c>
      <c r="B3" s="12">
        <v>10311531.699999999</v>
      </c>
      <c r="C3" s="13"/>
    </row>
    <row r="4" spans="1:3" s="11" customFormat="1" ht="20.100000000000001" customHeight="1" x14ac:dyDescent="0.25">
      <c r="A4" s="11" t="s">
        <v>6</v>
      </c>
      <c r="B4" s="12"/>
      <c r="C4" s="13"/>
    </row>
    <row r="5" spans="1:3" s="11" customFormat="1" ht="20.100000000000001" customHeight="1" x14ac:dyDescent="0.25">
      <c r="A5" s="11">
        <v>2100</v>
      </c>
      <c r="B5" s="12">
        <v>-10397604.699999999</v>
      </c>
      <c r="C5" s="13"/>
    </row>
    <row r="6" spans="1:3" s="11" customFormat="1" ht="20.100000000000001" customHeight="1" x14ac:dyDescent="0.25">
      <c r="A6" s="11" t="s">
        <v>5</v>
      </c>
      <c r="B6" s="12">
        <f>SUM(B5:B5)</f>
        <v>-10397604.699999999</v>
      </c>
      <c r="C6" s="13"/>
    </row>
    <row r="7" spans="1:3" s="11" customFormat="1" ht="20.100000000000001" customHeight="1" x14ac:dyDescent="0.25">
      <c r="A7" s="15" t="s">
        <v>4</v>
      </c>
      <c r="B7" s="16">
        <f>SUM(B3+B6)</f>
        <v>-86073</v>
      </c>
      <c r="C7" s="13"/>
    </row>
    <row r="8" spans="1:3" s="11" customFormat="1" ht="20.100000000000001" customHeight="1" x14ac:dyDescent="0.25">
      <c r="A8" s="11" t="s">
        <v>3</v>
      </c>
      <c r="B8" s="12"/>
      <c r="C8" s="13"/>
    </row>
    <row r="9" spans="1:3" s="11" customFormat="1" ht="20.100000000000001" customHeight="1" x14ac:dyDescent="0.25">
      <c r="B9" s="17"/>
      <c r="C9" s="13"/>
    </row>
    <row r="10" spans="1:3" s="11" customFormat="1" ht="20.100000000000001" customHeight="1" x14ac:dyDescent="0.25">
      <c r="A10" s="11" t="s">
        <v>427</v>
      </c>
      <c r="B10" s="17">
        <v>-20153</v>
      </c>
      <c r="C10" s="13" t="s">
        <v>432</v>
      </c>
    </row>
    <row r="11" spans="1:3" s="11" customFormat="1" ht="20.100000000000001" customHeight="1" x14ac:dyDescent="0.25">
      <c r="A11" s="11" t="s">
        <v>431</v>
      </c>
      <c r="B11" s="17">
        <v>-33110</v>
      </c>
      <c r="C11" s="13" t="s">
        <v>432</v>
      </c>
    </row>
    <row r="12" spans="1:3" s="11" customFormat="1" ht="20.100000000000001" customHeight="1" x14ac:dyDescent="0.25">
      <c r="A12" s="11" t="s">
        <v>428</v>
      </c>
      <c r="B12" s="17">
        <v>-33110</v>
      </c>
      <c r="C12" s="13" t="s">
        <v>432</v>
      </c>
    </row>
    <row r="13" spans="1:3" s="11" customFormat="1" ht="20.100000000000001" customHeight="1" x14ac:dyDescent="0.25">
      <c r="A13" s="11" t="s">
        <v>429</v>
      </c>
      <c r="B13" s="17">
        <v>-34131</v>
      </c>
      <c r="C13" s="13" t="s">
        <v>430</v>
      </c>
    </row>
    <row r="14" spans="1:3" s="11" customFormat="1" ht="20.100000000000001" customHeight="1" x14ac:dyDescent="0.25">
      <c r="B14" s="17"/>
      <c r="C14" s="13"/>
    </row>
    <row r="15" spans="1:3" s="11" customFormat="1" ht="20.100000000000001" customHeight="1" x14ac:dyDescent="0.25">
      <c r="B15" s="17"/>
      <c r="C15" s="13"/>
    </row>
    <row r="16" spans="1:3" s="11" customFormat="1" ht="20.100000000000001" customHeight="1" x14ac:dyDescent="0.25">
      <c r="B16" s="17"/>
      <c r="C16" s="13"/>
    </row>
    <row r="17" spans="1:6" s="11" customFormat="1" ht="20.100000000000001" customHeight="1" x14ac:dyDescent="0.25">
      <c r="B17" s="17"/>
      <c r="C17" s="13"/>
    </row>
    <row r="18" spans="1:6" s="11" customFormat="1" ht="20.100000000000001" customHeight="1" x14ac:dyDescent="0.25">
      <c r="B18" s="12">
        <f>SUM(B9:B17)</f>
        <v>-120504</v>
      </c>
      <c r="C18" s="13"/>
    </row>
    <row r="19" spans="1:6" s="11" customFormat="1" ht="20.100000000000001" customHeight="1" x14ac:dyDescent="0.25">
      <c r="A19" s="11" t="s">
        <v>2</v>
      </c>
      <c r="B19" s="12"/>
      <c r="C19" s="13"/>
    </row>
    <row r="20" spans="1:6" s="11" customFormat="1" ht="20.100000000000001" customHeight="1" x14ac:dyDescent="0.25">
      <c r="A20" s="11" t="s">
        <v>429</v>
      </c>
      <c r="B20" s="12">
        <v>34431</v>
      </c>
      <c r="C20" s="13" t="s">
        <v>430</v>
      </c>
    </row>
    <row r="21" spans="1:6" s="11" customFormat="1" ht="20.100000000000001" customHeight="1" x14ac:dyDescent="0.25">
      <c r="B21" s="12"/>
      <c r="C21" s="13"/>
    </row>
    <row r="22" spans="1:6" s="11" customFormat="1" ht="20.100000000000001" customHeight="1" x14ac:dyDescent="0.25">
      <c r="B22" s="12"/>
      <c r="C22" s="191"/>
      <c r="D22" s="191"/>
      <c r="E22" s="191"/>
      <c r="F22" s="191"/>
    </row>
    <row r="23" spans="1:6" s="11" customFormat="1" ht="20.100000000000001" customHeight="1" x14ac:dyDescent="0.25">
      <c r="B23" s="12"/>
      <c r="C23" s="191"/>
      <c r="D23" s="191"/>
      <c r="E23" s="191"/>
      <c r="F23" s="191"/>
    </row>
    <row r="24" spans="1:6" s="11" customFormat="1" ht="20.100000000000001" customHeight="1" x14ac:dyDescent="0.25">
      <c r="B24" s="12"/>
      <c r="C24" s="13"/>
    </row>
    <row r="25" spans="1:6" s="11" customFormat="1" ht="20.100000000000001" customHeight="1" x14ac:dyDescent="0.25">
      <c r="B25" s="12">
        <f>SUM(B20:B23)</f>
        <v>34431</v>
      </c>
      <c r="C25" s="13"/>
    </row>
    <row r="26" spans="1:6" s="11" customFormat="1" ht="20.100000000000001" customHeight="1" x14ac:dyDescent="0.25">
      <c r="A26" s="15" t="s">
        <v>1</v>
      </c>
      <c r="B26" s="16">
        <f>B25+B18</f>
        <v>-86073</v>
      </c>
      <c r="C26" s="13"/>
    </row>
    <row r="27" spans="1:6" s="11" customFormat="1" ht="20.100000000000001" customHeight="1" x14ac:dyDescent="0.25">
      <c r="A27" s="11" t="s">
        <v>0</v>
      </c>
      <c r="B27" s="12">
        <f>B26-B7</f>
        <v>0</v>
      </c>
      <c r="C27" s="13"/>
    </row>
    <row r="28" spans="1:6" s="11" customFormat="1" ht="20.100000000000001" customHeight="1" x14ac:dyDescent="0.3">
      <c r="A28" s="1"/>
      <c r="B28" s="3"/>
      <c r="C28" s="13"/>
    </row>
    <row r="29" spans="1:6" s="11" customFormat="1" ht="20.100000000000001" customHeight="1" x14ac:dyDescent="0.3">
      <c r="A29" s="1"/>
      <c r="B29" s="3"/>
      <c r="C29" s="13"/>
    </row>
    <row r="30" spans="1:6" s="11" customFormat="1" ht="20.100000000000001" customHeight="1" x14ac:dyDescent="0.3">
      <c r="A30" s="1"/>
      <c r="B30" s="3"/>
      <c r="C30" s="13"/>
    </row>
    <row r="31" spans="1:6" s="11" customFormat="1" ht="20.100000000000001" customHeight="1" x14ac:dyDescent="0.3">
      <c r="A31" s="1"/>
      <c r="B31" s="3"/>
      <c r="C31" s="13"/>
    </row>
    <row r="32" spans="1:6" s="11" customFormat="1" ht="20.100000000000001" customHeight="1" x14ac:dyDescent="0.3">
      <c r="A32" s="1"/>
      <c r="B32" s="3"/>
      <c r="C32" s="13"/>
    </row>
    <row r="33" spans="1:9" s="13" customFormat="1" ht="20.100000000000001" customHeight="1" x14ac:dyDescent="0.3">
      <c r="A33" s="1"/>
      <c r="B33" s="3"/>
      <c r="D33" s="11"/>
      <c r="E33" s="11"/>
      <c r="F33" s="11"/>
      <c r="G33" s="11"/>
      <c r="H33" s="11"/>
      <c r="I33" s="11"/>
    </row>
    <row r="34" spans="1:9" s="13" customFormat="1" ht="20.100000000000001" customHeight="1" x14ac:dyDescent="0.3">
      <c r="A34" s="1"/>
      <c r="B34" s="3"/>
      <c r="D34" s="11"/>
      <c r="E34" s="11"/>
      <c r="F34" s="11"/>
      <c r="G34" s="11"/>
      <c r="H34" s="11"/>
      <c r="I34" s="11"/>
    </row>
    <row r="35" spans="1:9" s="13" customFormat="1" ht="20.100000000000001" customHeight="1" x14ac:dyDescent="0.3">
      <c r="A35" s="1"/>
      <c r="B35" s="3"/>
      <c r="D35" s="11"/>
      <c r="E35" s="11"/>
      <c r="F35" s="11"/>
      <c r="G35" s="11"/>
      <c r="H35" s="11"/>
      <c r="I35" s="11"/>
    </row>
    <row r="36" spans="1:9" ht="20.100000000000001" customHeight="1" x14ac:dyDescent="0.3"/>
    <row r="37" spans="1:9" ht="20.100000000000001" customHeight="1" x14ac:dyDescent="0.3"/>
    <row r="38" spans="1:9" ht="20.100000000000001" customHeight="1" x14ac:dyDescent="0.3"/>
    <row r="39" spans="1:9" ht="20.100000000000001" customHeight="1" x14ac:dyDescent="0.3"/>
  </sheetData>
  <mergeCells count="1">
    <mergeCell ref="C22:F23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38"/>
  <sheetViews>
    <sheetView workbookViewId="0">
      <selection activeCell="F26" sqref="A1:F26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25.7109375" style="6" customWidth="1"/>
    <col min="4" max="7" width="9.140625" style="1"/>
    <col min="8" max="8" width="17.7109375" style="1" customWidth="1"/>
    <col min="9" max="16384" width="9.140625" style="1"/>
  </cols>
  <sheetData>
    <row r="1" spans="1:3" s="11" customFormat="1" ht="20.100000000000001" customHeight="1" x14ac:dyDescent="0.25">
      <c r="A1" s="11" t="s">
        <v>304</v>
      </c>
      <c r="B1" s="12"/>
      <c r="C1" s="13"/>
    </row>
    <row r="2" spans="1:3" s="11" customFormat="1" ht="20.100000000000001" customHeight="1" x14ac:dyDescent="0.25">
      <c r="A2" s="14">
        <v>42916</v>
      </c>
      <c r="B2" s="12"/>
      <c r="C2" s="13"/>
    </row>
    <row r="3" spans="1:3" s="11" customFormat="1" ht="20.100000000000001" customHeight="1" x14ac:dyDescent="0.25">
      <c r="A3" s="11" t="s">
        <v>311</v>
      </c>
      <c r="B3" s="12">
        <v>8977995.4000000004</v>
      </c>
      <c r="C3" s="13"/>
    </row>
    <row r="4" spans="1:3" s="11" customFormat="1" ht="20.100000000000001" customHeight="1" x14ac:dyDescent="0.25">
      <c r="A4" s="11" t="s">
        <v>6</v>
      </c>
      <c r="B4" s="12"/>
      <c r="C4" s="13"/>
    </row>
    <row r="5" spans="1:3" s="11" customFormat="1" ht="20.100000000000001" customHeight="1" x14ac:dyDescent="0.25">
      <c r="A5" s="11">
        <v>2100</v>
      </c>
      <c r="B5" s="12">
        <v>-9196902.4000000004</v>
      </c>
      <c r="C5" s="13"/>
    </row>
    <row r="6" spans="1:3" s="11" customFormat="1" ht="20.100000000000001" customHeight="1" x14ac:dyDescent="0.25">
      <c r="A6" s="11" t="s">
        <v>5</v>
      </c>
      <c r="B6" s="12">
        <f>SUM(B5:B5)</f>
        <v>-9196902.4000000004</v>
      </c>
      <c r="C6" s="13"/>
    </row>
    <row r="7" spans="1:3" s="11" customFormat="1" ht="20.100000000000001" customHeight="1" x14ac:dyDescent="0.25">
      <c r="A7" s="15" t="s">
        <v>4</v>
      </c>
      <c r="B7" s="16">
        <f>SUM(B3+B6)</f>
        <v>-218907</v>
      </c>
      <c r="C7" s="13"/>
    </row>
    <row r="8" spans="1:3" s="11" customFormat="1" ht="20.100000000000001" customHeight="1" x14ac:dyDescent="0.25">
      <c r="A8" s="11" t="s">
        <v>3</v>
      </c>
      <c r="B8" s="12"/>
      <c r="C8" s="13"/>
    </row>
    <row r="9" spans="1:3" s="11" customFormat="1" ht="20.100000000000001" customHeight="1" x14ac:dyDescent="0.25">
      <c r="A9" s="11" t="s">
        <v>433</v>
      </c>
      <c r="B9" s="17">
        <v>-20153</v>
      </c>
      <c r="C9" s="13" t="s">
        <v>442</v>
      </c>
    </row>
    <row r="10" spans="1:3" s="11" customFormat="1" ht="20.100000000000001" customHeight="1" x14ac:dyDescent="0.25">
      <c r="A10" s="11" t="s">
        <v>434</v>
      </c>
      <c r="B10" s="17">
        <v>-20153</v>
      </c>
      <c r="C10" s="13" t="s">
        <v>442</v>
      </c>
    </row>
    <row r="11" spans="1:3" s="11" customFormat="1" ht="20.100000000000001" customHeight="1" x14ac:dyDescent="0.25">
      <c r="A11" s="11" t="s">
        <v>435</v>
      </c>
      <c r="B11" s="17">
        <v>-22304</v>
      </c>
      <c r="C11" s="13" t="s">
        <v>442</v>
      </c>
    </row>
    <row r="12" spans="1:3" s="11" customFormat="1" ht="20.100000000000001" customHeight="1" x14ac:dyDescent="0.25">
      <c r="A12" s="11" t="s">
        <v>436</v>
      </c>
      <c r="B12" s="17">
        <v>-22331</v>
      </c>
      <c r="C12" s="13" t="s">
        <v>442</v>
      </c>
    </row>
    <row r="13" spans="1:3" s="11" customFormat="1" ht="20.100000000000001" customHeight="1" x14ac:dyDescent="0.25">
      <c r="A13" s="11" t="s">
        <v>441</v>
      </c>
      <c r="B13" s="17">
        <v>-22520</v>
      </c>
      <c r="C13" s="13" t="s">
        <v>443</v>
      </c>
    </row>
    <row r="14" spans="1:3" s="11" customFormat="1" ht="20.100000000000001" customHeight="1" x14ac:dyDescent="0.25">
      <c r="A14" s="11" t="s">
        <v>437</v>
      </c>
      <c r="B14" s="17">
        <v>-27126</v>
      </c>
      <c r="C14" s="13" t="s">
        <v>442</v>
      </c>
    </row>
    <row r="15" spans="1:3" s="11" customFormat="1" ht="20.100000000000001" customHeight="1" x14ac:dyDescent="0.25">
      <c r="A15" s="11" t="s">
        <v>438</v>
      </c>
      <c r="B15" s="17">
        <v>-27389</v>
      </c>
      <c r="C15" s="13" t="s">
        <v>442</v>
      </c>
    </row>
    <row r="16" spans="1:3" s="11" customFormat="1" ht="20.100000000000001" customHeight="1" x14ac:dyDescent="0.25">
      <c r="A16" s="11" t="s">
        <v>439</v>
      </c>
      <c r="B16" s="17">
        <v>-27389</v>
      </c>
      <c r="C16" s="13" t="s">
        <v>442</v>
      </c>
    </row>
    <row r="17" spans="1:9" s="11" customFormat="1" ht="20.100000000000001" customHeight="1" x14ac:dyDescent="0.25">
      <c r="A17" s="11" t="s">
        <v>440</v>
      </c>
      <c r="B17" s="17">
        <v>-29542</v>
      </c>
      <c r="C17" s="13" t="s">
        <v>444</v>
      </c>
    </row>
    <row r="18" spans="1:9" s="11" customFormat="1" ht="20.100000000000001" customHeight="1" x14ac:dyDescent="0.25">
      <c r="B18" s="12">
        <f>SUM(B9:B17)</f>
        <v>-218907</v>
      </c>
      <c r="C18" s="13"/>
    </row>
    <row r="19" spans="1:9" s="11" customFormat="1" ht="20.100000000000001" customHeight="1" x14ac:dyDescent="0.25">
      <c r="A19" s="11" t="s">
        <v>2</v>
      </c>
      <c r="B19" s="12"/>
      <c r="C19" s="13"/>
    </row>
    <row r="20" spans="1:9" s="11" customFormat="1" ht="20.100000000000001" customHeight="1" x14ac:dyDescent="0.25">
      <c r="B20" s="12"/>
      <c r="C20" s="13"/>
    </row>
    <row r="21" spans="1:9" s="11" customFormat="1" ht="20.100000000000001" customHeight="1" x14ac:dyDescent="0.25">
      <c r="B21" s="12"/>
      <c r="C21" s="18"/>
      <c r="D21" s="18"/>
      <c r="E21" s="18"/>
      <c r="F21" s="18"/>
    </row>
    <row r="22" spans="1:9" s="11" customFormat="1" ht="20.100000000000001" customHeight="1" x14ac:dyDescent="0.25">
      <c r="B22" s="12"/>
      <c r="C22" s="18"/>
      <c r="D22" s="18"/>
      <c r="E22" s="18"/>
      <c r="F22" s="18"/>
    </row>
    <row r="23" spans="1:9" s="11" customFormat="1" ht="20.100000000000001" customHeight="1" x14ac:dyDescent="0.25">
      <c r="B23" s="12"/>
      <c r="C23" s="13"/>
    </row>
    <row r="24" spans="1:9" s="11" customFormat="1" ht="20.100000000000001" customHeight="1" x14ac:dyDescent="0.25">
      <c r="B24" s="12">
        <f>SUM(B20:B22)</f>
        <v>0</v>
      </c>
      <c r="C24" s="13"/>
    </row>
    <row r="25" spans="1:9" s="11" customFormat="1" ht="20.100000000000001" customHeight="1" x14ac:dyDescent="0.25">
      <c r="A25" s="15" t="s">
        <v>1</v>
      </c>
      <c r="B25" s="16">
        <f>B24+B18</f>
        <v>-218907</v>
      </c>
      <c r="C25" s="13"/>
    </row>
    <row r="26" spans="1:9" s="11" customFormat="1" ht="20.100000000000001" customHeight="1" x14ac:dyDescent="0.25">
      <c r="A26" s="11" t="s">
        <v>0</v>
      </c>
      <c r="B26" s="12">
        <f>B25-B7</f>
        <v>0</v>
      </c>
      <c r="C26" s="13"/>
    </row>
    <row r="27" spans="1:9" s="11" customFormat="1" ht="20.100000000000001" customHeight="1" x14ac:dyDescent="0.3">
      <c r="A27" s="1"/>
      <c r="B27" s="3"/>
      <c r="C27" s="13"/>
    </row>
    <row r="28" spans="1:9" s="11" customFormat="1" ht="20.100000000000001" customHeight="1" x14ac:dyDescent="0.3">
      <c r="A28" s="1"/>
      <c r="B28" s="3"/>
      <c r="C28" s="13"/>
    </row>
    <row r="29" spans="1:9" s="11" customFormat="1" ht="20.100000000000001" customHeight="1" x14ac:dyDescent="0.3">
      <c r="A29" s="1"/>
      <c r="B29" s="3"/>
      <c r="C29" s="13"/>
    </row>
    <row r="30" spans="1:9" s="11" customFormat="1" ht="20.100000000000001" customHeight="1" x14ac:dyDescent="0.3">
      <c r="A30" s="1"/>
      <c r="B30" s="3"/>
      <c r="C30" s="13"/>
    </row>
    <row r="31" spans="1:9" s="11" customFormat="1" ht="20.100000000000001" customHeight="1" x14ac:dyDescent="0.3">
      <c r="A31" s="1"/>
      <c r="B31" s="3"/>
      <c r="C31" s="13"/>
    </row>
    <row r="32" spans="1:9" s="13" customFormat="1" ht="20.100000000000001" customHeight="1" x14ac:dyDescent="0.3">
      <c r="A32" s="1"/>
      <c r="B32" s="3"/>
      <c r="D32" s="11"/>
      <c r="E32" s="11"/>
      <c r="F32" s="11"/>
      <c r="G32" s="11"/>
      <c r="H32" s="11"/>
      <c r="I32" s="11"/>
    </row>
    <row r="33" spans="1:9" s="13" customFormat="1" ht="20.100000000000001" customHeight="1" x14ac:dyDescent="0.3">
      <c r="A33" s="1"/>
      <c r="B33" s="3"/>
      <c r="D33" s="11"/>
      <c r="E33" s="11"/>
      <c r="F33" s="11"/>
      <c r="G33" s="11"/>
      <c r="H33" s="11"/>
      <c r="I33" s="11"/>
    </row>
    <row r="34" spans="1:9" s="13" customFormat="1" ht="20.100000000000001" customHeight="1" x14ac:dyDescent="0.3">
      <c r="A34" s="1"/>
      <c r="B34" s="3"/>
      <c r="D34" s="11"/>
      <c r="E34" s="11"/>
      <c r="F34" s="11"/>
      <c r="G34" s="11"/>
      <c r="H34" s="11"/>
      <c r="I34" s="11"/>
    </row>
    <row r="35" spans="1:9" ht="20.100000000000001" customHeight="1" x14ac:dyDescent="0.3"/>
    <row r="36" spans="1:9" ht="20.100000000000001" customHeight="1" x14ac:dyDescent="0.3"/>
    <row r="37" spans="1:9" ht="20.100000000000001" customHeight="1" x14ac:dyDescent="0.3"/>
    <row r="38" spans="1:9" ht="20.100000000000001" customHeight="1" x14ac:dyDescent="0.3"/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31"/>
  <sheetViews>
    <sheetView workbookViewId="0">
      <selection activeCell="G15" sqref="G15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25.7109375" style="6" customWidth="1"/>
    <col min="4" max="7" width="9.140625" style="1"/>
    <col min="8" max="8" width="17.7109375" style="1" customWidth="1"/>
    <col min="9" max="16384" width="9.140625" style="1"/>
  </cols>
  <sheetData>
    <row r="1" spans="1:6" s="11" customFormat="1" ht="20.100000000000001" customHeight="1" x14ac:dyDescent="0.25">
      <c r="A1" s="11" t="s">
        <v>304</v>
      </c>
      <c r="B1" s="12"/>
      <c r="C1" s="13"/>
    </row>
    <row r="2" spans="1:6" s="11" customFormat="1" ht="20.100000000000001" customHeight="1" x14ac:dyDescent="0.25">
      <c r="A2" s="14">
        <v>42947</v>
      </c>
      <c r="B2" s="12"/>
      <c r="C2" s="13"/>
    </row>
    <row r="3" spans="1:6" s="11" customFormat="1" ht="20.100000000000001" customHeight="1" x14ac:dyDescent="0.25">
      <c r="A3" s="11" t="s">
        <v>311</v>
      </c>
      <c r="B3" s="12">
        <v>8840232.4000000004</v>
      </c>
      <c r="C3" s="13"/>
    </row>
    <row r="4" spans="1:6" s="11" customFormat="1" ht="20.100000000000001" customHeight="1" x14ac:dyDescent="0.25">
      <c r="A4" s="11" t="s">
        <v>6</v>
      </c>
      <c r="B4" s="12"/>
      <c r="C4" s="13"/>
    </row>
    <row r="5" spans="1:6" s="11" customFormat="1" ht="20.100000000000001" customHeight="1" x14ac:dyDescent="0.25">
      <c r="A5" s="11">
        <v>2100</v>
      </c>
      <c r="B5" s="12">
        <v>-8784064.4000000004</v>
      </c>
      <c r="C5" s="13"/>
    </row>
    <row r="6" spans="1:6" s="11" customFormat="1" ht="20.100000000000001" customHeight="1" x14ac:dyDescent="0.25">
      <c r="A6" s="11" t="s">
        <v>5</v>
      </c>
      <c r="B6" s="12">
        <f>SUM(B5:B5)</f>
        <v>-8784064.4000000004</v>
      </c>
      <c r="C6" s="13"/>
    </row>
    <row r="7" spans="1:6" s="11" customFormat="1" ht="20.100000000000001" customHeight="1" x14ac:dyDescent="0.25">
      <c r="A7" s="15" t="s">
        <v>4</v>
      </c>
      <c r="B7" s="16">
        <f>SUM(B3+B6)</f>
        <v>56168</v>
      </c>
      <c r="C7" s="13"/>
    </row>
    <row r="8" spans="1:6" s="11" customFormat="1" ht="20.100000000000001" customHeight="1" x14ac:dyDescent="0.25">
      <c r="A8" s="11" t="s">
        <v>3</v>
      </c>
      <c r="B8" s="12"/>
      <c r="C8" s="13"/>
    </row>
    <row r="9" spans="1:6" s="11" customFormat="1" ht="20.100000000000001" customHeight="1" x14ac:dyDescent="0.25">
      <c r="A9" s="11" t="s">
        <v>445</v>
      </c>
      <c r="B9" s="17">
        <v>-36256</v>
      </c>
      <c r="C9" s="13" t="s">
        <v>449</v>
      </c>
    </row>
    <row r="10" spans="1:6" s="11" customFormat="1" ht="20.100000000000001" customHeight="1" x14ac:dyDescent="0.25">
      <c r="C10" s="13"/>
    </row>
    <row r="11" spans="1:6" s="11" customFormat="1" ht="20.100000000000001" customHeight="1" x14ac:dyDescent="0.25">
      <c r="B11" s="12">
        <f>SUM(B9:B10)</f>
        <v>-36256</v>
      </c>
      <c r="C11" s="13"/>
    </row>
    <row r="12" spans="1:6" s="11" customFormat="1" ht="20.100000000000001" customHeight="1" x14ac:dyDescent="0.25">
      <c r="A12" s="11" t="s">
        <v>2</v>
      </c>
      <c r="B12" s="12"/>
      <c r="C12" s="13"/>
    </row>
    <row r="13" spans="1:6" s="11" customFormat="1" ht="20.100000000000001" customHeight="1" x14ac:dyDescent="0.25">
      <c r="A13" s="11" t="s">
        <v>446</v>
      </c>
      <c r="B13" s="17">
        <v>29240</v>
      </c>
      <c r="C13" s="13" t="s">
        <v>451</v>
      </c>
    </row>
    <row r="14" spans="1:6" s="11" customFormat="1" ht="20.100000000000001" customHeight="1" x14ac:dyDescent="0.25">
      <c r="A14" s="11" t="s">
        <v>447</v>
      </c>
      <c r="B14" s="12">
        <v>31327</v>
      </c>
      <c r="C14" s="19" t="s">
        <v>450</v>
      </c>
      <c r="D14" s="18"/>
      <c r="E14" s="18"/>
      <c r="F14" s="18"/>
    </row>
    <row r="15" spans="1:6" s="11" customFormat="1" ht="20.100000000000001" customHeight="1" x14ac:dyDescent="0.25">
      <c r="A15" s="11" t="s">
        <v>448</v>
      </c>
      <c r="B15" s="12">
        <v>31857</v>
      </c>
      <c r="C15" s="19" t="s">
        <v>452</v>
      </c>
      <c r="D15" s="18"/>
      <c r="E15" s="18"/>
      <c r="F15" s="18"/>
    </row>
    <row r="16" spans="1:6" s="11" customFormat="1" ht="20.100000000000001" customHeight="1" x14ac:dyDescent="0.25">
      <c r="B16" s="12"/>
      <c r="C16" s="13"/>
    </row>
    <row r="17" spans="1:9" s="11" customFormat="1" ht="20.100000000000001" customHeight="1" x14ac:dyDescent="0.25">
      <c r="B17" s="12">
        <f>SUM(B13:B15)</f>
        <v>92424</v>
      </c>
      <c r="C17" s="13"/>
    </row>
    <row r="18" spans="1:9" s="11" customFormat="1" ht="20.100000000000001" customHeight="1" x14ac:dyDescent="0.25">
      <c r="A18" s="15" t="s">
        <v>1</v>
      </c>
      <c r="B18" s="16">
        <f>B17+B11</f>
        <v>56168</v>
      </c>
      <c r="C18" s="13"/>
    </row>
    <row r="19" spans="1:9" s="11" customFormat="1" ht="20.100000000000001" customHeight="1" x14ac:dyDescent="0.25">
      <c r="A19" s="11" t="s">
        <v>0</v>
      </c>
      <c r="B19" s="12">
        <f>B18-B7</f>
        <v>0</v>
      </c>
      <c r="C19" s="13"/>
    </row>
    <row r="20" spans="1:9" s="11" customFormat="1" ht="20.100000000000001" customHeight="1" x14ac:dyDescent="0.3">
      <c r="A20" s="1"/>
      <c r="B20" s="3"/>
      <c r="C20" s="13"/>
    </row>
    <row r="21" spans="1:9" s="11" customFormat="1" ht="20.100000000000001" customHeight="1" x14ac:dyDescent="0.3">
      <c r="A21" s="1"/>
      <c r="B21" s="3"/>
      <c r="C21" s="13"/>
    </row>
    <row r="22" spans="1:9" s="11" customFormat="1" ht="20.100000000000001" customHeight="1" x14ac:dyDescent="0.3">
      <c r="A22" s="1"/>
      <c r="B22" s="3"/>
      <c r="C22" s="13"/>
    </row>
    <row r="23" spans="1:9" s="11" customFormat="1" ht="20.100000000000001" customHeight="1" x14ac:dyDescent="0.3">
      <c r="A23" s="1"/>
      <c r="B23" s="3"/>
      <c r="C23" s="13"/>
    </row>
    <row r="24" spans="1:9" s="11" customFormat="1" ht="20.100000000000001" customHeight="1" x14ac:dyDescent="0.3">
      <c r="A24" s="1"/>
      <c r="B24" s="3"/>
      <c r="C24" s="13"/>
    </row>
    <row r="25" spans="1:9" s="13" customFormat="1" ht="20.100000000000001" customHeight="1" x14ac:dyDescent="0.3">
      <c r="A25" s="1"/>
      <c r="B25" s="3"/>
      <c r="D25" s="11"/>
      <c r="E25" s="11"/>
      <c r="F25" s="11"/>
      <c r="G25" s="11"/>
      <c r="H25" s="11"/>
      <c r="I25" s="11"/>
    </row>
    <row r="26" spans="1:9" s="13" customFormat="1" ht="20.100000000000001" customHeight="1" x14ac:dyDescent="0.3">
      <c r="A26" s="1"/>
      <c r="B26" s="3"/>
      <c r="D26" s="11"/>
      <c r="E26" s="11"/>
      <c r="F26" s="11"/>
      <c r="G26" s="11"/>
      <c r="H26" s="11"/>
      <c r="I26" s="11"/>
    </row>
    <row r="27" spans="1:9" s="13" customFormat="1" ht="20.100000000000001" customHeight="1" x14ac:dyDescent="0.3">
      <c r="A27" s="1"/>
      <c r="B27" s="3"/>
      <c r="D27" s="11"/>
      <c r="E27" s="11"/>
      <c r="F27" s="11"/>
      <c r="G27" s="11"/>
      <c r="H27" s="11"/>
      <c r="I27" s="11"/>
    </row>
    <row r="28" spans="1:9" ht="20.100000000000001" customHeight="1" x14ac:dyDescent="0.3"/>
    <row r="29" spans="1:9" ht="20.100000000000001" customHeight="1" x14ac:dyDescent="0.3"/>
    <row r="30" spans="1:9" ht="20.100000000000001" customHeight="1" x14ac:dyDescent="0.3"/>
    <row r="31" spans="1:9" ht="20.100000000000001" customHeight="1" x14ac:dyDescent="0.3"/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33"/>
  <sheetViews>
    <sheetView workbookViewId="0">
      <selection activeCell="E9" sqref="E9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25.7109375" style="6" customWidth="1"/>
    <col min="4" max="7" width="9.140625" style="1"/>
    <col min="8" max="8" width="17.7109375" style="1" customWidth="1"/>
    <col min="9" max="16384" width="9.140625" style="1"/>
  </cols>
  <sheetData>
    <row r="1" spans="1:6" s="11" customFormat="1" ht="20.100000000000001" customHeight="1" x14ac:dyDescent="0.25">
      <c r="A1" s="11" t="s">
        <v>304</v>
      </c>
      <c r="B1" s="12"/>
      <c r="C1" s="13"/>
    </row>
    <row r="2" spans="1:6" s="11" customFormat="1" ht="20.100000000000001" customHeight="1" x14ac:dyDescent="0.25">
      <c r="A2" s="14">
        <v>42978</v>
      </c>
      <c r="B2" s="12"/>
      <c r="C2" s="13"/>
    </row>
    <row r="3" spans="1:6" s="11" customFormat="1" ht="20.100000000000001" customHeight="1" x14ac:dyDescent="0.25">
      <c r="A3" s="11" t="s">
        <v>311</v>
      </c>
      <c r="B3" s="12">
        <v>9568005.6999999993</v>
      </c>
      <c r="C3" s="13"/>
    </row>
    <row r="4" spans="1:6" s="11" customFormat="1" ht="20.100000000000001" customHeight="1" x14ac:dyDescent="0.25">
      <c r="A4" s="11" t="s">
        <v>6</v>
      </c>
      <c r="B4" s="12"/>
      <c r="C4" s="13"/>
    </row>
    <row r="5" spans="1:6" s="11" customFormat="1" ht="20.100000000000001" customHeight="1" x14ac:dyDescent="0.25">
      <c r="A5" s="11">
        <v>2100</v>
      </c>
      <c r="B5" s="12">
        <v>-9708229.6999999993</v>
      </c>
      <c r="C5" s="13"/>
    </row>
    <row r="6" spans="1:6" s="11" customFormat="1" ht="20.100000000000001" customHeight="1" x14ac:dyDescent="0.25">
      <c r="A6" s="11" t="s">
        <v>5</v>
      </c>
      <c r="B6" s="12">
        <f>SUM(B5:B5)</f>
        <v>-9708229.6999999993</v>
      </c>
      <c r="C6" s="13"/>
    </row>
    <row r="7" spans="1:6" s="11" customFormat="1" ht="20.100000000000001" customHeight="1" x14ac:dyDescent="0.25">
      <c r="A7" s="15" t="s">
        <v>4</v>
      </c>
      <c r="B7" s="16">
        <f>SUM(B3+B6)</f>
        <v>-140224</v>
      </c>
      <c r="C7" s="13"/>
    </row>
    <row r="8" spans="1:6" s="11" customFormat="1" ht="20.100000000000001" customHeight="1" x14ac:dyDescent="0.25">
      <c r="A8" s="11" t="s">
        <v>3</v>
      </c>
      <c r="B8" s="12"/>
      <c r="C8" s="13"/>
    </row>
    <row r="9" spans="1:6" s="11" customFormat="1" ht="20.100000000000001" customHeight="1" x14ac:dyDescent="0.25">
      <c r="A9" s="11" t="s">
        <v>453</v>
      </c>
      <c r="B9" s="12">
        <v>-51930</v>
      </c>
      <c r="C9" s="13" t="s">
        <v>457</v>
      </c>
    </row>
    <row r="10" spans="1:6" s="11" customFormat="1" ht="20.100000000000001" customHeight="1" x14ac:dyDescent="0.25">
      <c r="A10" s="11" t="s">
        <v>454</v>
      </c>
      <c r="B10" s="12">
        <v>-52733</v>
      </c>
      <c r="C10" s="13" t="s">
        <v>458</v>
      </c>
    </row>
    <row r="11" spans="1:6" s="11" customFormat="1" ht="20.100000000000001" customHeight="1" x14ac:dyDescent="0.25">
      <c r="A11" s="11" t="s">
        <v>455</v>
      </c>
      <c r="B11" s="17">
        <v>-54757</v>
      </c>
      <c r="C11" s="13" t="s">
        <v>460</v>
      </c>
    </row>
    <row r="12" spans="1:6" s="11" customFormat="1" ht="20.100000000000001" customHeight="1" x14ac:dyDescent="0.25">
      <c r="C12" s="13"/>
    </row>
    <row r="13" spans="1:6" s="11" customFormat="1" ht="20.100000000000001" customHeight="1" x14ac:dyDescent="0.25">
      <c r="B13" s="12">
        <f>SUM(B9:B12)</f>
        <v>-159420</v>
      </c>
      <c r="C13" s="13"/>
    </row>
    <row r="14" spans="1:6" s="11" customFormat="1" ht="20.100000000000001" customHeight="1" x14ac:dyDescent="0.25">
      <c r="A14" s="11" t="s">
        <v>2</v>
      </c>
      <c r="B14" s="12"/>
      <c r="C14" s="13"/>
    </row>
    <row r="15" spans="1:6" s="11" customFormat="1" ht="20.100000000000001" customHeight="1" x14ac:dyDescent="0.25">
      <c r="A15" s="11" t="s">
        <v>456</v>
      </c>
      <c r="B15" s="17">
        <v>19196</v>
      </c>
      <c r="C15" s="13" t="s">
        <v>459</v>
      </c>
    </row>
    <row r="16" spans="1:6" s="11" customFormat="1" ht="20.100000000000001" customHeight="1" x14ac:dyDescent="0.25">
      <c r="B16" s="12"/>
      <c r="C16" s="19"/>
      <c r="D16" s="18"/>
      <c r="E16" s="18"/>
      <c r="F16" s="18"/>
    </row>
    <row r="17" spans="1:9" s="11" customFormat="1" ht="20.100000000000001" customHeight="1" x14ac:dyDescent="0.25">
      <c r="B17" s="12"/>
      <c r="C17" s="19"/>
      <c r="D17" s="18"/>
      <c r="E17" s="18"/>
      <c r="F17" s="18"/>
    </row>
    <row r="18" spans="1:9" s="11" customFormat="1" ht="20.100000000000001" customHeight="1" x14ac:dyDescent="0.25">
      <c r="B18" s="12"/>
      <c r="C18" s="13"/>
    </row>
    <row r="19" spans="1:9" s="11" customFormat="1" ht="20.100000000000001" customHeight="1" x14ac:dyDescent="0.25">
      <c r="B19" s="12">
        <f>SUM(B15:B17)</f>
        <v>19196</v>
      </c>
      <c r="C19" s="13"/>
    </row>
    <row r="20" spans="1:9" s="11" customFormat="1" ht="20.100000000000001" customHeight="1" x14ac:dyDescent="0.25">
      <c r="A20" s="15" t="s">
        <v>1</v>
      </c>
      <c r="B20" s="16">
        <f>B19+B13</f>
        <v>-140224</v>
      </c>
      <c r="C20" s="13"/>
    </row>
    <row r="21" spans="1:9" s="11" customFormat="1" ht="20.100000000000001" customHeight="1" x14ac:dyDescent="0.25">
      <c r="A21" s="11" t="s">
        <v>0</v>
      </c>
      <c r="B21" s="12">
        <f>B20-B7</f>
        <v>0</v>
      </c>
      <c r="C21" s="13"/>
    </row>
    <row r="22" spans="1:9" s="11" customFormat="1" ht="20.100000000000001" customHeight="1" x14ac:dyDescent="0.3">
      <c r="A22" s="1"/>
      <c r="B22" s="3"/>
      <c r="C22" s="13"/>
    </row>
    <row r="23" spans="1:9" s="11" customFormat="1" ht="20.100000000000001" customHeight="1" x14ac:dyDescent="0.3">
      <c r="A23" s="1"/>
      <c r="B23" s="3"/>
      <c r="C23" s="13"/>
    </row>
    <row r="24" spans="1:9" s="11" customFormat="1" ht="20.100000000000001" customHeight="1" x14ac:dyDescent="0.3">
      <c r="A24" s="1"/>
      <c r="B24" s="3"/>
      <c r="C24" s="13"/>
    </row>
    <row r="25" spans="1:9" s="11" customFormat="1" ht="20.100000000000001" customHeight="1" x14ac:dyDescent="0.3">
      <c r="A25" s="1"/>
      <c r="B25" s="3"/>
      <c r="C25" s="13"/>
    </row>
    <row r="26" spans="1:9" s="11" customFormat="1" ht="20.100000000000001" customHeight="1" x14ac:dyDescent="0.3">
      <c r="A26" s="1"/>
      <c r="B26" s="3"/>
      <c r="C26" s="13"/>
    </row>
    <row r="27" spans="1:9" s="13" customFormat="1" ht="20.100000000000001" customHeight="1" x14ac:dyDescent="0.3">
      <c r="A27" s="1"/>
      <c r="B27" s="3"/>
      <c r="D27" s="11"/>
      <c r="E27" s="11"/>
      <c r="F27" s="11"/>
      <c r="G27" s="11"/>
      <c r="H27" s="11"/>
      <c r="I27" s="11"/>
    </row>
    <row r="28" spans="1:9" s="13" customFormat="1" ht="20.100000000000001" customHeight="1" x14ac:dyDescent="0.3">
      <c r="A28" s="1"/>
      <c r="B28" s="3"/>
      <c r="D28" s="11"/>
      <c r="E28" s="11"/>
      <c r="F28" s="11"/>
      <c r="G28" s="11"/>
      <c r="H28" s="11"/>
      <c r="I28" s="11"/>
    </row>
    <row r="29" spans="1:9" s="13" customFormat="1" ht="20.100000000000001" customHeight="1" x14ac:dyDescent="0.3">
      <c r="A29" s="1"/>
      <c r="B29" s="3"/>
      <c r="D29" s="11"/>
      <c r="E29" s="11"/>
      <c r="F29" s="11"/>
      <c r="G29" s="11"/>
      <c r="H29" s="11"/>
      <c r="I29" s="11"/>
    </row>
    <row r="30" spans="1:9" ht="20.100000000000001" customHeight="1" x14ac:dyDescent="0.3"/>
    <row r="31" spans="1:9" ht="20.100000000000001" customHeight="1" x14ac:dyDescent="0.3"/>
    <row r="32" spans="1:9" ht="20.100000000000001" customHeight="1" x14ac:dyDescent="0.3"/>
    <row r="33" ht="20.100000000000001" customHeight="1" x14ac:dyDescent="0.3"/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33"/>
  <sheetViews>
    <sheetView workbookViewId="0">
      <selection activeCell="C12" sqref="C12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25.7109375" style="6" customWidth="1"/>
    <col min="4" max="7" width="9.140625" style="1"/>
    <col min="8" max="8" width="17.7109375" style="1" customWidth="1"/>
    <col min="9" max="16384" width="9.140625" style="1"/>
  </cols>
  <sheetData>
    <row r="1" spans="1:6" s="11" customFormat="1" ht="20.100000000000001" customHeight="1" x14ac:dyDescent="0.25">
      <c r="A1" s="11" t="s">
        <v>304</v>
      </c>
      <c r="B1" s="12"/>
      <c r="C1" s="13"/>
    </row>
    <row r="2" spans="1:6" s="11" customFormat="1" ht="20.100000000000001" customHeight="1" x14ac:dyDescent="0.25">
      <c r="A2" s="14">
        <v>43008</v>
      </c>
      <c r="B2" s="12"/>
      <c r="C2" s="13"/>
    </row>
    <row r="3" spans="1:6" s="11" customFormat="1" ht="20.100000000000001" customHeight="1" x14ac:dyDescent="0.25">
      <c r="A3" s="11" t="s">
        <v>311</v>
      </c>
      <c r="B3" s="12">
        <v>10797639.199999999</v>
      </c>
      <c r="C3" s="13"/>
    </row>
    <row r="4" spans="1:6" s="11" customFormat="1" ht="20.100000000000001" customHeight="1" x14ac:dyDescent="0.25">
      <c r="A4" s="11" t="s">
        <v>6</v>
      </c>
      <c r="B4" s="12"/>
      <c r="C4" s="13"/>
    </row>
    <row r="5" spans="1:6" s="11" customFormat="1" ht="20.100000000000001" customHeight="1" x14ac:dyDescent="0.25">
      <c r="A5" s="11">
        <v>2100</v>
      </c>
      <c r="B5" s="12">
        <v>-10913534.199999999</v>
      </c>
      <c r="C5" s="13"/>
    </row>
    <row r="6" spans="1:6" s="11" customFormat="1" ht="20.100000000000001" customHeight="1" x14ac:dyDescent="0.25">
      <c r="A6" s="11" t="s">
        <v>5</v>
      </c>
      <c r="B6" s="12">
        <f>SUM(B5:B5)</f>
        <v>-10913534.199999999</v>
      </c>
      <c r="C6" s="13"/>
    </row>
    <row r="7" spans="1:6" s="11" customFormat="1" ht="20.100000000000001" customHeight="1" x14ac:dyDescent="0.25">
      <c r="A7" s="15" t="s">
        <v>4</v>
      </c>
      <c r="B7" s="16">
        <f>SUM(B3+B6)</f>
        <v>-115895</v>
      </c>
      <c r="C7" s="13"/>
    </row>
    <row r="8" spans="1:6" s="11" customFormat="1" ht="20.100000000000001" customHeight="1" x14ac:dyDescent="0.25">
      <c r="A8" s="11" t="s">
        <v>3</v>
      </c>
      <c r="B8" s="12"/>
      <c r="C8" s="13"/>
    </row>
    <row r="9" spans="1:6" s="11" customFormat="1" ht="20.100000000000001" customHeight="1" x14ac:dyDescent="0.25">
      <c r="A9" s="11" t="s">
        <v>461</v>
      </c>
      <c r="B9" s="12">
        <v>-49614</v>
      </c>
      <c r="C9" s="13" t="s">
        <v>465</v>
      </c>
    </row>
    <row r="10" spans="1:6" s="11" customFormat="1" ht="20.100000000000001" customHeight="1" x14ac:dyDescent="0.25">
      <c r="A10" s="11" t="s">
        <v>462</v>
      </c>
      <c r="B10" s="12">
        <v>-66381</v>
      </c>
      <c r="C10" s="13" t="s">
        <v>466</v>
      </c>
    </row>
    <row r="11" spans="1:6" s="11" customFormat="1" ht="20.100000000000001" customHeight="1" x14ac:dyDescent="0.25">
      <c r="A11" s="11" t="s">
        <v>463</v>
      </c>
      <c r="B11" s="17">
        <v>-34827</v>
      </c>
      <c r="C11" s="13" t="s">
        <v>467</v>
      </c>
    </row>
    <row r="12" spans="1:6" s="11" customFormat="1" ht="20.100000000000001" customHeight="1" x14ac:dyDescent="0.25">
      <c r="C12" s="13"/>
    </row>
    <row r="13" spans="1:6" s="11" customFormat="1" ht="20.100000000000001" customHeight="1" x14ac:dyDescent="0.25">
      <c r="B13" s="12">
        <f>SUM(B9:B12)</f>
        <v>-150822</v>
      </c>
      <c r="C13" s="13"/>
    </row>
    <row r="14" spans="1:6" s="11" customFormat="1" ht="20.100000000000001" customHeight="1" x14ac:dyDescent="0.25">
      <c r="A14" s="11" t="s">
        <v>2</v>
      </c>
      <c r="B14" s="12"/>
      <c r="C14" s="13"/>
    </row>
    <row r="15" spans="1:6" s="11" customFormat="1" ht="20.100000000000001" customHeight="1" x14ac:dyDescent="0.25">
      <c r="A15" s="11" t="s">
        <v>464</v>
      </c>
      <c r="B15" s="17">
        <v>34927</v>
      </c>
      <c r="C15" s="13" t="s">
        <v>467</v>
      </c>
    </row>
    <row r="16" spans="1:6" s="11" customFormat="1" ht="20.100000000000001" customHeight="1" x14ac:dyDescent="0.25">
      <c r="B16" s="12"/>
      <c r="C16" s="19"/>
      <c r="D16" s="18"/>
      <c r="E16" s="18"/>
      <c r="F16" s="18"/>
    </row>
    <row r="17" spans="1:9" s="11" customFormat="1" ht="20.100000000000001" customHeight="1" x14ac:dyDescent="0.25">
      <c r="B17" s="12"/>
      <c r="C17" s="19"/>
      <c r="D17" s="18"/>
      <c r="E17" s="18"/>
      <c r="F17" s="18"/>
    </row>
    <row r="18" spans="1:9" s="11" customFormat="1" ht="20.100000000000001" customHeight="1" x14ac:dyDescent="0.25">
      <c r="B18" s="12"/>
      <c r="C18" s="13"/>
    </row>
    <row r="19" spans="1:9" s="11" customFormat="1" ht="20.100000000000001" customHeight="1" x14ac:dyDescent="0.25">
      <c r="B19" s="12">
        <f>SUM(B15:B17)</f>
        <v>34927</v>
      </c>
      <c r="C19" s="13"/>
    </row>
    <row r="20" spans="1:9" s="11" customFormat="1" ht="20.100000000000001" customHeight="1" x14ac:dyDescent="0.25">
      <c r="A20" s="15" t="s">
        <v>1</v>
      </c>
      <c r="B20" s="16">
        <f>B19+B13</f>
        <v>-115895</v>
      </c>
      <c r="C20" s="13"/>
    </row>
    <row r="21" spans="1:9" s="11" customFormat="1" ht="20.100000000000001" customHeight="1" x14ac:dyDescent="0.25">
      <c r="A21" s="11" t="s">
        <v>0</v>
      </c>
      <c r="B21" s="12">
        <f>B20-B7</f>
        <v>0</v>
      </c>
      <c r="C21" s="13"/>
    </row>
    <row r="22" spans="1:9" s="11" customFormat="1" ht="20.100000000000001" customHeight="1" x14ac:dyDescent="0.3">
      <c r="A22" s="1"/>
      <c r="B22" s="3"/>
      <c r="C22" s="13"/>
    </row>
    <row r="23" spans="1:9" s="11" customFormat="1" ht="20.100000000000001" customHeight="1" x14ac:dyDescent="0.3">
      <c r="A23" s="1"/>
      <c r="B23" s="3"/>
      <c r="C23" s="13"/>
    </row>
    <row r="24" spans="1:9" s="11" customFormat="1" ht="20.100000000000001" customHeight="1" x14ac:dyDescent="0.3">
      <c r="A24" s="1"/>
      <c r="B24" s="3"/>
      <c r="C24" s="13"/>
    </row>
    <row r="25" spans="1:9" s="11" customFormat="1" ht="20.100000000000001" customHeight="1" x14ac:dyDescent="0.3">
      <c r="A25" s="1"/>
      <c r="B25" s="3"/>
      <c r="C25" s="13"/>
    </row>
    <row r="26" spans="1:9" s="11" customFormat="1" ht="20.100000000000001" customHeight="1" x14ac:dyDescent="0.3">
      <c r="A26" s="1"/>
      <c r="B26" s="3"/>
      <c r="C26" s="13"/>
    </row>
    <row r="27" spans="1:9" s="13" customFormat="1" ht="20.100000000000001" customHeight="1" x14ac:dyDescent="0.3">
      <c r="A27" s="1"/>
      <c r="B27" s="3"/>
      <c r="D27" s="11"/>
      <c r="E27" s="11"/>
      <c r="F27" s="11"/>
      <c r="G27" s="11"/>
      <c r="H27" s="11"/>
      <c r="I27" s="11"/>
    </row>
    <row r="28" spans="1:9" s="13" customFormat="1" ht="20.100000000000001" customHeight="1" x14ac:dyDescent="0.3">
      <c r="A28" s="1"/>
      <c r="B28" s="3"/>
      <c r="D28" s="11"/>
      <c r="E28" s="11"/>
      <c r="F28" s="11"/>
      <c r="G28" s="11"/>
      <c r="H28" s="11"/>
      <c r="I28" s="11"/>
    </row>
    <row r="29" spans="1:9" s="13" customFormat="1" ht="20.100000000000001" customHeight="1" x14ac:dyDescent="0.3">
      <c r="A29" s="1"/>
      <c r="B29" s="3"/>
      <c r="D29" s="11"/>
      <c r="E29" s="11"/>
      <c r="F29" s="11"/>
      <c r="G29" s="11"/>
      <c r="H29" s="11"/>
      <c r="I29" s="11"/>
    </row>
    <row r="30" spans="1:9" ht="20.100000000000001" customHeight="1" x14ac:dyDescent="0.3"/>
    <row r="31" spans="1:9" ht="20.100000000000001" customHeight="1" x14ac:dyDescent="0.3"/>
    <row r="32" spans="1:9" ht="20.100000000000001" customHeight="1" x14ac:dyDescent="0.3"/>
    <row r="33" ht="20.100000000000001" customHeight="1" x14ac:dyDescent="0.3"/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39"/>
  <sheetViews>
    <sheetView workbookViewId="0">
      <selection activeCell="C17" sqref="C17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25.7109375" style="6" customWidth="1"/>
    <col min="4" max="7" width="9.140625" style="1"/>
    <col min="8" max="8" width="17.7109375" style="1" customWidth="1"/>
    <col min="9" max="16384" width="9.140625" style="1"/>
  </cols>
  <sheetData>
    <row r="1" spans="1:3" s="11" customFormat="1" ht="20.100000000000001" customHeight="1" x14ac:dyDescent="0.25">
      <c r="A1" s="11" t="s">
        <v>304</v>
      </c>
      <c r="B1" s="12"/>
      <c r="C1" s="13"/>
    </row>
    <row r="2" spans="1:3" s="11" customFormat="1" ht="20.100000000000001" customHeight="1" x14ac:dyDescent="0.25">
      <c r="A2" s="14">
        <v>43039</v>
      </c>
      <c r="B2" s="12"/>
      <c r="C2" s="13"/>
    </row>
    <row r="3" spans="1:3" s="11" customFormat="1" ht="20.100000000000001" customHeight="1" x14ac:dyDescent="0.25">
      <c r="A3" s="11" t="s">
        <v>311</v>
      </c>
      <c r="B3" s="12">
        <v>11146057.1</v>
      </c>
      <c r="C3" s="13"/>
    </row>
    <row r="4" spans="1:3" s="11" customFormat="1" ht="20.100000000000001" customHeight="1" x14ac:dyDescent="0.25">
      <c r="A4" s="11" t="s">
        <v>6</v>
      </c>
      <c r="B4" s="12"/>
      <c r="C4" s="13"/>
    </row>
    <row r="5" spans="1:3" s="11" customFormat="1" ht="20.100000000000001" customHeight="1" x14ac:dyDescent="0.25">
      <c r="A5" s="11">
        <v>2100</v>
      </c>
      <c r="B5" s="12">
        <v>-11540736.1</v>
      </c>
      <c r="C5" s="13"/>
    </row>
    <row r="6" spans="1:3" s="11" customFormat="1" ht="20.100000000000001" customHeight="1" x14ac:dyDescent="0.25">
      <c r="A6" s="11" t="s">
        <v>5</v>
      </c>
      <c r="B6" s="12">
        <f>SUM(B5:B5)</f>
        <v>-11540736.1</v>
      </c>
      <c r="C6" s="13"/>
    </row>
    <row r="7" spans="1:3" s="11" customFormat="1" ht="20.100000000000001" customHeight="1" x14ac:dyDescent="0.25">
      <c r="A7" s="15" t="s">
        <v>4</v>
      </c>
      <c r="B7" s="16">
        <f>SUM(B3+B6)</f>
        <v>-394679</v>
      </c>
      <c r="C7" s="13"/>
    </row>
    <row r="8" spans="1:3" s="11" customFormat="1" ht="20.100000000000001" customHeight="1" x14ac:dyDescent="0.25">
      <c r="A8" s="11" t="s">
        <v>3</v>
      </c>
      <c r="B8" s="12"/>
      <c r="C8" s="13"/>
    </row>
    <row r="9" spans="1:3" s="11" customFormat="1" ht="20.100000000000001" customHeight="1" x14ac:dyDescent="0.25">
      <c r="A9" s="11" t="s">
        <v>468</v>
      </c>
      <c r="B9" s="12">
        <v>-35428</v>
      </c>
      <c r="C9" s="13" t="s">
        <v>476</v>
      </c>
    </row>
    <row r="10" spans="1:3" s="11" customFormat="1" ht="20.100000000000001" customHeight="1" x14ac:dyDescent="0.25">
      <c r="A10" s="11" t="s">
        <v>469</v>
      </c>
      <c r="B10" s="12">
        <v>-36994</v>
      </c>
      <c r="C10" s="13" t="s">
        <v>476</v>
      </c>
    </row>
    <row r="11" spans="1:3" s="11" customFormat="1" ht="20.100000000000001" customHeight="1" x14ac:dyDescent="0.25">
      <c r="A11" s="11" t="s">
        <v>470</v>
      </c>
      <c r="B11" s="17">
        <v>-41573</v>
      </c>
      <c r="C11" s="13" t="s">
        <v>476</v>
      </c>
    </row>
    <row r="12" spans="1:3" s="11" customFormat="1" ht="20.100000000000001" customHeight="1" x14ac:dyDescent="0.25">
      <c r="A12" s="11" t="s">
        <v>471</v>
      </c>
      <c r="B12" s="17">
        <v>-47833</v>
      </c>
      <c r="C12" s="13" t="s">
        <v>476</v>
      </c>
    </row>
    <row r="13" spans="1:3" s="11" customFormat="1" ht="20.100000000000001" customHeight="1" x14ac:dyDescent="0.25">
      <c r="A13" s="11" t="s">
        <v>472</v>
      </c>
      <c r="B13" s="17">
        <v>-49955</v>
      </c>
      <c r="C13" s="13" t="s">
        <v>476</v>
      </c>
    </row>
    <row r="14" spans="1:3" s="11" customFormat="1" ht="20.100000000000001" customHeight="1" x14ac:dyDescent="0.25">
      <c r="A14" s="11" t="s">
        <v>473</v>
      </c>
      <c r="B14" s="17">
        <v>-50517</v>
      </c>
      <c r="C14" s="13" t="s">
        <v>476</v>
      </c>
    </row>
    <row r="15" spans="1:3" s="11" customFormat="1" ht="20.100000000000001" customHeight="1" x14ac:dyDescent="0.25">
      <c r="A15" s="11" t="s">
        <v>474</v>
      </c>
      <c r="B15" s="17">
        <v>-51839</v>
      </c>
      <c r="C15" s="13" t="s">
        <v>476</v>
      </c>
    </row>
    <row r="16" spans="1:3" s="11" customFormat="1" ht="20.100000000000001" customHeight="1" x14ac:dyDescent="0.25">
      <c r="A16" s="11" t="s">
        <v>475</v>
      </c>
      <c r="B16" s="17">
        <v>-80540</v>
      </c>
      <c r="C16" s="13" t="s">
        <v>476</v>
      </c>
    </row>
    <row r="17" spans="1:6" s="11" customFormat="1" ht="20.100000000000001" customHeight="1" x14ac:dyDescent="0.25">
      <c r="B17" s="17"/>
      <c r="C17" s="13"/>
    </row>
    <row r="18" spans="1:6" s="11" customFormat="1" ht="20.100000000000001" customHeight="1" x14ac:dyDescent="0.25">
      <c r="C18" s="13"/>
    </row>
    <row r="19" spans="1:6" s="11" customFormat="1" ht="20.100000000000001" customHeight="1" x14ac:dyDescent="0.25">
      <c r="B19" s="12">
        <f>SUM(B9:B18)</f>
        <v>-394679</v>
      </c>
      <c r="C19" s="13"/>
    </row>
    <row r="20" spans="1:6" s="11" customFormat="1" ht="20.100000000000001" customHeight="1" x14ac:dyDescent="0.25">
      <c r="A20" s="11" t="s">
        <v>2</v>
      </c>
      <c r="B20" s="12"/>
      <c r="C20" s="13"/>
    </row>
    <row r="21" spans="1:6" s="11" customFormat="1" ht="20.100000000000001" customHeight="1" x14ac:dyDescent="0.25">
      <c r="B21" s="17"/>
      <c r="C21" s="13"/>
    </row>
    <row r="22" spans="1:6" s="11" customFormat="1" ht="20.100000000000001" customHeight="1" x14ac:dyDescent="0.25">
      <c r="B22" s="12"/>
      <c r="C22" s="19"/>
      <c r="D22" s="18"/>
      <c r="E22" s="18"/>
      <c r="F22" s="18"/>
    </row>
    <row r="23" spans="1:6" s="11" customFormat="1" ht="20.100000000000001" customHeight="1" x14ac:dyDescent="0.25">
      <c r="B23" s="12"/>
      <c r="C23" s="19"/>
      <c r="D23" s="18"/>
      <c r="E23" s="18"/>
      <c r="F23" s="18"/>
    </row>
    <row r="24" spans="1:6" s="11" customFormat="1" ht="20.100000000000001" customHeight="1" x14ac:dyDescent="0.25">
      <c r="B24" s="12"/>
      <c r="C24" s="13"/>
    </row>
    <row r="25" spans="1:6" s="11" customFormat="1" ht="20.100000000000001" customHeight="1" x14ac:dyDescent="0.25">
      <c r="B25" s="12">
        <f>SUM(B21:B23)</f>
        <v>0</v>
      </c>
      <c r="C25" s="13"/>
    </row>
    <row r="26" spans="1:6" s="11" customFormat="1" ht="20.100000000000001" customHeight="1" x14ac:dyDescent="0.25">
      <c r="A26" s="15" t="s">
        <v>1</v>
      </c>
      <c r="B26" s="16">
        <f>B25+B19</f>
        <v>-394679</v>
      </c>
      <c r="C26" s="13"/>
    </row>
    <row r="27" spans="1:6" s="11" customFormat="1" ht="20.100000000000001" customHeight="1" x14ac:dyDescent="0.25">
      <c r="A27" s="11" t="s">
        <v>0</v>
      </c>
      <c r="B27" s="12">
        <f>B26-B7</f>
        <v>0</v>
      </c>
      <c r="C27" s="13"/>
    </row>
    <row r="28" spans="1:6" s="11" customFormat="1" ht="20.100000000000001" customHeight="1" x14ac:dyDescent="0.3">
      <c r="A28" s="1"/>
      <c r="B28" s="3"/>
      <c r="C28" s="13"/>
    </row>
    <row r="29" spans="1:6" s="11" customFormat="1" ht="20.100000000000001" customHeight="1" x14ac:dyDescent="0.3">
      <c r="A29" s="1"/>
      <c r="B29" s="3"/>
      <c r="C29" s="13"/>
    </row>
    <row r="30" spans="1:6" s="11" customFormat="1" ht="20.100000000000001" customHeight="1" x14ac:dyDescent="0.3">
      <c r="A30" s="1"/>
      <c r="B30" s="3"/>
      <c r="C30" s="13"/>
    </row>
    <row r="31" spans="1:6" s="11" customFormat="1" ht="20.100000000000001" customHeight="1" x14ac:dyDescent="0.3">
      <c r="A31" s="1"/>
      <c r="B31" s="3"/>
      <c r="C31" s="13"/>
    </row>
    <row r="32" spans="1:6" s="11" customFormat="1" ht="20.100000000000001" customHeight="1" x14ac:dyDescent="0.3">
      <c r="A32" s="1"/>
      <c r="B32" s="3"/>
      <c r="C32" s="13"/>
    </row>
    <row r="33" spans="1:9" s="13" customFormat="1" ht="20.100000000000001" customHeight="1" x14ac:dyDescent="0.3">
      <c r="A33" s="1"/>
      <c r="B33" s="3"/>
      <c r="D33" s="11"/>
      <c r="E33" s="11"/>
      <c r="F33" s="11"/>
      <c r="G33" s="11"/>
      <c r="H33" s="11"/>
      <c r="I33" s="11"/>
    </row>
    <row r="34" spans="1:9" s="13" customFormat="1" ht="20.100000000000001" customHeight="1" x14ac:dyDescent="0.3">
      <c r="A34" s="1"/>
      <c r="B34" s="3"/>
      <c r="D34" s="11"/>
      <c r="E34" s="11"/>
      <c r="F34" s="11"/>
      <c r="G34" s="11"/>
      <c r="H34" s="11"/>
      <c r="I34" s="11"/>
    </row>
    <row r="35" spans="1:9" s="13" customFormat="1" ht="20.100000000000001" customHeight="1" x14ac:dyDescent="0.3">
      <c r="A35" s="1"/>
      <c r="B35" s="3"/>
      <c r="D35" s="11"/>
      <c r="E35" s="11"/>
      <c r="F35" s="11"/>
      <c r="G35" s="11"/>
      <c r="H35" s="11"/>
      <c r="I35" s="11"/>
    </row>
    <row r="36" spans="1:9" ht="20.100000000000001" customHeight="1" x14ac:dyDescent="0.3"/>
    <row r="37" spans="1:9" ht="20.100000000000001" customHeight="1" x14ac:dyDescent="0.3"/>
    <row r="38" spans="1:9" ht="20.100000000000001" customHeight="1" x14ac:dyDescent="0.3"/>
    <row r="39" spans="1:9" ht="20.100000000000001" customHeight="1" x14ac:dyDescent="0.3"/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39"/>
  <sheetViews>
    <sheetView workbookViewId="0">
      <selection activeCell="C17" sqref="C17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25.7109375" style="6" customWidth="1"/>
    <col min="4" max="7" width="9.140625" style="1"/>
    <col min="8" max="8" width="17.7109375" style="1" customWidth="1"/>
    <col min="9" max="16384" width="9.140625" style="1"/>
  </cols>
  <sheetData>
    <row r="1" spans="1:3" s="11" customFormat="1" ht="20.100000000000001" customHeight="1" x14ac:dyDescent="0.25">
      <c r="A1" s="11" t="s">
        <v>304</v>
      </c>
      <c r="B1" s="12"/>
      <c r="C1" s="13"/>
    </row>
    <row r="2" spans="1:3" s="11" customFormat="1" ht="20.100000000000001" customHeight="1" x14ac:dyDescent="0.25">
      <c r="A2" s="14">
        <v>43190</v>
      </c>
      <c r="B2" s="12"/>
      <c r="C2" s="13"/>
    </row>
    <row r="3" spans="1:3" s="11" customFormat="1" ht="20.100000000000001" customHeight="1" x14ac:dyDescent="0.25">
      <c r="A3" s="11" t="s">
        <v>311</v>
      </c>
      <c r="B3" s="12">
        <v>11021058</v>
      </c>
      <c r="C3" s="13"/>
    </row>
    <row r="4" spans="1:3" s="11" customFormat="1" ht="20.100000000000001" customHeight="1" x14ac:dyDescent="0.25">
      <c r="A4" s="11" t="s">
        <v>6</v>
      </c>
      <c r="B4" s="12"/>
      <c r="C4" s="13"/>
    </row>
    <row r="5" spans="1:3" s="11" customFormat="1" ht="20.100000000000001" customHeight="1" x14ac:dyDescent="0.25">
      <c r="A5" s="11">
        <v>2100</v>
      </c>
      <c r="B5" s="12">
        <v>-10852322</v>
      </c>
      <c r="C5" s="13"/>
    </row>
    <row r="6" spans="1:3" s="11" customFormat="1" ht="20.100000000000001" customHeight="1" x14ac:dyDescent="0.25">
      <c r="A6" s="11" t="s">
        <v>5</v>
      </c>
      <c r="B6" s="12">
        <f>SUM(B5:B5)</f>
        <v>-10852322</v>
      </c>
      <c r="C6" s="13"/>
    </row>
    <row r="7" spans="1:3" s="11" customFormat="1" ht="20.100000000000001" customHeight="1" x14ac:dyDescent="0.25">
      <c r="A7" s="15" t="s">
        <v>4</v>
      </c>
      <c r="B7" s="16">
        <f>SUM(B3+B6)</f>
        <v>168736</v>
      </c>
      <c r="C7" s="13"/>
    </row>
    <row r="8" spans="1:3" s="11" customFormat="1" ht="15.95" customHeight="1" x14ac:dyDescent="0.25">
      <c r="A8" s="11" t="s">
        <v>3</v>
      </c>
      <c r="B8" s="12"/>
      <c r="C8" s="13"/>
    </row>
    <row r="9" spans="1:3" s="11" customFormat="1" ht="15.95" customHeight="1" x14ac:dyDescent="0.25">
      <c r="A9" s="11" t="s">
        <v>477</v>
      </c>
      <c r="B9" s="12">
        <v>-38731</v>
      </c>
      <c r="C9" s="13" t="s">
        <v>482</v>
      </c>
    </row>
    <row r="10" spans="1:3" s="11" customFormat="1" ht="15.95" customHeight="1" x14ac:dyDescent="0.25">
      <c r="B10" s="12"/>
      <c r="C10" s="13"/>
    </row>
    <row r="11" spans="1:3" s="11" customFormat="1" ht="15.95" customHeight="1" x14ac:dyDescent="0.25">
      <c r="B11" s="17"/>
      <c r="C11" s="13"/>
    </row>
    <row r="12" spans="1:3" s="11" customFormat="1" ht="15.95" customHeight="1" x14ac:dyDescent="0.25">
      <c r="B12" s="12">
        <f>SUM(B9:B11)</f>
        <v>-38731</v>
      </c>
      <c r="C12" s="13"/>
    </row>
    <row r="13" spans="1:3" s="11" customFormat="1" ht="15.95" customHeight="1" x14ac:dyDescent="0.25">
      <c r="A13" s="11" t="s">
        <v>2</v>
      </c>
      <c r="B13" s="12"/>
      <c r="C13" s="13"/>
    </row>
    <row r="14" spans="1:3" s="11" customFormat="1" ht="15.95" customHeight="1" x14ac:dyDescent="0.25">
      <c r="A14" s="11" t="s">
        <v>486</v>
      </c>
      <c r="B14" s="12">
        <v>20666</v>
      </c>
      <c r="C14" s="13" t="s">
        <v>489</v>
      </c>
    </row>
    <row r="15" spans="1:3" s="11" customFormat="1" ht="15.95" customHeight="1" x14ac:dyDescent="0.25">
      <c r="A15" s="11" t="s">
        <v>487</v>
      </c>
      <c r="B15" s="12">
        <v>22141</v>
      </c>
      <c r="C15" s="13" t="s">
        <v>489</v>
      </c>
    </row>
    <row r="16" spans="1:3" s="11" customFormat="1" ht="15.95" customHeight="1" x14ac:dyDescent="0.25">
      <c r="A16" s="11" t="s">
        <v>488</v>
      </c>
      <c r="B16" s="12">
        <v>22842</v>
      </c>
      <c r="C16" s="13" t="s">
        <v>490</v>
      </c>
    </row>
    <row r="17" spans="1:6" s="11" customFormat="1" ht="15.95" customHeight="1" x14ac:dyDescent="0.25">
      <c r="A17" s="11" t="s">
        <v>478</v>
      </c>
      <c r="B17" s="12">
        <v>24201</v>
      </c>
      <c r="C17" s="13" t="s">
        <v>483</v>
      </c>
    </row>
    <row r="18" spans="1:6" s="11" customFormat="1" ht="15.95" customHeight="1" x14ac:dyDescent="0.25">
      <c r="A18" s="11" t="s">
        <v>479</v>
      </c>
      <c r="B18" s="12">
        <v>38731</v>
      </c>
      <c r="C18" s="13" t="s">
        <v>484</v>
      </c>
    </row>
    <row r="19" spans="1:6" s="11" customFormat="1" ht="15.95" customHeight="1" x14ac:dyDescent="0.25">
      <c r="A19" s="11" t="s">
        <v>480</v>
      </c>
      <c r="B19" s="17">
        <v>39443</v>
      </c>
      <c r="C19" s="13" t="s">
        <v>485</v>
      </c>
    </row>
    <row r="20" spans="1:6" s="11" customFormat="1" ht="15.95" customHeight="1" x14ac:dyDescent="0.25">
      <c r="A20" s="11" t="s">
        <v>481</v>
      </c>
      <c r="B20" s="12">
        <v>39443</v>
      </c>
      <c r="C20" s="19" t="s">
        <v>485</v>
      </c>
      <c r="D20" s="18"/>
      <c r="E20" s="18"/>
      <c r="F20" s="18"/>
    </row>
    <row r="21" spans="1:6" s="11" customFormat="1" ht="15.95" customHeight="1" x14ac:dyDescent="0.25">
      <c r="B21" s="12"/>
      <c r="C21" s="19"/>
      <c r="D21" s="18"/>
      <c r="E21" s="18"/>
      <c r="F21" s="18"/>
    </row>
    <row r="22" spans="1:6" s="11" customFormat="1" ht="15.95" customHeight="1" x14ac:dyDescent="0.25">
      <c r="B22" s="12"/>
      <c r="C22" s="19"/>
    </row>
    <row r="23" spans="1:6" s="11" customFormat="1" ht="15.95" customHeight="1" x14ac:dyDescent="0.25">
      <c r="B23" s="12"/>
      <c r="C23" s="19"/>
    </row>
    <row r="24" spans="1:6" s="11" customFormat="1" ht="15.95" customHeight="1" x14ac:dyDescent="0.25">
      <c r="B24" s="12"/>
      <c r="C24" s="13"/>
    </row>
    <row r="25" spans="1:6" s="11" customFormat="1" ht="15.95" customHeight="1" x14ac:dyDescent="0.25">
      <c r="B25" s="12">
        <f>SUM(B14:B23)</f>
        <v>207467</v>
      </c>
      <c r="C25" s="13"/>
    </row>
    <row r="26" spans="1:6" s="11" customFormat="1" ht="15.95" customHeight="1" x14ac:dyDescent="0.25">
      <c r="A26" s="15" t="s">
        <v>1</v>
      </c>
      <c r="B26" s="16">
        <f>B25+B12</f>
        <v>168736</v>
      </c>
      <c r="C26" s="13"/>
    </row>
    <row r="27" spans="1:6" s="11" customFormat="1" ht="15.95" customHeight="1" x14ac:dyDescent="0.25">
      <c r="A27" s="11" t="s">
        <v>0</v>
      </c>
      <c r="B27" s="12">
        <f>B26-B7</f>
        <v>0</v>
      </c>
      <c r="C27" s="13"/>
    </row>
    <row r="28" spans="1:6" s="11" customFormat="1" ht="20.100000000000001" customHeight="1" x14ac:dyDescent="0.3">
      <c r="A28" s="1"/>
      <c r="B28" s="3"/>
      <c r="C28" s="13"/>
    </row>
    <row r="29" spans="1:6" s="11" customFormat="1" ht="20.100000000000001" customHeight="1" x14ac:dyDescent="0.3">
      <c r="A29" s="1"/>
      <c r="B29" s="3"/>
      <c r="C29" s="13"/>
    </row>
    <row r="30" spans="1:6" s="11" customFormat="1" ht="20.100000000000001" customHeight="1" x14ac:dyDescent="0.3">
      <c r="A30" s="1"/>
      <c r="B30" s="3"/>
      <c r="C30" s="13"/>
    </row>
    <row r="31" spans="1:6" s="11" customFormat="1" ht="20.100000000000001" customHeight="1" x14ac:dyDescent="0.3">
      <c r="A31" s="1"/>
      <c r="B31" s="3"/>
      <c r="C31" s="13"/>
    </row>
    <row r="32" spans="1:6" s="11" customFormat="1" ht="20.100000000000001" customHeight="1" x14ac:dyDescent="0.3">
      <c r="A32" s="1"/>
      <c r="B32" s="3"/>
      <c r="C32" s="13"/>
    </row>
    <row r="33" spans="1:9" s="13" customFormat="1" ht="20.100000000000001" customHeight="1" x14ac:dyDescent="0.3">
      <c r="A33" s="1"/>
      <c r="B33" s="3"/>
      <c r="D33" s="11"/>
      <c r="E33" s="11"/>
      <c r="F33" s="11"/>
      <c r="G33" s="11"/>
      <c r="H33" s="11"/>
      <c r="I33" s="11"/>
    </row>
    <row r="34" spans="1:9" s="13" customFormat="1" ht="20.100000000000001" customHeight="1" x14ac:dyDescent="0.3">
      <c r="A34" s="1"/>
      <c r="B34" s="3"/>
      <c r="D34" s="11"/>
      <c r="E34" s="11"/>
      <c r="F34" s="11"/>
      <c r="G34" s="11"/>
      <c r="H34" s="11"/>
      <c r="I34" s="11"/>
    </row>
    <row r="35" spans="1:9" s="13" customFormat="1" ht="20.100000000000001" customHeight="1" x14ac:dyDescent="0.3">
      <c r="A35" s="1"/>
      <c r="B35" s="3"/>
      <c r="D35" s="11"/>
      <c r="E35" s="11"/>
      <c r="F35" s="11"/>
      <c r="G35" s="11"/>
      <c r="H35" s="11"/>
      <c r="I35" s="11"/>
    </row>
    <row r="36" spans="1:9" ht="20.100000000000001" customHeight="1" x14ac:dyDescent="0.3"/>
    <row r="37" spans="1:9" ht="20.100000000000001" customHeight="1" x14ac:dyDescent="0.3"/>
    <row r="38" spans="1:9" ht="20.100000000000001" customHeight="1" x14ac:dyDescent="0.3"/>
    <row r="39" spans="1:9" ht="20.100000000000001" customHeight="1" x14ac:dyDescent="0.3"/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46"/>
  <sheetViews>
    <sheetView workbookViewId="0">
      <selection activeCell="C15" sqref="C15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25.7109375" style="6" customWidth="1"/>
    <col min="4" max="7" width="9.140625" style="1"/>
    <col min="8" max="8" width="17.7109375" style="1" customWidth="1"/>
    <col min="9" max="16384" width="9.140625" style="1"/>
  </cols>
  <sheetData>
    <row r="1" spans="1:3" s="11" customFormat="1" ht="20.100000000000001" customHeight="1" x14ac:dyDescent="0.25">
      <c r="A1" s="11" t="s">
        <v>304</v>
      </c>
      <c r="B1" s="12"/>
      <c r="C1" s="13"/>
    </row>
    <row r="2" spans="1:3" s="11" customFormat="1" ht="20.100000000000001" customHeight="1" x14ac:dyDescent="0.25">
      <c r="A2" s="14">
        <v>43220</v>
      </c>
      <c r="B2" s="12"/>
      <c r="C2" s="13"/>
    </row>
    <row r="3" spans="1:3" s="11" customFormat="1" ht="20.100000000000001" customHeight="1" x14ac:dyDescent="0.25">
      <c r="A3" s="11" t="s">
        <v>311</v>
      </c>
      <c r="B3" s="12">
        <v>10418391.300000001</v>
      </c>
      <c r="C3" s="13"/>
    </row>
    <row r="4" spans="1:3" s="11" customFormat="1" ht="20.100000000000001" customHeight="1" x14ac:dyDescent="0.25">
      <c r="A4" s="11" t="s">
        <v>6</v>
      </c>
      <c r="B4" s="12"/>
      <c r="C4" s="13"/>
    </row>
    <row r="5" spans="1:3" s="11" customFormat="1" ht="20.100000000000001" customHeight="1" x14ac:dyDescent="0.25">
      <c r="A5" s="11">
        <v>2100</v>
      </c>
      <c r="B5" s="12">
        <v>-10590891.300000001</v>
      </c>
      <c r="C5" s="13"/>
    </row>
    <row r="6" spans="1:3" s="11" customFormat="1" ht="20.100000000000001" customHeight="1" x14ac:dyDescent="0.25">
      <c r="A6" s="11" t="s">
        <v>5</v>
      </c>
      <c r="B6" s="12">
        <f>SUM(B5:B5)</f>
        <v>-10590891.300000001</v>
      </c>
      <c r="C6" s="13"/>
    </row>
    <row r="7" spans="1:3" s="11" customFormat="1" ht="20.100000000000001" customHeight="1" x14ac:dyDescent="0.25">
      <c r="A7" s="15" t="s">
        <v>4</v>
      </c>
      <c r="B7" s="16">
        <f>SUM(B3+B6)</f>
        <v>-172500</v>
      </c>
      <c r="C7" s="13"/>
    </row>
    <row r="8" spans="1:3" s="11" customFormat="1" ht="15.95" customHeight="1" x14ac:dyDescent="0.25">
      <c r="A8" s="11" t="s">
        <v>3</v>
      </c>
      <c r="B8" s="12"/>
      <c r="C8" s="13"/>
    </row>
    <row r="9" spans="1:3" s="11" customFormat="1" ht="15.95" customHeight="1" x14ac:dyDescent="0.25">
      <c r="A9" s="11" t="s">
        <v>491</v>
      </c>
      <c r="B9" s="12">
        <v>-26989</v>
      </c>
      <c r="C9" s="13" t="s">
        <v>497</v>
      </c>
    </row>
    <row r="10" spans="1:3" s="11" customFormat="1" ht="15.95" customHeight="1" x14ac:dyDescent="0.25">
      <c r="A10" s="11" t="s">
        <v>492</v>
      </c>
      <c r="B10" s="12">
        <v>-27541</v>
      </c>
      <c r="C10" s="13" t="s">
        <v>497</v>
      </c>
    </row>
    <row r="11" spans="1:3" s="11" customFormat="1" ht="15.95" customHeight="1" x14ac:dyDescent="0.25">
      <c r="A11" s="11" t="s">
        <v>493</v>
      </c>
      <c r="B11" s="12">
        <v>-27879</v>
      </c>
      <c r="C11" s="13" t="s">
        <v>497</v>
      </c>
    </row>
    <row r="12" spans="1:3" s="11" customFormat="1" ht="15.95" customHeight="1" x14ac:dyDescent="0.25">
      <c r="A12" s="11" t="s">
        <v>494</v>
      </c>
      <c r="B12" s="12">
        <v>-28609</v>
      </c>
      <c r="C12" s="13" t="s">
        <v>497</v>
      </c>
    </row>
    <row r="13" spans="1:3" s="11" customFormat="1" ht="15.95" customHeight="1" x14ac:dyDescent="0.25">
      <c r="A13" s="11" t="s">
        <v>495</v>
      </c>
      <c r="B13" s="12">
        <v>-30120</v>
      </c>
      <c r="C13" s="13" t="s">
        <v>497</v>
      </c>
    </row>
    <row r="14" spans="1:3" s="11" customFormat="1" ht="15.95" customHeight="1" x14ac:dyDescent="0.25">
      <c r="A14" s="11" t="s">
        <v>496</v>
      </c>
      <c r="B14" s="12">
        <v>-31362</v>
      </c>
      <c r="C14" s="13" t="s">
        <v>497</v>
      </c>
    </row>
    <row r="15" spans="1:3" s="11" customFormat="1" ht="15.95" customHeight="1" x14ac:dyDescent="0.25">
      <c r="B15" s="12"/>
      <c r="C15" s="13"/>
    </row>
    <row r="16" spans="1:3" s="11" customFormat="1" ht="15.95" customHeight="1" x14ac:dyDescent="0.25">
      <c r="B16" s="12"/>
      <c r="C16" s="13"/>
    </row>
    <row r="17" spans="1:6" s="11" customFormat="1" ht="15.95" customHeight="1" x14ac:dyDescent="0.25">
      <c r="B17" s="12"/>
      <c r="C17" s="13"/>
    </row>
    <row r="18" spans="1:6" s="11" customFormat="1" ht="15.95" customHeight="1" x14ac:dyDescent="0.25">
      <c r="B18" s="17"/>
      <c r="C18" s="13"/>
    </row>
    <row r="19" spans="1:6" s="11" customFormat="1" ht="15.95" customHeight="1" x14ac:dyDescent="0.25">
      <c r="B19" s="12">
        <f>SUM(B9:B18)</f>
        <v>-172500</v>
      </c>
      <c r="C19" s="13"/>
    </row>
    <row r="20" spans="1:6" s="11" customFormat="1" ht="15.95" customHeight="1" x14ac:dyDescent="0.25">
      <c r="A20" s="11" t="s">
        <v>2</v>
      </c>
      <c r="B20" s="12"/>
      <c r="C20" s="13"/>
    </row>
    <row r="21" spans="1:6" s="11" customFormat="1" ht="15.95" customHeight="1" x14ac:dyDescent="0.25">
      <c r="B21" s="12"/>
      <c r="C21" s="13"/>
    </row>
    <row r="22" spans="1:6" s="11" customFormat="1" ht="15.95" customHeight="1" x14ac:dyDescent="0.25">
      <c r="B22" s="12"/>
      <c r="C22" s="13"/>
    </row>
    <row r="23" spans="1:6" s="11" customFormat="1" ht="15.95" customHeight="1" x14ac:dyDescent="0.25">
      <c r="B23" s="12"/>
      <c r="C23" s="13"/>
    </row>
    <row r="24" spans="1:6" s="11" customFormat="1" ht="15.95" customHeight="1" x14ac:dyDescent="0.25">
      <c r="B24" s="12"/>
      <c r="C24" s="13"/>
    </row>
    <row r="25" spans="1:6" s="11" customFormat="1" ht="15.95" customHeight="1" x14ac:dyDescent="0.25">
      <c r="B25" s="12"/>
      <c r="C25" s="13"/>
    </row>
    <row r="26" spans="1:6" s="11" customFormat="1" ht="15.95" customHeight="1" x14ac:dyDescent="0.25">
      <c r="B26" s="17"/>
      <c r="C26" s="13"/>
    </row>
    <row r="27" spans="1:6" s="11" customFormat="1" ht="15.95" customHeight="1" x14ac:dyDescent="0.25">
      <c r="B27" s="12"/>
      <c r="C27" s="19"/>
      <c r="D27" s="18"/>
      <c r="E27" s="18"/>
      <c r="F27" s="18"/>
    </row>
    <row r="28" spans="1:6" s="11" customFormat="1" ht="15.95" customHeight="1" x14ac:dyDescent="0.25">
      <c r="B28" s="12"/>
      <c r="C28" s="19"/>
      <c r="D28" s="18"/>
      <c r="E28" s="18"/>
      <c r="F28" s="18"/>
    </row>
    <row r="29" spans="1:6" s="11" customFormat="1" ht="15.95" customHeight="1" x14ac:dyDescent="0.25">
      <c r="B29" s="12"/>
      <c r="C29" s="19"/>
    </row>
    <row r="30" spans="1:6" s="11" customFormat="1" ht="15.95" customHeight="1" x14ac:dyDescent="0.25">
      <c r="B30" s="12"/>
      <c r="C30" s="19"/>
    </row>
    <row r="31" spans="1:6" s="11" customFormat="1" ht="15.95" customHeight="1" x14ac:dyDescent="0.25">
      <c r="B31" s="12"/>
      <c r="C31" s="13"/>
    </row>
    <row r="32" spans="1:6" s="11" customFormat="1" ht="15.95" customHeight="1" x14ac:dyDescent="0.25">
      <c r="B32" s="12">
        <f>SUM(B21:B30)</f>
        <v>0</v>
      </c>
      <c r="C32" s="13"/>
    </row>
    <row r="33" spans="1:9" s="11" customFormat="1" ht="15.95" customHeight="1" x14ac:dyDescent="0.25">
      <c r="A33" s="15" t="s">
        <v>1</v>
      </c>
      <c r="B33" s="16">
        <f>B32+B19</f>
        <v>-172500</v>
      </c>
      <c r="C33" s="13"/>
    </row>
    <row r="34" spans="1:9" s="11" customFormat="1" ht="15.95" customHeight="1" x14ac:dyDescent="0.25">
      <c r="A34" s="11" t="s">
        <v>0</v>
      </c>
      <c r="B34" s="12">
        <f>B33-B7</f>
        <v>0</v>
      </c>
      <c r="C34" s="13"/>
    </row>
    <row r="35" spans="1:9" s="11" customFormat="1" ht="20.100000000000001" customHeight="1" x14ac:dyDescent="0.3">
      <c r="A35" s="1"/>
      <c r="B35" s="3"/>
      <c r="C35" s="13"/>
    </row>
    <row r="36" spans="1:9" s="11" customFormat="1" ht="20.100000000000001" customHeight="1" x14ac:dyDescent="0.3">
      <c r="A36" s="1"/>
      <c r="B36" s="3"/>
      <c r="C36" s="13"/>
    </row>
    <row r="37" spans="1:9" s="11" customFormat="1" ht="20.100000000000001" customHeight="1" x14ac:dyDescent="0.3">
      <c r="A37" s="1"/>
      <c r="B37" s="3"/>
      <c r="C37" s="13"/>
    </row>
    <row r="38" spans="1:9" s="11" customFormat="1" ht="20.100000000000001" customHeight="1" x14ac:dyDescent="0.3">
      <c r="A38" s="1"/>
      <c r="B38" s="3"/>
      <c r="C38" s="13"/>
    </row>
    <row r="39" spans="1:9" s="11" customFormat="1" ht="20.100000000000001" customHeight="1" x14ac:dyDescent="0.3">
      <c r="A39" s="1"/>
      <c r="B39" s="3"/>
      <c r="C39" s="13"/>
    </row>
    <row r="40" spans="1:9" s="13" customFormat="1" ht="20.100000000000001" customHeight="1" x14ac:dyDescent="0.3">
      <c r="A40" s="1"/>
      <c r="B40" s="3"/>
      <c r="D40" s="11"/>
      <c r="E40" s="11"/>
      <c r="F40" s="11"/>
      <c r="G40" s="11"/>
      <c r="H40" s="11"/>
      <c r="I40" s="11"/>
    </row>
    <row r="41" spans="1:9" s="13" customFormat="1" ht="20.100000000000001" customHeight="1" x14ac:dyDescent="0.3">
      <c r="A41" s="1"/>
      <c r="B41" s="3"/>
      <c r="D41" s="11"/>
      <c r="E41" s="11"/>
      <c r="F41" s="11"/>
      <c r="G41" s="11"/>
      <c r="H41" s="11"/>
      <c r="I41" s="11"/>
    </row>
    <row r="42" spans="1:9" s="13" customFormat="1" ht="20.100000000000001" customHeight="1" x14ac:dyDescent="0.3">
      <c r="A42" s="1"/>
      <c r="B42" s="3"/>
      <c r="D42" s="11"/>
      <c r="E42" s="11"/>
      <c r="F42" s="11"/>
      <c r="G42" s="11"/>
      <c r="H42" s="11"/>
      <c r="I42" s="11"/>
    </row>
    <row r="43" spans="1:9" ht="20.100000000000001" customHeight="1" x14ac:dyDescent="0.3"/>
    <row r="44" spans="1:9" ht="20.100000000000001" customHeight="1" x14ac:dyDescent="0.3"/>
    <row r="45" spans="1:9" ht="20.100000000000001" customHeight="1" x14ac:dyDescent="0.3"/>
    <row r="46" spans="1:9" ht="20.100000000000001" customHeight="1" x14ac:dyDescent="0.3"/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46"/>
  <sheetViews>
    <sheetView workbookViewId="0">
      <selection activeCell="C8" sqref="C8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25.7109375" style="6" customWidth="1"/>
    <col min="4" max="7" width="9.140625" style="1"/>
    <col min="8" max="8" width="17.7109375" style="1" customWidth="1"/>
    <col min="9" max="16384" width="9.140625" style="1"/>
  </cols>
  <sheetData>
    <row r="1" spans="1:3" s="11" customFormat="1" ht="20.100000000000001" customHeight="1" x14ac:dyDescent="0.25">
      <c r="A1" s="11" t="s">
        <v>304</v>
      </c>
      <c r="B1" s="12"/>
      <c r="C1" s="13"/>
    </row>
    <row r="2" spans="1:3" s="11" customFormat="1" ht="20.100000000000001" customHeight="1" x14ac:dyDescent="0.25">
      <c r="A2" s="14">
        <v>43251</v>
      </c>
      <c r="B2" s="12"/>
      <c r="C2" s="13"/>
    </row>
    <row r="3" spans="1:3" s="11" customFormat="1" ht="20.100000000000001" customHeight="1" x14ac:dyDescent="0.25">
      <c r="A3" s="11" t="s">
        <v>311</v>
      </c>
      <c r="B3" s="12">
        <v>10689578.1</v>
      </c>
      <c r="C3" s="13"/>
    </row>
    <row r="4" spans="1:3" s="11" customFormat="1" ht="20.100000000000001" customHeight="1" x14ac:dyDescent="0.25">
      <c r="A4" s="11" t="s">
        <v>6</v>
      </c>
      <c r="B4" s="12"/>
      <c r="C4" s="13"/>
    </row>
    <row r="5" spans="1:3" s="11" customFormat="1" ht="20.100000000000001" customHeight="1" x14ac:dyDescent="0.25">
      <c r="A5" s="11">
        <v>2100</v>
      </c>
      <c r="B5" s="12">
        <v>-10814609.1</v>
      </c>
      <c r="C5" s="13"/>
    </row>
    <row r="6" spans="1:3" s="11" customFormat="1" ht="20.100000000000001" customHeight="1" x14ac:dyDescent="0.25">
      <c r="A6" s="11" t="s">
        <v>5</v>
      </c>
      <c r="B6" s="12">
        <f>SUM(B5:B5)</f>
        <v>-10814609.1</v>
      </c>
      <c r="C6" s="13"/>
    </row>
    <row r="7" spans="1:3" s="11" customFormat="1" ht="20.100000000000001" customHeight="1" x14ac:dyDescent="0.25">
      <c r="A7" s="15" t="s">
        <v>4</v>
      </c>
      <c r="B7" s="16">
        <f>SUM(B3+B6)</f>
        <v>-125031</v>
      </c>
      <c r="C7" s="13"/>
    </row>
    <row r="8" spans="1:3" s="11" customFormat="1" ht="15.95" customHeight="1" x14ac:dyDescent="0.25">
      <c r="A8" s="11" t="s">
        <v>3</v>
      </c>
      <c r="B8" s="12"/>
      <c r="C8" s="13"/>
    </row>
    <row r="9" spans="1:3" s="11" customFormat="1" ht="15.95" customHeight="1" x14ac:dyDescent="0.25">
      <c r="A9" s="11" t="s">
        <v>498</v>
      </c>
      <c r="B9" s="12">
        <v>-23302</v>
      </c>
      <c r="C9" s="13" t="s">
        <v>503</v>
      </c>
    </row>
    <row r="10" spans="1:3" s="11" customFormat="1" ht="15.95" customHeight="1" x14ac:dyDescent="0.25">
      <c r="A10" s="11" t="s">
        <v>499</v>
      </c>
      <c r="B10" s="12">
        <v>-37416</v>
      </c>
      <c r="C10" s="13" t="s">
        <v>503</v>
      </c>
    </row>
    <row r="11" spans="1:3" s="11" customFormat="1" ht="15.95" customHeight="1" x14ac:dyDescent="0.25">
      <c r="A11" s="11" t="s">
        <v>500</v>
      </c>
      <c r="B11" s="12">
        <v>-48551</v>
      </c>
      <c r="C11" s="13" t="s">
        <v>503</v>
      </c>
    </row>
    <row r="12" spans="1:3" s="11" customFormat="1" ht="15.95" customHeight="1" x14ac:dyDescent="0.25">
      <c r="A12" s="11" t="s">
        <v>501</v>
      </c>
      <c r="B12" s="12">
        <v>-48735</v>
      </c>
      <c r="C12" s="13" t="s">
        <v>503</v>
      </c>
    </row>
    <row r="13" spans="1:3" s="11" customFormat="1" ht="15.95" customHeight="1" x14ac:dyDescent="0.25">
      <c r="B13" s="12"/>
      <c r="C13" s="13"/>
    </row>
    <row r="14" spans="1:3" s="11" customFormat="1" ht="15.95" customHeight="1" x14ac:dyDescent="0.25">
      <c r="B14" s="12"/>
      <c r="C14" s="13"/>
    </row>
    <row r="15" spans="1:3" s="11" customFormat="1" ht="15.95" customHeight="1" x14ac:dyDescent="0.25">
      <c r="B15" s="12"/>
      <c r="C15" s="13"/>
    </row>
    <row r="16" spans="1:3" s="11" customFormat="1" ht="15.95" customHeight="1" x14ac:dyDescent="0.25">
      <c r="B16" s="12"/>
      <c r="C16" s="13"/>
    </row>
    <row r="17" spans="1:6" s="11" customFormat="1" ht="15.95" customHeight="1" x14ac:dyDescent="0.25">
      <c r="B17" s="12"/>
      <c r="C17" s="13"/>
    </row>
    <row r="18" spans="1:6" s="11" customFormat="1" ht="15.95" customHeight="1" x14ac:dyDescent="0.25">
      <c r="B18" s="17"/>
      <c r="C18" s="13"/>
    </row>
    <row r="19" spans="1:6" s="11" customFormat="1" ht="15.95" customHeight="1" x14ac:dyDescent="0.25">
      <c r="B19" s="12">
        <f>SUM(B9:B18)</f>
        <v>-158004</v>
      </c>
      <c r="C19" s="13"/>
    </row>
    <row r="20" spans="1:6" s="11" customFormat="1" ht="15.95" customHeight="1" x14ac:dyDescent="0.25">
      <c r="A20" s="11" t="s">
        <v>2</v>
      </c>
      <c r="B20" s="12"/>
      <c r="C20" s="13"/>
    </row>
    <row r="21" spans="1:6" s="11" customFormat="1" ht="15.95" customHeight="1" x14ac:dyDescent="0.25">
      <c r="A21" s="11" t="s">
        <v>502</v>
      </c>
      <c r="B21" s="12">
        <v>32973</v>
      </c>
      <c r="C21" s="13" t="s">
        <v>504</v>
      </c>
    </row>
    <row r="22" spans="1:6" s="11" customFormat="1" ht="15.95" customHeight="1" x14ac:dyDescent="0.25">
      <c r="B22" s="12"/>
      <c r="C22" s="13"/>
    </row>
    <row r="23" spans="1:6" s="11" customFormat="1" ht="15.95" customHeight="1" x14ac:dyDescent="0.25">
      <c r="B23" s="12"/>
      <c r="C23" s="13"/>
    </row>
    <row r="24" spans="1:6" s="11" customFormat="1" ht="15.95" customHeight="1" x14ac:dyDescent="0.25">
      <c r="B24" s="12"/>
      <c r="C24" s="13"/>
    </row>
    <row r="25" spans="1:6" s="11" customFormat="1" ht="15.95" customHeight="1" x14ac:dyDescent="0.25">
      <c r="B25" s="12"/>
      <c r="C25" s="13"/>
    </row>
    <row r="26" spans="1:6" s="11" customFormat="1" ht="15.95" customHeight="1" x14ac:dyDescent="0.25">
      <c r="B26" s="17"/>
      <c r="C26" s="13"/>
    </row>
    <row r="27" spans="1:6" s="11" customFormat="1" ht="15.95" customHeight="1" x14ac:dyDescent="0.25">
      <c r="B27" s="12"/>
      <c r="C27" s="19"/>
      <c r="D27" s="18"/>
      <c r="E27" s="18"/>
      <c r="F27" s="18"/>
    </row>
    <row r="28" spans="1:6" s="11" customFormat="1" ht="15.95" customHeight="1" x14ac:dyDescent="0.25">
      <c r="B28" s="12"/>
      <c r="C28" s="19"/>
      <c r="D28" s="18"/>
      <c r="E28" s="18"/>
      <c r="F28" s="18"/>
    </row>
    <row r="29" spans="1:6" s="11" customFormat="1" ht="15.95" customHeight="1" x14ac:dyDescent="0.25">
      <c r="B29" s="12"/>
      <c r="C29" s="19"/>
    </row>
    <row r="30" spans="1:6" s="11" customFormat="1" ht="15.95" customHeight="1" x14ac:dyDescent="0.25">
      <c r="B30" s="12"/>
      <c r="C30" s="19"/>
    </row>
    <row r="31" spans="1:6" s="11" customFormat="1" ht="15.95" customHeight="1" x14ac:dyDescent="0.25">
      <c r="B31" s="12"/>
      <c r="C31" s="13"/>
    </row>
    <row r="32" spans="1:6" s="11" customFormat="1" ht="15.95" customHeight="1" x14ac:dyDescent="0.25">
      <c r="B32" s="12">
        <f>SUM(B21:B30)</f>
        <v>32973</v>
      </c>
      <c r="C32" s="13"/>
    </row>
    <row r="33" spans="1:9" s="11" customFormat="1" ht="15.95" customHeight="1" x14ac:dyDescent="0.25">
      <c r="A33" s="15" t="s">
        <v>1</v>
      </c>
      <c r="B33" s="16">
        <f>B32+B19</f>
        <v>-125031</v>
      </c>
      <c r="C33" s="13"/>
    </row>
    <row r="34" spans="1:9" s="11" customFormat="1" ht="15.95" customHeight="1" x14ac:dyDescent="0.25">
      <c r="A34" s="11" t="s">
        <v>0</v>
      </c>
      <c r="B34" s="12">
        <f>B33-B7</f>
        <v>0</v>
      </c>
      <c r="C34" s="13"/>
    </row>
    <row r="35" spans="1:9" s="11" customFormat="1" ht="20.100000000000001" customHeight="1" x14ac:dyDescent="0.3">
      <c r="A35" s="1"/>
      <c r="B35" s="3"/>
      <c r="C35" s="13"/>
    </row>
    <row r="36" spans="1:9" s="11" customFormat="1" ht="20.100000000000001" customHeight="1" x14ac:dyDescent="0.3">
      <c r="A36" s="1"/>
      <c r="B36" s="3"/>
      <c r="C36" s="13"/>
    </row>
    <row r="37" spans="1:9" s="11" customFormat="1" ht="20.100000000000001" customHeight="1" x14ac:dyDescent="0.3">
      <c r="A37" s="1"/>
      <c r="B37" s="3"/>
      <c r="C37" s="13"/>
    </row>
    <row r="38" spans="1:9" s="11" customFormat="1" ht="20.100000000000001" customHeight="1" x14ac:dyDescent="0.3">
      <c r="A38" s="1"/>
      <c r="B38" s="3"/>
      <c r="C38" s="13"/>
    </row>
    <row r="39" spans="1:9" s="11" customFormat="1" ht="20.100000000000001" customHeight="1" x14ac:dyDescent="0.3">
      <c r="A39" s="1"/>
      <c r="B39" s="3"/>
      <c r="C39" s="13"/>
    </row>
    <row r="40" spans="1:9" s="13" customFormat="1" ht="20.100000000000001" customHeight="1" x14ac:dyDescent="0.3">
      <c r="A40" s="1"/>
      <c r="B40" s="3"/>
      <c r="D40" s="11"/>
      <c r="E40" s="11"/>
      <c r="F40" s="11"/>
      <c r="G40" s="11"/>
      <c r="H40" s="11"/>
      <c r="I40" s="11"/>
    </row>
    <row r="41" spans="1:9" s="13" customFormat="1" ht="20.100000000000001" customHeight="1" x14ac:dyDescent="0.3">
      <c r="A41" s="1"/>
      <c r="B41" s="3"/>
      <c r="D41" s="11"/>
      <c r="E41" s="11"/>
      <c r="F41" s="11"/>
      <c r="G41" s="11"/>
      <c r="H41" s="11"/>
      <c r="I41" s="11"/>
    </row>
    <row r="42" spans="1:9" s="13" customFormat="1" ht="20.100000000000001" customHeight="1" x14ac:dyDescent="0.3">
      <c r="A42" s="1"/>
      <c r="B42" s="3"/>
      <c r="D42" s="11"/>
      <c r="E42" s="11"/>
      <c r="F42" s="11"/>
      <c r="G42" s="11"/>
      <c r="H42" s="11"/>
      <c r="I42" s="11"/>
    </row>
    <row r="43" spans="1:9" ht="20.100000000000001" customHeight="1" x14ac:dyDescent="0.3"/>
    <row r="44" spans="1:9" ht="20.100000000000001" customHeight="1" x14ac:dyDescent="0.3"/>
    <row r="45" spans="1:9" ht="20.100000000000001" customHeight="1" x14ac:dyDescent="0.3"/>
    <row r="46" spans="1:9" ht="20.100000000000001" customHeight="1" x14ac:dyDescent="0.3"/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46"/>
  <sheetViews>
    <sheetView workbookViewId="0">
      <selection activeCell="C10" sqref="C10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25.7109375" style="6" customWidth="1"/>
    <col min="4" max="7" width="9.140625" style="1"/>
    <col min="8" max="8" width="17.7109375" style="1" customWidth="1"/>
    <col min="9" max="16384" width="9.140625" style="1"/>
  </cols>
  <sheetData>
    <row r="1" spans="1:3" s="11" customFormat="1" ht="20.100000000000001" customHeight="1" x14ac:dyDescent="0.25">
      <c r="A1" s="11" t="s">
        <v>304</v>
      </c>
      <c r="B1" s="12"/>
      <c r="C1" s="13"/>
    </row>
    <row r="2" spans="1:3" s="11" customFormat="1" ht="20.100000000000001" customHeight="1" x14ac:dyDescent="0.25">
      <c r="A2" s="14">
        <v>43281</v>
      </c>
      <c r="B2" s="12"/>
      <c r="C2" s="13"/>
    </row>
    <row r="3" spans="1:3" s="11" customFormat="1" ht="20.100000000000001" customHeight="1" x14ac:dyDescent="0.25">
      <c r="A3" s="11" t="s">
        <v>311</v>
      </c>
      <c r="B3" s="12">
        <v>10300873.9</v>
      </c>
      <c r="C3" s="13"/>
    </row>
    <row r="4" spans="1:3" s="11" customFormat="1" ht="20.100000000000001" customHeight="1" x14ac:dyDescent="0.25">
      <c r="A4" s="11" t="s">
        <v>6</v>
      </c>
      <c r="B4" s="12"/>
      <c r="C4" s="13"/>
    </row>
    <row r="5" spans="1:3" s="11" customFormat="1" ht="20.100000000000001" customHeight="1" x14ac:dyDescent="0.25">
      <c r="A5" s="11">
        <v>2100</v>
      </c>
      <c r="B5" s="12">
        <v>-10348372.9</v>
      </c>
      <c r="C5" s="13"/>
    </row>
    <row r="6" spans="1:3" s="11" customFormat="1" ht="20.100000000000001" customHeight="1" x14ac:dyDescent="0.25">
      <c r="A6" s="11" t="s">
        <v>5</v>
      </c>
      <c r="B6" s="12">
        <f>SUM(B5:B5)</f>
        <v>-10348372.9</v>
      </c>
      <c r="C6" s="13"/>
    </row>
    <row r="7" spans="1:3" s="11" customFormat="1" ht="20.100000000000001" customHeight="1" x14ac:dyDescent="0.25">
      <c r="A7" s="15" t="s">
        <v>4</v>
      </c>
      <c r="B7" s="16">
        <f>SUM(B3+B6)</f>
        <v>-47499</v>
      </c>
      <c r="C7" s="13"/>
    </row>
    <row r="8" spans="1:3" s="11" customFormat="1" ht="15.95" customHeight="1" x14ac:dyDescent="0.25">
      <c r="A8" s="11" t="s">
        <v>3</v>
      </c>
      <c r="B8" s="12"/>
      <c r="C8" s="13"/>
    </row>
    <row r="9" spans="1:3" s="11" customFormat="1" ht="15.95" customHeight="1" x14ac:dyDescent="0.25">
      <c r="A9" s="11" t="s">
        <v>505</v>
      </c>
      <c r="B9" s="12">
        <v>-47499</v>
      </c>
      <c r="C9" s="13" t="s">
        <v>506</v>
      </c>
    </row>
    <row r="10" spans="1:3" s="11" customFormat="1" ht="15.95" customHeight="1" x14ac:dyDescent="0.25">
      <c r="B10" s="12"/>
      <c r="C10" s="13"/>
    </row>
    <row r="11" spans="1:3" s="11" customFormat="1" ht="15.95" customHeight="1" x14ac:dyDescent="0.25">
      <c r="B11" s="12"/>
      <c r="C11" s="13"/>
    </row>
    <row r="12" spans="1:3" s="11" customFormat="1" ht="15.95" customHeight="1" x14ac:dyDescent="0.25">
      <c r="B12" s="12"/>
      <c r="C12" s="13"/>
    </row>
    <row r="13" spans="1:3" s="11" customFormat="1" ht="15.95" customHeight="1" x14ac:dyDescent="0.25">
      <c r="B13" s="12"/>
      <c r="C13" s="13"/>
    </row>
    <row r="14" spans="1:3" s="11" customFormat="1" ht="15.95" customHeight="1" x14ac:dyDescent="0.25">
      <c r="B14" s="12"/>
      <c r="C14" s="13"/>
    </row>
    <row r="15" spans="1:3" s="11" customFormat="1" ht="15.95" customHeight="1" x14ac:dyDescent="0.25">
      <c r="B15" s="12"/>
      <c r="C15" s="13"/>
    </row>
    <row r="16" spans="1:3" s="11" customFormat="1" ht="15.95" customHeight="1" x14ac:dyDescent="0.25">
      <c r="B16" s="12"/>
      <c r="C16" s="13"/>
    </row>
    <row r="17" spans="1:6" s="11" customFormat="1" ht="15.95" customHeight="1" x14ac:dyDescent="0.25">
      <c r="B17" s="12"/>
      <c r="C17" s="13"/>
    </row>
    <row r="18" spans="1:6" s="11" customFormat="1" ht="15.95" customHeight="1" x14ac:dyDescent="0.25">
      <c r="B18" s="17"/>
      <c r="C18" s="13"/>
    </row>
    <row r="19" spans="1:6" s="11" customFormat="1" ht="15.95" customHeight="1" x14ac:dyDescent="0.25">
      <c r="B19" s="12">
        <f>SUM(B9:B18)</f>
        <v>-47499</v>
      </c>
      <c r="C19" s="13"/>
    </row>
    <row r="20" spans="1:6" s="11" customFormat="1" ht="15.95" customHeight="1" x14ac:dyDescent="0.25">
      <c r="A20" s="11" t="s">
        <v>2</v>
      </c>
      <c r="B20" s="12"/>
      <c r="C20" s="13"/>
    </row>
    <row r="21" spans="1:6" s="11" customFormat="1" ht="15.95" customHeight="1" x14ac:dyDescent="0.25">
      <c r="B21" s="12"/>
      <c r="C21" s="13"/>
    </row>
    <row r="22" spans="1:6" s="11" customFormat="1" ht="15.95" customHeight="1" x14ac:dyDescent="0.25">
      <c r="B22" s="12"/>
      <c r="C22" s="13"/>
    </row>
    <row r="23" spans="1:6" s="11" customFormat="1" ht="15.95" customHeight="1" x14ac:dyDescent="0.25">
      <c r="B23" s="12"/>
      <c r="C23" s="13"/>
    </row>
    <row r="24" spans="1:6" s="11" customFormat="1" ht="15.95" customHeight="1" x14ac:dyDescent="0.25">
      <c r="B24" s="12"/>
      <c r="C24" s="13"/>
    </row>
    <row r="25" spans="1:6" s="11" customFormat="1" ht="15.95" customHeight="1" x14ac:dyDescent="0.25">
      <c r="B25" s="12"/>
      <c r="C25" s="13"/>
    </row>
    <row r="26" spans="1:6" s="11" customFormat="1" ht="15.95" customHeight="1" x14ac:dyDescent="0.25">
      <c r="B26" s="17"/>
      <c r="C26" s="13"/>
    </row>
    <row r="27" spans="1:6" s="11" customFormat="1" ht="15.95" customHeight="1" x14ac:dyDescent="0.25">
      <c r="B27" s="12"/>
      <c r="C27" s="19"/>
      <c r="D27" s="18"/>
      <c r="E27" s="18"/>
      <c r="F27" s="18"/>
    </row>
    <row r="28" spans="1:6" s="11" customFormat="1" ht="15.95" customHeight="1" x14ac:dyDescent="0.25">
      <c r="B28" s="12"/>
      <c r="C28" s="19"/>
      <c r="D28" s="18"/>
      <c r="E28" s="18"/>
      <c r="F28" s="18"/>
    </row>
    <row r="29" spans="1:6" s="11" customFormat="1" ht="15.95" customHeight="1" x14ac:dyDescent="0.25">
      <c r="B29" s="12"/>
      <c r="C29" s="19"/>
    </row>
    <row r="30" spans="1:6" s="11" customFormat="1" ht="15.95" customHeight="1" x14ac:dyDescent="0.25">
      <c r="B30" s="12"/>
      <c r="C30" s="19"/>
    </row>
    <row r="31" spans="1:6" s="11" customFormat="1" ht="15.95" customHeight="1" x14ac:dyDescent="0.25">
      <c r="B31" s="12"/>
      <c r="C31" s="13"/>
    </row>
    <row r="32" spans="1:6" s="11" customFormat="1" ht="15.95" customHeight="1" x14ac:dyDescent="0.25">
      <c r="B32" s="12">
        <f>SUM(B21:B30)</f>
        <v>0</v>
      </c>
      <c r="C32" s="13"/>
    </row>
    <row r="33" spans="1:9" s="11" customFormat="1" ht="15.95" customHeight="1" x14ac:dyDescent="0.25">
      <c r="A33" s="15" t="s">
        <v>1</v>
      </c>
      <c r="B33" s="16">
        <f>B32+B19</f>
        <v>-47499</v>
      </c>
      <c r="C33" s="13"/>
    </row>
    <row r="34" spans="1:9" s="11" customFormat="1" ht="15.95" customHeight="1" x14ac:dyDescent="0.25">
      <c r="A34" s="11" t="s">
        <v>0</v>
      </c>
      <c r="B34" s="12">
        <f>B33-B7</f>
        <v>0</v>
      </c>
      <c r="C34" s="13"/>
    </row>
    <row r="35" spans="1:9" s="11" customFormat="1" ht="20.100000000000001" customHeight="1" x14ac:dyDescent="0.3">
      <c r="A35" s="1"/>
      <c r="B35" s="3"/>
      <c r="C35" s="13"/>
    </row>
    <row r="36" spans="1:9" s="11" customFormat="1" ht="20.100000000000001" customHeight="1" x14ac:dyDescent="0.3">
      <c r="A36" s="1"/>
      <c r="B36" s="3"/>
      <c r="C36" s="13"/>
    </row>
    <row r="37" spans="1:9" s="11" customFormat="1" ht="20.100000000000001" customHeight="1" x14ac:dyDescent="0.3">
      <c r="A37" s="1"/>
      <c r="B37" s="3"/>
      <c r="C37" s="13"/>
    </row>
    <row r="38" spans="1:9" s="11" customFormat="1" ht="20.100000000000001" customHeight="1" x14ac:dyDescent="0.3">
      <c r="A38" s="1"/>
      <c r="B38" s="3"/>
      <c r="C38" s="13"/>
    </row>
    <row r="39" spans="1:9" s="11" customFormat="1" ht="20.100000000000001" customHeight="1" x14ac:dyDescent="0.3">
      <c r="A39" s="1"/>
      <c r="B39" s="3"/>
      <c r="C39" s="13"/>
    </row>
    <row r="40" spans="1:9" s="13" customFormat="1" ht="20.100000000000001" customHeight="1" x14ac:dyDescent="0.3">
      <c r="A40" s="1"/>
      <c r="B40" s="3"/>
      <c r="D40" s="11"/>
      <c r="E40" s="11"/>
      <c r="F40" s="11"/>
      <c r="G40" s="11"/>
      <c r="H40" s="11"/>
      <c r="I40" s="11"/>
    </row>
    <row r="41" spans="1:9" s="13" customFormat="1" ht="20.100000000000001" customHeight="1" x14ac:dyDescent="0.3">
      <c r="A41" s="1"/>
      <c r="B41" s="3"/>
      <c r="D41" s="11"/>
      <c r="E41" s="11"/>
      <c r="F41" s="11"/>
      <c r="G41" s="11"/>
      <c r="H41" s="11"/>
      <c r="I41" s="11"/>
    </row>
    <row r="42" spans="1:9" s="13" customFormat="1" ht="20.100000000000001" customHeight="1" x14ac:dyDescent="0.3">
      <c r="A42" s="1"/>
      <c r="B42" s="3"/>
      <c r="D42" s="11"/>
      <c r="E42" s="11"/>
      <c r="F42" s="11"/>
      <c r="G42" s="11"/>
      <c r="H42" s="11"/>
      <c r="I42" s="11"/>
    </row>
    <row r="43" spans="1:9" ht="20.100000000000001" customHeight="1" x14ac:dyDescent="0.3"/>
    <row r="44" spans="1:9" ht="20.100000000000001" customHeight="1" x14ac:dyDescent="0.3"/>
    <row r="45" spans="1:9" ht="20.100000000000001" customHeight="1" x14ac:dyDescent="0.3"/>
    <row r="46" spans="1:9" ht="20.100000000000001" customHeight="1" x14ac:dyDescent="0.3"/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50"/>
  <sheetViews>
    <sheetView workbookViewId="0">
      <selection activeCell="E11" sqref="E11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25.7109375" style="6" customWidth="1"/>
    <col min="4" max="7" width="9.140625" style="1"/>
    <col min="8" max="8" width="17.7109375" style="1" customWidth="1"/>
    <col min="9" max="16384" width="9.140625" style="1"/>
  </cols>
  <sheetData>
    <row r="1" spans="1:3" s="11" customFormat="1" ht="20.100000000000001" customHeight="1" x14ac:dyDescent="0.25">
      <c r="A1" s="11" t="s">
        <v>304</v>
      </c>
      <c r="B1" s="12"/>
      <c r="C1" s="13"/>
    </row>
    <row r="2" spans="1:3" s="11" customFormat="1" ht="20.100000000000001" customHeight="1" x14ac:dyDescent="0.25">
      <c r="A2" s="14">
        <v>43312</v>
      </c>
      <c r="B2" s="12"/>
      <c r="C2" s="13"/>
    </row>
    <row r="3" spans="1:3" s="11" customFormat="1" ht="20.100000000000001" customHeight="1" x14ac:dyDescent="0.25">
      <c r="A3" s="11" t="s">
        <v>311</v>
      </c>
      <c r="B3" s="12">
        <v>10249997.199999999</v>
      </c>
      <c r="C3" s="13"/>
    </row>
    <row r="4" spans="1:3" s="11" customFormat="1" ht="20.100000000000001" customHeight="1" x14ac:dyDescent="0.25">
      <c r="A4" s="11" t="s">
        <v>6</v>
      </c>
      <c r="B4" s="12"/>
      <c r="C4" s="13"/>
    </row>
    <row r="5" spans="1:3" s="11" customFormat="1" ht="20.100000000000001" customHeight="1" x14ac:dyDescent="0.25">
      <c r="A5" s="11">
        <v>2100</v>
      </c>
      <c r="B5" s="12">
        <v>-10373707.199999999</v>
      </c>
      <c r="C5" s="13"/>
    </row>
    <row r="6" spans="1:3" s="11" customFormat="1" ht="20.100000000000001" customHeight="1" x14ac:dyDescent="0.25">
      <c r="A6" s="11" t="s">
        <v>5</v>
      </c>
      <c r="B6" s="12">
        <f>SUM(B5:B5)</f>
        <v>-10373707.199999999</v>
      </c>
      <c r="C6" s="13"/>
    </row>
    <row r="7" spans="1:3" s="11" customFormat="1" ht="20.100000000000001" customHeight="1" x14ac:dyDescent="0.25">
      <c r="A7" s="15" t="s">
        <v>4</v>
      </c>
      <c r="B7" s="16">
        <f>SUM(B3+B6)</f>
        <v>-123710</v>
      </c>
      <c r="C7" s="13"/>
    </row>
    <row r="8" spans="1:3" s="11" customFormat="1" ht="15.95" customHeight="1" x14ac:dyDescent="0.25">
      <c r="A8" s="11" t="s">
        <v>3</v>
      </c>
      <c r="B8" s="12"/>
      <c r="C8" s="13"/>
    </row>
    <row r="9" spans="1:3" s="11" customFormat="1" ht="15.95" customHeight="1" x14ac:dyDescent="0.25">
      <c r="A9" s="11" t="s">
        <v>507</v>
      </c>
      <c r="B9" s="12">
        <v>-28295</v>
      </c>
      <c r="C9" s="13" t="s">
        <v>528</v>
      </c>
    </row>
    <row r="10" spans="1:3" s="11" customFormat="1" ht="15.95" customHeight="1" x14ac:dyDescent="0.25">
      <c r="A10" s="11" t="s">
        <v>508</v>
      </c>
      <c r="B10" s="12">
        <v>-31277</v>
      </c>
      <c r="C10" s="13" t="s">
        <v>528</v>
      </c>
    </row>
    <row r="11" spans="1:3" s="11" customFormat="1" ht="15.95" customHeight="1" x14ac:dyDescent="0.25">
      <c r="A11" s="11" t="s">
        <v>509</v>
      </c>
      <c r="B11" s="12">
        <v>-31277</v>
      </c>
      <c r="C11" s="13" t="s">
        <v>528</v>
      </c>
    </row>
    <row r="12" spans="1:3" s="11" customFormat="1" ht="15.95" customHeight="1" x14ac:dyDescent="0.25">
      <c r="A12" s="11" t="s">
        <v>510</v>
      </c>
      <c r="B12" s="12">
        <v>-31429</v>
      </c>
      <c r="C12" s="13" t="s">
        <v>528</v>
      </c>
    </row>
    <row r="13" spans="1:3" s="11" customFormat="1" ht="15.95" customHeight="1" x14ac:dyDescent="0.25">
      <c r="A13" s="11" t="s">
        <v>511</v>
      </c>
      <c r="B13" s="12">
        <v>-31429</v>
      </c>
      <c r="C13" s="13" t="s">
        <v>528</v>
      </c>
    </row>
    <row r="14" spans="1:3" s="11" customFormat="1" ht="15.95" customHeight="1" x14ac:dyDescent="0.25">
      <c r="A14" s="11" t="s">
        <v>512</v>
      </c>
      <c r="B14" s="12">
        <v>-31429</v>
      </c>
      <c r="C14" s="13" t="s">
        <v>528</v>
      </c>
    </row>
    <row r="15" spans="1:3" s="11" customFormat="1" ht="15.95" customHeight="1" x14ac:dyDescent="0.25">
      <c r="A15" s="11" t="s">
        <v>513</v>
      </c>
      <c r="B15" s="12">
        <v>-32892</v>
      </c>
      <c r="C15" s="13" t="s">
        <v>531</v>
      </c>
    </row>
    <row r="16" spans="1:3" s="11" customFormat="1" ht="15.95" customHeight="1" x14ac:dyDescent="0.25">
      <c r="A16" s="11" t="s">
        <v>514</v>
      </c>
      <c r="B16" s="12">
        <v>-33876</v>
      </c>
      <c r="C16" s="13" t="s">
        <v>449</v>
      </c>
    </row>
    <row r="17" spans="1:6" s="11" customFormat="1" ht="15.95" customHeight="1" x14ac:dyDescent="0.25">
      <c r="A17" s="11" t="s">
        <v>515</v>
      </c>
      <c r="B17" s="12">
        <v>-36231</v>
      </c>
      <c r="C17" s="13" t="s">
        <v>528</v>
      </c>
    </row>
    <row r="18" spans="1:6" s="11" customFormat="1" ht="15.95" customHeight="1" x14ac:dyDescent="0.25">
      <c r="A18" s="11" t="s">
        <v>516</v>
      </c>
      <c r="B18" s="12">
        <v>-37517</v>
      </c>
      <c r="C18" s="13" t="s">
        <v>528</v>
      </c>
    </row>
    <row r="19" spans="1:6" s="11" customFormat="1" ht="15.95" customHeight="1" x14ac:dyDescent="0.25">
      <c r="A19" s="11" t="s">
        <v>517</v>
      </c>
      <c r="B19" s="12">
        <v>-37865</v>
      </c>
      <c r="C19" s="13" t="s">
        <v>531</v>
      </c>
    </row>
    <row r="20" spans="1:6" s="11" customFormat="1" ht="15.95" customHeight="1" x14ac:dyDescent="0.25">
      <c r="A20" s="11" t="s">
        <v>518</v>
      </c>
      <c r="B20" s="12">
        <v>-39326</v>
      </c>
      <c r="C20" s="13" t="s">
        <v>531</v>
      </c>
    </row>
    <row r="21" spans="1:6" s="11" customFormat="1" ht="15.95" customHeight="1" x14ac:dyDescent="0.25">
      <c r="A21" s="11" t="s">
        <v>519</v>
      </c>
      <c r="B21" s="12">
        <v>-55474</v>
      </c>
      <c r="C21" s="13" t="s">
        <v>531</v>
      </c>
    </row>
    <row r="22" spans="1:6" s="11" customFormat="1" ht="15.95" customHeight="1" x14ac:dyDescent="0.25">
      <c r="B22" s="17"/>
      <c r="C22" s="13"/>
    </row>
    <row r="23" spans="1:6" s="11" customFormat="1" ht="15.95" customHeight="1" x14ac:dyDescent="0.25">
      <c r="B23" s="12">
        <f>SUM(B9:B22)</f>
        <v>-458317</v>
      </c>
      <c r="C23" s="13"/>
    </row>
    <row r="24" spans="1:6" s="11" customFormat="1" ht="15.95" customHeight="1" x14ac:dyDescent="0.25">
      <c r="A24" s="11" t="s">
        <v>2</v>
      </c>
      <c r="B24" s="12"/>
      <c r="C24" s="13"/>
    </row>
    <row r="25" spans="1:6" s="11" customFormat="1" ht="15.95" customHeight="1" x14ac:dyDescent="0.25">
      <c r="A25" s="11" t="s">
        <v>520</v>
      </c>
      <c r="B25" s="12">
        <v>28166</v>
      </c>
      <c r="C25" s="13" t="s">
        <v>529</v>
      </c>
    </row>
    <row r="26" spans="1:6" s="11" customFormat="1" ht="15.95" customHeight="1" x14ac:dyDescent="0.25">
      <c r="A26" s="11" t="s">
        <v>521</v>
      </c>
      <c r="B26" s="12">
        <v>31133</v>
      </c>
      <c r="C26" s="13" t="s">
        <v>529</v>
      </c>
    </row>
    <row r="27" spans="1:6" s="11" customFormat="1" ht="15.95" customHeight="1" x14ac:dyDescent="0.25">
      <c r="A27" s="11" t="s">
        <v>522</v>
      </c>
      <c r="B27" s="12">
        <v>31133</v>
      </c>
      <c r="C27" s="13" t="s">
        <v>529</v>
      </c>
    </row>
    <row r="28" spans="1:6" s="11" customFormat="1" ht="15.95" customHeight="1" x14ac:dyDescent="0.25">
      <c r="A28" s="11" t="s">
        <v>523</v>
      </c>
      <c r="B28" s="12">
        <v>31285</v>
      </c>
      <c r="C28" s="13" t="s">
        <v>529</v>
      </c>
    </row>
    <row r="29" spans="1:6" s="11" customFormat="1" ht="15.95" customHeight="1" x14ac:dyDescent="0.25">
      <c r="A29" s="11" t="s">
        <v>524</v>
      </c>
      <c r="B29" s="12">
        <v>31285</v>
      </c>
      <c r="C29" s="13" t="s">
        <v>529</v>
      </c>
    </row>
    <row r="30" spans="1:6" s="11" customFormat="1" ht="15.95" customHeight="1" x14ac:dyDescent="0.25">
      <c r="A30" s="11" t="s">
        <v>525</v>
      </c>
      <c r="B30" s="17">
        <v>31285</v>
      </c>
      <c r="C30" s="13" t="s">
        <v>529</v>
      </c>
    </row>
    <row r="31" spans="1:6" s="11" customFormat="1" ht="15.95" customHeight="1" x14ac:dyDescent="0.25">
      <c r="A31" s="11" t="s">
        <v>526</v>
      </c>
      <c r="B31" s="12">
        <v>36087</v>
      </c>
      <c r="C31" s="19" t="s">
        <v>529</v>
      </c>
      <c r="D31" s="18"/>
      <c r="E31" s="18"/>
      <c r="F31" s="18"/>
    </row>
    <row r="32" spans="1:6" s="11" customFormat="1" ht="15.95" customHeight="1" x14ac:dyDescent="0.25">
      <c r="A32" s="11" t="s">
        <v>527</v>
      </c>
      <c r="B32" s="12">
        <v>37373</v>
      </c>
      <c r="C32" s="19" t="s">
        <v>529</v>
      </c>
      <c r="D32" s="18"/>
      <c r="E32" s="18"/>
      <c r="F32" s="18"/>
    </row>
    <row r="33" spans="1:9" s="11" customFormat="1" ht="15.95" customHeight="1" x14ac:dyDescent="0.25">
      <c r="A33" s="11" t="s">
        <v>530</v>
      </c>
      <c r="B33" s="12">
        <v>76860</v>
      </c>
      <c r="C33" s="19" t="s">
        <v>532</v>
      </c>
    </row>
    <row r="34" spans="1:9" s="11" customFormat="1" ht="15.95" customHeight="1" x14ac:dyDescent="0.25">
      <c r="B34" s="12"/>
      <c r="C34" s="19"/>
    </row>
    <row r="35" spans="1:9" s="11" customFormat="1" ht="15.95" customHeight="1" x14ac:dyDescent="0.25">
      <c r="B35" s="12"/>
      <c r="C35" s="13"/>
    </row>
    <row r="36" spans="1:9" s="11" customFormat="1" ht="15.95" customHeight="1" x14ac:dyDescent="0.25">
      <c r="B36" s="12">
        <f>SUM(B25:B34)</f>
        <v>334607</v>
      </c>
      <c r="C36" s="13"/>
    </row>
    <row r="37" spans="1:9" s="11" customFormat="1" ht="15.95" customHeight="1" x14ac:dyDescent="0.25">
      <c r="A37" s="15" t="s">
        <v>1</v>
      </c>
      <c r="B37" s="16">
        <f>B36+B23</f>
        <v>-123710</v>
      </c>
      <c r="C37" s="13"/>
    </row>
    <row r="38" spans="1:9" s="11" customFormat="1" ht="15.95" customHeight="1" x14ac:dyDescent="0.25">
      <c r="A38" s="11" t="s">
        <v>0</v>
      </c>
      <c r="B38" s="12">
        <f>B37-B7</f>
        <v>0</v>
      </c>
      <c r="C38" s="13"/>
    </row>
    <row r="39" spans="1:9" s="11" customFormat="1" ht="20.100000000000001" customHeight="1" x14ac:dyDescent="0.3">
      <c r="A39" s="1"/>
      <c r="B39" s="3"/>
      <c r="C39" s="13"/>
    </row>
    <row r="40" spans="1:9" s="11" customFormat="1" ht="20.100000000000001" customHeight="1" x14ac:dyDescent="0.3">
      <c r="A40" s="1"/>
      <c r="B40" s="3"/>
      <c r="C40" s="13"/>
    </row>
    <row r="41" spans="1:9" s="11" customFormat="1" ht="20.100000000000001" customHeight="1" x14ac:dyDescent="0.3">
      <c r="A41" s="1"/>
      <c r="B41" s="3"/>
      <c r="C41" s="13"/>
    </row>
    <row r="42" spans="1:9" s="11" customFormat="1" ht="20.100000000000001" customHeight="1" x14ac:dyDescent="0.3">
      <c r="A42" s="1"/>
      <c r="B42" s="3"/>
      <c r="C42" s="13"/>
    </row>
    <row r="43" spans="1:9" s="11" customFormat="1" ht="20.100000000000001" customHeight="1" x14ac:dyDescent="0.3">
      <c r="A43" s="1"/>
      <c r="B43" s="3"/>
      <c r="C43" s="13"/>
    </row>
    <row r="44" spans="1:9" s="13" customFormat="1" ht="20.100000000000001" customHeight="1" x14ac:dyDescent="0.3">
      <c r="A44" s="1"/>
      <c r="B44" s="3"/>
      <c r="D44" s="11"/>
      <c r="E44" s="11"/>
      <c r="F44" s="11"/>
      <c r="G44" s="11"/>
      <c r="H44" s="11"/>
      <c r="I44" s="11"/>
    </row>
    <row r="45" spans="1:9" s="13" customFormat="1" ht="20.100000000000001" customHeight="1" x14ac:dyDescent="0.3">
      <c r="A45" s="1"/>
      <c r="B45" s="3"/>
      <c r="D45" s="11"/>
      <c r="E45" s="11"/>
      <c r="F45" s="11"/>
      <c r="G45" s="11"/>
      <c r="H45" s="11"/>
      <c r="I45" s="11"/>
    </row>
    <row r="46" spans="1:9" s="13" customFormat="1" ht="20.100000000000001" customHeight="1" x14ac:dyDescent="0.3">
      <c r="A46" s="1"/>
      <c r="B46" s="3"/>
      <c r="D46" s="11"/>
      <c r="E46" s="11"/>
      <c r="F46" s="11"/>
      <c r="G46" s="11"/>
      <c r="H46" s="11"/>
      <c r="I46" s="11"/>
    </row>
    <row r="47" spans="1:9" ht="20.100000000000001" customHeight="1" x14ac:dyDescent="0.3"/>
    <row r="48" spans="1:9" ht="20.100000000000001" customHeight="1" x14ac:dyDescent="0.3"/>
    <row r="49" ht="20.100000000000001" customHeight="1" x14ac:dyDescent="0.3"/>
    <row r="50" ht="20.100000000000001" customHeight="1" x14ac:dyDescent="0.3"/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48"/>
  <sheetViews>
    <sheetView workbookViewId="0">
      <selection activeCell="A3" sqref="A3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25.7109375" style="6" customWidth="1"/>
    <col min="4" max="7" width="9.140625" style="1"/>
    <col min="8" max="8" width="17.7109375" style="1" customWidth="1"/>
    <col min="9" max="16384" width="9.140625" style="1"/>
  </cols>
  <sheetData>
    <row r="1" spans="1:5" s="11" customFormat="1" ht="20.100000000000001" customHeight="1" x14ac:dyDescent="0.25">
      <c r="A1" s="11" t="s">
        <v>304</v>
      </c>
      <c r="B1" s="12"/>
      <c r="C1" s="13"/>
    </row>
    <row r="2" spans="1:5" s="11" customFormat="1" ht="20.100000000000001" customHeight="1" x14ac:dyDescent="0.25">
      <c r="A2" s="14">
        <v>43343</v>
      </c>
      <c r="B2" s="12"/>
      <c r="C2" s="13"/>
    </row>
    <row r="3" spans="1:5" s="11" customFormat="1" ht="20.100000000000001" customHeight="1" x14ac:dyDescent="0.25">
      <c r="A3" s="11" t="s">
        <v>311</v>
      </c>
      <c r="B3" s="12">
        <v>10149235</v>
      </c>
      <c r="C3" s="13"/>
    </row>
    <row r="4" spans="1:5" s="11" customFormat="1" ht="20.100000000000001" customHeight="1" x14ac:dyDescent="0.25">
      <c r="A4" s="11" t="s">
        <v>6</v>
      </c>
      <c r="B4" s="12"/>
      <c r="C4" s="13"/>
    </row>
    <row r="5" spans="1:5" s="11" customFormat="1" ht="20.100000000000001" customHeight="1" x14ac:dyDescent="0.25">
      <c r="A5" s="11">
        <v>2100</v>
      </c>
      <c r="B5" s="12">
        <v>-9651707</v>
      </c>
      <c r="C5" s="13"/>
    </row>
    <row r="6" spans="1:5" s="11" customFormat="1" ht="20.100000000000001" customHeight="1" x14ac:dyDescent="0.25">
      <c r="A6" s="11" t="s">
        <v>5</v>
      </c>
      <c r="B6" s="12">
        <f>SUM(B5:B5)</f>
        <v>-9651707</v>
      </c>
      <c r="C6" s="13"/>
    </row>
    <row r="7" spans="1:5" s="11" customFormat="1" ht="20.100000000000001" customHeight="1" x14ac:dyDescent="0.25">
      <c r="A7" s="15" t="s">
        <v>4</v>
      </c>
      <c r="B7" s="16">
        <f>SUM(B3+B6)</f>
        <v>497528</v>
      </c>
      <c r="C7" s="13"/>
    </row>
    <row r="8" spans="1:5" s="11" customFormat="1" ht="15.95" customHeight="1" x14ac:dyDescent="0.25">
      <c r="A8" s="11" t="s">
        <v>3</v>
      </c>
      <c r="B8" s="12"/>
      <c r="C8" s="13"/>
    </row>
    <row r="9" spans="1:5" s="11" customFormat="1" ht="15.95" customHeight="1" x14ac:dyDescent="0.25">
      <c r="A9" s="11" t="s">
        <v>533</v>
      </c>
      <c r="B9" s="12">
        <v>-29908</v>
      </c>
      <c r="C9" s="13" t="s">
        <v>552</v>
      </c>
    </row>
    <row r="10" spans="1:5" s="11" customFormat="1" ht="15.95" customHeight="1" x14ac:dyDescent="0.25">
      <c r="A10" s="11" t="s">
        <v>534</v>
      </c>
      <c r="B10" s="12">
        <v>-29908</v>
      </c>
      <c r="C10" s="13" t="s">
        <v>552</v>
      </c>
    </row>
    <row r="11" spans="1:5" s="11" customFormat="1" ht="15.95" customHeight="1" x14ac:dyDescent="0.25">
      <c r="A11" s="22" t="s">
        <v>535</v>
      </c>
      <c r="B11" s="23">
        <v>-31133</v>
      </c>
      <c r="C11" s="192" t="s">
        <v>555</v>
      </c>
      <c r="D11" s="192"/>
      <c r="E11" s="193"/>
    </row>
    <row r="12" spans="1:5" s="11" customFormat="1" ht="15.95" customHeight="1" x14ac:dyDescent="0.25">
      <c r="A12" s="21"/>
      <c r="B12" s="20"/>
      <c r="C12" s="194"/>
      <c r="D12" s="194"/>
      <c r="E12" s="195"/>
    </row>
    <row r="13" spans="1:5" s="11" customFormat="1" ht="15.95" customHeight="1" x14ac:dyDescent="0.25">
      <c r="B13" s="12">
        <f>SUM(B9:B12)</f>
        <v>-90949</v>
      </c>
      <c r="C13" s="13"/>
    </row>
    <row r="14" spans="1:5" s="11" customFormat="1" ht="15.95" customHeight="1" x14ac:dyDescent="0.25">
      <c r="A14" s="11" t="s">
        <v>2</v>
      </c>
      <c r="B14" s="12"/>
      <c r="C14" s="13"/>
    </row>
    <row r="15" spans="1:5" s="11" customFormat="1" ht="15.95" customHeight="1" x14ac:dyDescent="0.25">
      <c r="A15" s="11" t="s">
        <v>536</v>
      </c>
      <c r="B15" s="12">
        <v>20253</v>
      </c>
      <c r="C15" s="13" t="s">
        <v>553</v>
      </c>
    </row>
    <row r="16" spans="1:5" s="11" customFormat="1" ht="15.95" customHeight="1" x14ac:dyDescent="0.25">
      <c r="A16" s="11" t="s">
        <v>537</v>
      </c>
      <c r="B16" s="12">
        <v>22564</v>
      </c>
      <c r="C16" s="13" t="s">
        <v>553</v>
      </c>
    </row>
    <row r="17" spans="1:6" s="11" customFormat="1" ht="15.95" customHeight="1" x14ac:dyDescent="0.25">
      <c r="A17" s="11" t="s">
        <v>538</v>
      </c>
      <c r="B17" s="12">
        <v>27162</v>
      </c>
      <c r="C17" s="13" t="s">
        <v>553</v>
      </c>
    </row>
    <row r="18" spans="1:6" s="11" customFormat="1" ht="15.95" customHeight="1" x14ac:dyDescent="0.25">
      <c r="A18" s="22" t="s">
        <v>539</v>
      </c>
      <c r="B18" s="23">
        <v>28166</v>
      </c>
      <c r="C18" s="192" t="s">
        <v>555</v>
      </c>
      <c r="D18" s="192"/>
      <c r="E18" s="193"/>
    </row>
    <row r="19" spans="1:6" s="11" customFormat="1" ht="15.95" customHeight="1" x14ac:dyDescent="0.25">
      <c r="A19" s="21"/>
      <c r="B19" s="20"/>
      <c r="C19" s="194"/>
      <c r="D19" s="194"/>
      <c r="E19" s="195"/>
    </row>
    <row r="20" spans="1:6" s="11" customFormat="1" ht="15.95" customHeight="1" x14ac:dyDescent="0.25">
      <c r="A20" s="11" t="s">
        <v>540</v>
      </c>
      <c r="B20" s="12">
        <v>28261</v>
      </c>
      <c r="C20" s="13" t="s">
        <v>553</v>
      </c>
    </row>
    <row r="21" spans="1:6" s="11" customFormat="1" ht="15.95" customHeight="1" x14ac:dyDescent="0.25">
      <c r="A21" s="11" t="s">
        <v>541</v>
      </c>
      <c r="B21" s="17">
        <v>28261</v>
      </c>
      <c r="C21" s="13" t="s">
        <v>553</v>
      </c>
    </row>
    <row r="22" spans="1:6" s="11" customFormat="1" ht="15.95" customHeight="1" x14ac:dyDescent="0.25">
      <c r="A22" s="11" t="s">
        <v>542</v>
      </c>
      <c r="B22" s="12">
        <v>28261</v>
      </c>
      <c r="C22" s="19" t="s">
        <v>553</v>
      </c>
      <c r="D22" s="18"/>
      <c r="E22" s="18"/>
      <c r="F22" s="18"/>
    </row>
    <row r="23" spans="1:6" s="11" customFormat="1" ht="15.95" customHeight="1" x14ac:dyDescent="0.25">
      <c r="A23" s="11" t="s">
        <v>543</v>
      </c>
      <c r="B23" s="12">
        <v>30377</v>
      </c>
      <c r="C23" s="19" t="s">
        <v>553</v>
      </c>
      <c r="D23" s="18"/>
      <c r="E23" s="18"/>
      <c r="F23" s="18"/>
    </row>
    <row r="24" spans="1:6" s="11" customFormat="1" ht="15.95" customHeight="1" x14ac:dyDescent="0.25">
      <c r="A24" s="11" t="s">
        <v>544</v>
      </c>
      <c r="B24" s="12">
        <v>38665</v>
      </c>
      <c r="C24" s="19" t="s">
        <v>554</v>
      </c>
      <c r="D24" s="18"/>
      <c r="E24" s="18"/>
      <c r="F24" s="18"/>
    </row>
    <row r="25" spans="1:6" s="11" customFormat="1" ht="15.95" customHeight="1" x14ac:dyDescent="0.25">
      <c r="A25" s="11" t="s">
        <v>545</v>
      </c>
      <c r="B25" s="12">
        <v>40112</v>
      </c>
      <c r="C25" s="19" t="s">
        <v>554</v>
      </c>
      <c r="D25" s="18"/>
      <c r="E25" s="18"/>
      <c r="F25" s="18"/>
    </row>
    <row r="26" spans="1:6" s="11" customFormat="1" ht="15.95" customHeight="1" x14ac:dyDescent="0.25">
      <c r="A26" s="11" t="s">
        <v>546</v>
      </c>
      <c r="B26" s="12">
        <v>40165</v>
      </c>
      <c r="C26" s="19" t="s">
        <v>553</v>
      </c>
      <c r="D26" s="18"/>
      <c r="E26" s="18"/>
      <c r="F26" s="18"/>
    </row>
    <row r="27" spans="1:6" s="11" customFormat="1" ht="15.95" customHeight="1" x14ac:dyDescent="0.25">
      <c r="A27" s="22" t="s">
        <v>547</v>
      </c>
      <c r="B27" s="23">
        <v>41710</v>
      </c>
      <c r="C27" s="196" t="s">
        <v>556</v>
      </c>
      <c r="D27" s="196"/>
      <c r="E27" s="197"/>
      <c r="F27" s="18"/>
    </row>
    <row r="28" spans="1:6" s="11" customFormat="1" ht="15.95" customHeight="1" x14ac:dyDescent="0.25">
      <c r="A28" s="21"/>
      <c r="B28" s="20"/>
      <c r="C28" s="198"/>
      <c r="D28" s="198"/>
      <c r="E28" s="199"/>
      <c r="F28" s="18"/>
    </row>
    <row r="29" spans="1:6" s="11" customFormat="1" ht="15.95" customHeight="1" x14ac:dyDescent="0.25">
      <c r="A29" s="11" t="s">
        <v>548</v>
      </c>
      <c r="B29" s="12">
        <v>41952</v>
      </c>
      <c r="C29" s="19" t="s">
        <v>554</v>
      </c>
      <c r="D29" s="18"/>
      <c r="E29" s="18"/>
      <c r="F29" s="18"/>
    </row>
    <row r="30" spans="1:6" s="11" customFormat="1" ht="15.95" customHeight="1" x14ac:dyDescent="0.25">
      <c r="A30" s="11" t="s">
        <v>549</v>
      </c>
      <c r="B30" s="12">
        <v>48324</v>
      </c>
      <c r="C30" s="19" t="s">
        <v>553</v>
      </c>
      <c r="D30" s="18"/>
      <c r="E30" s="18"/>
      <c r="F30" s="18"/>
    </row>
    <row r="31" spans="1:6" s="11" customFormat="1" ht="15.95" customHeight="1" x14ac:dyDescent="0.25">
      <c r="A31" s="11" t="s">
        <v>550</v>
      </c>
      <c r="B31" s="12">
        <v>53591</v>
      </c>
      <c r="C31" s="19" t="s">
        <v>554</v>
      </c>
    </row>
    <row r="32" spans="1:6" s="11" customFormat="1" ht="15.95" customHeight="1" x14ac:dyDescent="0.25">
      <c r="A32" s="11" t="s">
        <v>551</v>
      </c>
      <c r="B32" s="12">
        <v>70653</v>
      </c>
      <c r="C32" s="19" t="s">
        <v>554</v>
      </c>
    </row>
    <row r="33" spans="1:9" s="11" customFormat="1" ht="15.95" customHeight="1" x14ac:dyDescent="0.25">
      <c r="B33" s="12"/>
      <c r="C33" s="13"/>
    </row>
    <row r="34" spans="1:9" s="11" customFormat="1" ht="15.95" customHeight="1" x14ac:dyDescent="0.25">
      <c r="B34" s="12">
        <f>SUM(B15:B32)</f>
        <v>588477</v>
      </c>
      <c r="C34" s="13"/>
    </row>
    <row r="35" spans="1:9" s="11" customFormat="1" ht="15.95" customHeight="1" x14ac:dyDescent="0.25">
      <c r="A35" s="15" t="s">
        <v>1</v>
      </c>
      <c r="B35" s="16">
        <f>B34+B13</f>
        <v>497528</v>
      </c>
      <c r="C35" s="13"/>
    </row>
    <row r="36" spans="1:9" s="11" customFormat="1" ht="15.95" customHeight="1" x14ac:dyDescent="0.25">
      <c r="A36" s="11" t="s">
        <v>0</v>
      </c>
      <c r="B36" s="12">
        <f>B35-B7</f>
        <v>0</v>
      </c>
      <c r="C36" s="13"/>
    </row>
    <row r="37" spans="1:9" s="11" customFormat="1" ht="20.100000000000001" customHeight="1" x14ac:dyDescent="0.3">
      <c r="A37" s="1"/>
      <c r="B37" s="3"/>
      <c r="C37" s="13"/>
    </row>
    <row r="38" spans="1:9" s="11" customFormat="1" ht="20.100000000000001" customHeight="1" x14ac:dyDescent="0.3">
      <c r="A38" s="1"/>
      <c r="B38" s="3"/>
      <c r="C38" s="13"/>
    </row>
    <row r="39" spans="1:9" s="11" customFormat="1" ht="20.100000000000001" customHeight="1" x14ac:dyDescent="0.3">
      <c r="A39" s="1"/>
      <c r="B39" s="3"/>
      <c r="C39" s="13"/>
    </row>
    <row r="40" spans="1:9" s="11" customFormat="1" ht="20.100000000000001" customHeight="1" x14ac:dyDescent="0.3">
      <c r="A40" s="1"/>
      <c r="B40" s="3"/>
      <c r="C40" s="13"/>
    </row>
    <row r="41" spans="1:9" s="11" customFormat="1" ht="20.100000000000001" customHeight="1" x14ac:dyDescent="0.3">
      <c r="A41" s="1"/>
      <c r="B41" s="3"/>
      <c r="C41" s="13"/>
    </row>
    <row r="42" spans="1:9" s="13" customFormat="1" ht="20.100000000000001" customHeight="1" x14ac:dyDescent="0.3">
      <c r="A42" s="1"/>
      <c r="B42" s="3"/>
      <c r="D42" s="11"/>
      <c r="E42" s="11"/>
      <c r="F42" s="11"/>
      <c r="G42" s="11"/>
      <c r="H42" s="11"/>
      <c r="I42" s="11"/>
    </row>
    <row r="43" spans="1:9" s="13" customFormat="1" ht="20.100000000000001" customHeight="1" x14ac:dyDescent="0.3">
      <c r="A43" s="1"/>
      <c r="B43" s="3"/>
      <c r="D43" s="11"/>
      <c r="E43" s="11"/>
      <c r="F43" s="11"/>
      <c r="G43" s="11"/>
      <c r="H43" s="11"/>
      <c r="I43" s="11"/>
    </row>
    <row r="44" spans="1:9" s="13" customFormat="1" ht="20.100000000000001" customHeight="1" x14ac:dyDescent="0.3">
      <c r="A44" s="1"/>
      <c r="B44" s="3"/>
      <c r="D44" s="11"/>
      <c r="E44" s="11"/>
      <c r="F44" s="11"/>
      <c r="G44" s="11"/>
      <c r="H44" s="11"/>
      <c r="I44" s="11"/>
    </row>
    <row r="45" spans="1:9" ht="20.100000000000001" customHeight="1" x14ac:dyDescent="0.3"/>
    <row r="46" spans="1:9" ht="20.100000000000001" customHeight="1" x14ac:dyDescent="0.3"/>
    <row r="47" spans="1:9" ht="20.100000000000001" customHeight="1" x14ac:dyDescent="0.3"/>
    <row r="48" spans="1:9" ht="20.100000000000001" customHeight="1" x14ac:dyDescent="0.3"/>
  </sheetData>
  <mergeCells count="3">
    <mergeCell ref="C18:E19"/>
    <mergeCell ref="C11:E12"/>
    <mergeCell ref="C27:E28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45"/>
  <sheetViews>
    <sheetView topLeftCell="A4" workbookViewId="0">
      <selection activeCell="I17" sqref="I17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11.7109375" style="6" customWidth="1"/>
    <col min="4" max="4" width="11.7109375" style="1" customWidth="1"/>
    <col min="5" max="7" width="9.140625" style="1"/>
    <col min="8" max="8" width="17.7109375" style="1" customWidth="1"/>
    <col min="9" max="16384" width="9.140625" style="1"/>
  </cols>
  <sheetData>
    <row r="1" spans="1:5" s="11" customFormat="1" ht="20.100000000000001" customHeight="1" x14ac:dyDescent="0.25">
      <c r="A1" s="11" t="s">
        <v>304</v>
      </c>
      <c r="B1" s="12"/>
      <c r="C1" s="13"/>
    </row>
    <row r="2" spans="1:5" s="11" customFormat="1" ht="20.100000000000001" customHeight="1" x14ac:dyDescent="0.25">
      <c r="A2" s="14">
        <v>43373</v>
      </c>
      <c r="B2" s="12"/>
      <c r="C2" s="13"/>
    </row>
    <row r="3" spans="1:5" s="11" customFormat="1" ht="20.100000000000001" customHeight="1" x14ac:dyDescent="0.25">
      <c r="A3" s="11" t="s">
        <v>311</v>
      </c>
      <c r="B3" s="12">
        <v>9228695</v>
      </c>
      <c r="C3" s="13"/>
    </row>
    <row r="4" spans="1:5" s="11" customFormat="1" ht="20.100000000000001" customHeight="1" x14ac:dyDescent="0.25">
      <c r="A4" s="11" t="s">
        <v>6</v>
      </c>
      <c r="B4" s="12"/>
      <c r="C4" s="13"/>
    </row>
    <row r="5" spans="1:5" s="11" customFormat="1" ht="20.100000000000001" customHeight="1" x14ac:dyDescent="0.25">
      <c r="A5" s="11">
        <v>2100</v>
      </c>
      <c r="B5" s="12">
        <v>-9050615</v>
      </c>
      <c r="C5" s="13"/>
    </row>
    <row r="6" spans="1:5" s="11" customFormat="1" ht="20.100000000000001" customHeight="1" x14ac:dyDescent="0.25">
      <c r="A6" s="11" t="s">
        <v>5</v>
      </c>
      <c r="B6" s="12">
        <f>SUM(B5:B5)</f>
        <v>-9050615</v>
      </c>
      <c r="C6" s="13"/>
    </row>
    <row r="7" spans="1:5" s="11" customFormat="1" ht="20.100000000000001" customHeight="1" x14ac:dyDescent="0.25">
      <c r="A7" s="15" t="s">
        <v>4</v>
      </c>
      <c r="B7" s="16">
        <f>SUM(B3+B6)</f>
        <v>178080</v>
      </c>
      <c r="C7" s="13"/>
    </row>
    <row r="8" spans="1:5" s="11" customFormat="1" ht="15.95" customHeight="1" x14ac:dyDescent="0.25">
      <c r="A8" s="11" t="s">
        <v>3</v>
      </c>
      <c r="B8" s="12"/>
      <c r="C8" s="13"/>
    </row>
    <row r="9" spans="1:5" s="11" customFormat="1" ht="15.95" customHeight="1" x14ac:dyDescent="0.25">
      <c r="A9" s="11" t="s">
        <v>535</v>
      </c>
      <c r="B9" s="12">
        <v>-31133</v>
      </c>
      <c r="C9" s="13" t="s">
        <v>565</v>
      </c>
      <c r="D9" s="28"/>
      <c r="E9" s="28"/>
    </row>
    <row r="10" spans="1:5" s="11" customFormat="1" ht="15.95" customHeight="1" x14ac:dyDescent="0.25">
      <c r="A10" s="11" t="s">
        <v>557</v>
      </c>
      <c r="B10" s="12">
        <v>-48129</v>
      </c>
      <c r="C10" s="13" t="s">
        <v>567</v>
      </c>
    </row>
    <row r="11" spans="1:5" s="11" customFormat="1" ht="15.95" customHeight="1" x14ac:dyDescent="0.25">
      <c r="A11" s="11" t="s">
        <v>558</v>
      </c>
      <c r="B11" s="24">
        <v>-53189</v>
      </c>
      <c r="C11" s="29" t="s">
        <v>566</v>
      </c>
      <c r="D11" s="26"/>
      <c r="E11" s="26"/>
    </row>
    <row r="12" spans="1:5" s="11" customFormat="1" ht="15.95" customHeight="1" x14ac:dyDescent="0.25">
      <c r="B12" s="24"/>
      <c r="C12" s="26"/>
      <c r="D12" s="26"/>
      <c r="E12" s="26"/>
    </row>
    <row r="13" spans="1:5" s="11" customFormat="1" ht="15.95" customHeight="1" x14ac:dyDescent="0.25">
      <c r="B13" s="24">
        <f>SUM(B9:B12)</f>
        <v>-132451</v>
      </c>
      <c r="C13" s="13"/>
    </row>
    <row r="14" spans="1:5" s="11" customFormat="1" ht="15.95" customHeight="1" x14ac:dyDescent="0.25">
      <c r="A14" s="11" t="s">
        <v>2</v>
      </c>
      <c r="B14" s="24"/>
      <c r="C14" s="13"/>
    </row>
    <row r="15" spans="1:5" s="11" customFormat="1" ht="15.95" customHeight="1" x14ac:dyDescent="0.25">
      <c r="A15" s="11" t="s">
        <v>559</v>
      </c>
      <c r="B15" s="24">
        <v>26971</v>
      </c>
      <c r="C15" s="13" t="s">
        <v>568</v>
      </c>
    </row>
    <row r="16" spans="1:5" s="11" customFormat="1" ht="15.95" customHeight="1" x14ac:dyDescent="0.25">
      <c r="A16" s="11" t="s">
        <v>539</v>
      </c>
      <c r="B16" s="24">
        <v>28166</v>
      </c>
      <c r="C16" s="28" t="s">
        <v>565</v>
      </c>
      <c r="D16" s="28"/>
      <c r="E16" s="28"/>
    </row>
    <row r="17" spans="1:7" s="11" customFormat="1" ht="15.95" customHeight="1" x14ac:dyDescent="0.25">
      <c r="A17" s="11" t="s">
        <v>560</v>
      </c>
      <c r="B17" s="24">
        <v>31228</v>
      </c>
      <c r="C17" s="13" t="s">
        <v>568</v>
      </c>
    </row>
    <row r="18" spans="1:7" s="11" customFormat="1" ht="15.95" customHeight="1" x14ac:dyDescent="0.25">
      <c r="A18" s="11" t="s">
        <v>561</v>
      </c>
      <c r="B18" s="24">
        <v>37468</v>
      </c>
      <c r="C18" s="19" t="s">
        <v>568</v>
      </c>
      <c r="D18" s="18"/>
      <c r="E18" s="26"/>
    </row>
    <row r="19" spans="1:7" s="11" customFormat="1" ht="15.95" customHeight="1" x14ac:dyDescent="0.25">
      <c r="A19" s="22" t="s">
        <v>547</v>
      </c>
      <c r="B19" s="23">
        <v>41710</v>
      </c>
      <c r="C19" s="192" t="s">
        <v>571</v>
      </c>
      <c r="D19" s="192"/>
      <c r="E19" s="192"/>
      <c r="F19" s="192"/>
      <c r="G19" s="193"/>
    </row>
    <row r="20" spans="1:7" s="11" customFormat="1" ht="15.95" customHeight="1" x14ac:dyDescent="0.25">
      <c r="A20" s="21"/>
      <c r="B20" s="20"/>
      <c r="C20" s="194"/>
      <c r="D20" s="194"/>
      <c r="E20" s="194"/>
      <c r="F20" s="194"/>
      <c r="G20" s="195"/>
    </row>
    <row r="21" spans="1:7" s="11" customFormat="1" ht="15.95" customHeight="1" x14ac:dyDescent="0.25">
      <c r="A21" s="11" t="s">
        <v>562</v>
      </c>
      <c r="B21" s="24">
        <v>47346</v>
      </c>
      <c r="C21" s="13" t="s">
        <v>569</v>
      </c>
    </row>
    <row r="22" spans="1:7" s="11" customFormat="1" ht="15.95" customHeight="1" x14ac:dyDescent="0.25">
      <c r="A22" s="11" t="s">
        <v>563</v>
      </c>
      <c r="B22" s="25">
        <v>48821</v>
      </c>
      <c r="C22" s="13" t="s">
        <v>570</v>
      </c>
    </row>
    <row r="23" spans="1:7" s="11" customFormat="1" ht="15.95" customHeight="1" x14ac:dyDescent="0.25">
      <c r="A23" s="11" t="s">
        <v>564</v>
      </c>
      <c r="B23" s="24">
        <v>48821</v>
      </c>
      <c r="C23" s="19" t="s">
        <v>570</v>
      </c>
      <c r="D23" s="18"/>
      <c r="E23" s="18"/>
      <c r="F23" s="18"/>
    </row>
    <row r="24" spans="1:7" s="11" customFormat="1" ht="15.95" customHeight="1" x14ac:dyDescent="0.25">
      <c r="B24" s="24"/>
      <c r="C24" s="19"/>
      <c r="D24" s="18"/>
      <c r="E24" s="18"/>
      <c r="F24" s="18"/>
    </row>
    <row r="25" spans="1:7" s="11" customFormat="1" ht="15.95" customHeight="1" x14ac:dyDescent="0.25">
      <c r="B25" s="24"/>
      <c r="C25" s="27"/>
      <c r="D25" s="27"/>
      <c r="E25" s="27"/>
      <c r="F25" s="18"/>
    </row>
    <row r="26" spans="1:7" s="11" customFormat="1" ht="15.95" customHeight="1" x14ac:dyDescent="0.25">
      <c r="B26" s="24"/>
      <c r="C26" s="19"/>
      <c r="D26" s="18"/>
      <c r="E26" s="18"/>
      <c r="F26" s="18"/>
    </row>
    <row r="27" spans="1:7" s="11" customFormat="1" ht="15.95" customHeight="1" x14ac:dyDescent="0.25">
      <c r="B27" s="24"/>
      <c r="C27" s="19"/>
      <c r="D27" s="18"/>
      <c r="E27" s="18"/>
      <c r="F27" s="18"/>
    </row>
    <row r="28" spans="1:7" s="11" customFormat="1" ht="15.95" customHeight="1" x14ac:dyDescent="0.25">
      <c r="B28" s="12"/>
      <c r="C28" s="19"/>
    </row>
    <row r="29" spans="1:7" s="11" customFormat="1" ht="15.95" customHeight="1" x14ac:dyDescent="0.25">
      <c r="B29" s="12"/>
      <c r="C29" s="19"/>
    </row>
    <row r="30" spans="1:7" s="11" customFormat="1" ht="15.95" customHeight="1" x14ac:dyDescent="0.25">
      <c r="B30" s="12"/>
      <c r="C30" s="13"/>
    </row>
    <row r="31" spans="1:7" s="11" customFormat="1" ht="15.95" customHeight="1" x14ac:dyDescent="0.25">
      <c r="B31" s="12">
        <f>SUM(B15:B29)</f>
        <v>310531</v>
      </c>
      <c r="C31" s="13"/>
    </row>
    <row r="32" spans="1:7" s="11" customFormat="1" ht="15.95" customHeight="1" x14ac:dyDescent="0.25">
      <c r="A32" s="15" t="s">
        <v>1</v>
      </c>
      <c r="B32" s="16">
        <f>B31+B13</f>
        <v>178080</v>
      </c>
      <c r="C32" s="13"/>
    </row>
    <row r="33" spans="1:9" s="11" customFormat="1" ht="15.95" customHeight="1" x14ac:dyDescent="0.25">
      <c r="A33" s="11" t="s">
        <v>0</v>
      </c>
      <c r="B33" s="12">
        <f>B32-B7</f>
        <v>0</v>
      </c>
      <c r="C33" s="13"/>
    </row>
    <row r="34" spans="1:9" s="11" customFormat="1" ht="20.100000000000001" customHeight="1" x14ac:dyDescent="0.3">
      <c r="A34" s="1"/>
      <c r="B34" s="3"/>
      <c r="C34" s="13"/>
    </row>
    <row r="35" spans="1:9" s="11" customFormat="1" ht="20.100000000000001" customHeight="1" x14ac:dyDescent="0.3">
      <c r="A35" s="1"/>
      <c r="B35" s="3"/>
      <c r="C35" s="13"/>
    </row>
    <row r="36" spans="1:9" s="11" customFormat="1" ht="20.100000000000001" customHeight="1" x14ac:dyDescent="0.3">
      <c r="A36" s="1"/>
      <c r="B36" s="3"/>
      <c r="C36" s="13"/>
    </row>
    <row r="37" spans="1:9" s="11" customFormat="1" ht="20.100000000000001" customHeight="1" x14ac:dyDescent="0.3">
      <c r="A37" s="1"/>
      <c r="B37" s="3"/>
      <c r="C37" s="13"/>
    </row>
    <row r="38" spans="1:9" s="11" customFormat="1" ht="20.100000000000001" customHeight="1" x14ac:dyDescent="0.3">
      <c r="A38" s="1"/>
      <c r="B38" s="3"/>
      <c r="C38" s="13"/>
    </row>
    <row r="39" spans="1:9" s="13" customFormat="1" ht="20.100000000000001" customHeight="1" x14ac:dyDescent="0.3">
      <c r="A39" s="1"/>
      <c r="B39" s="3"/>
      <c r="D39" s="11"/>
      <c r="E39" s="11"/>
      <c r="F39" s="11"/>
      <c r="G39" s="11"/>
      <c r="H39" s="11"/>
      <c r="I39" s="11"/>
    </row>
    <row r="40" spans="1:9" s="13" customFormat="1" ht="20.100000000000001" customHeight="1" x14ac:dyDescent="0.3">
      <c r="A40" s="1"/>
      <c r="B40" s="3"/>
      <c r="D40" s="11"/>
      <c r="E40" s="11"/>
      <c r="F40" s="11"/>
      <c r="G40" s="11"/>
      <c r="H40" s="11"/>
      <c r="I40" s="11"/>
    </row>
    <row r="41" spans="1:9" s="13" customFormat="1" ht="20.100000000000001" customHeight="1" x14ac:dyDescent="0.3">
      <c r="A41" s="1"/>
      <c r="B41" s="3"/>
      <c r="D41" s="11"/>
      <c r="E41" s="11"/>
      <c r="F41" s="11"/>
      <c r="G41" s="11"/>
      <c r="H41" s="11"/>
      <c r="I41" s="11"/>
    </row>
    <row r="42" spans="1:9" ht="20.100000000000001" customHeight="1" x14ac:dyDescent="0.3"/>
    <row r="43" spans="1:9" ht="20.100000000000001" customHeight="1" x14ac:dyDescent="0.3"/>
    <row r="44" spans="1:9" ht="20.100000000000001" customHeight="1" x14ac:dyDescent="0.3"/>
    <row r="45" spans="1:9" ht="20.100000000000001" customHeight="1" x14ac:dyDescent="0.3"/>
  </sheetData>
  <mergeCells count="1">
    <mergeCell ref="C19:G20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35"/>
  <sheetViews>
    <sheetView workbookViewId="0">
      <selection activeCell="C20" sqref="C20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11.7109375" style="6" customWidth="1"/>
    <col min="4" max="4" width="11.7109375" style="35" customWidth="1"/>
    <col min="5" max="7" width="9.140625" style="1"/>
    <col min="8" max="8" width="17.7109375" style="1" customWidth="1"/>
    <col min="9" max="16384" width="9.140625" style="1"/>
  </cols>
  <sheetData>
    <row r="1" spans="1:5" s="11" customFormat="1" ht="20.100000000000001" customHeight="1" x14ac:dyDescent="0.25">
      <c r="A1" s="11" t="s">
        <v>304</v>
      </c>
      <c r="B1" s="12"/>
      <c r="C1" s="13"/>
      <c r="D1" s="28"/>
    </row>
    <row r="2" spans="1:5" s="11" customFormat="1" ht="20.100000000000001" customHeight="1" x14ac:dyDescent="0.25">
      <c r="A2" s="14">
        <v>43404</v>
      </c>
      <c r="B2" s="12"/>
      <c r="C2" s="13"/>
      <c r="D2" s="28"/>
    </row>
    <row r="3" spans="1:5" s="11" customFormat="1" ht="20.100000000000001" customHeight="1" x14ac:dyDescent="0.25">
      <c r="A3" s="11" t="s">
        <v>311</v>
      </c>
      <c r="B3" s="12">
        <v>9930210</v>
      </c>
      <c r="C3" s="13"/>
      <c r="D3" s="28"/>
    </row>
    <row r="4" spans="1:5" s="11" customFormat="1" ht="20.100000000000001" customHeight="1" x14ac:dyDescent="0.25">
      <c r="A4" s="11" t="s">
        <v>6</v>
      </c>
      <c r="B4" s="12"/>
      <c r="C4" s="13"/>
      <c r="D4" s="28"/>
    </row>
    <row r="5" spans="1:5" s="11" customFormat="1" ht="20.100000000000001" customHeight="1" x14ac:dyDescent="0.25">
      <c r="A5" s="11">
        <v>2100</v>
      </c>
      <c r="B5" s="12">
        <v>-10056170</v>
      </c>
      <c r="C5" s="13"/>
      <c r="D5" s="28"/>
    </row>
    <row r="6" spans="1:5" s="11" customFormat="1" ht="20.100000000000001" customHeight="1" x14ac:dyDescent="0.25">
      <c r="A6" s="11" t="s">
        <v>5</v>
      </c>
      <c r="B6" s="12">
        <f>SUM(B5:B5)</f>
        <v>-10056170</v>
      </c>
      <c r="C6" s="13"/>
      <c r="D6" s="28"/>
    </row>
    <row r="7" spans="1:5" s="11" customFormat="1" ht="20.100000000000001" customHeight="1" x14ac:dyDescent="0.25">
      <c r="A7" s="15" t="s">
        <v>4</v>
      </c>
      <c r="B7" s="16">
        <f>SUM(B3+B6)</f>
        <v>-125960</v>
      </c>
      <c r="C7" s="13"/>
      <c r="D7" s="28"/>
    </row>
    <row r="8" spans="1:5" s="11" customFormat="1" ht="15.95" customHeight="1" x14ac:dyDescent="0.25">
      <c r="A8" s="11" t="s">
        <v>3</v>
      </c>
      <c r="B8" s="12"/>
      <c r="C8" s="30" t="s">
        <v>578</v>
      </c>
      <c r="D8" s="34" t="s">
        <v>579</v>
      </c>
    </row>
    <row r="9" spans="1:5" s="11" customFormat="1" ht="15.95" customHeight="1" x14ac:dyDescent="0.25">
      <c r="A9" s="11" t="s">
        <v>572</v>
      </c>
      <c r="B9" s="12">
        <v>-30510</v>
      </c>
      <c r="C9" s="31">
        <v>43404</v>
      </c>
      <c r="D9" s="28">
        <v>43405</v>
      </c>
      <c r="E9" s="28"/>
    </row>
    <row r="10" spans="1:5" s="11" customFormat="1" ht="15.95" customHeight="1" x14ac:dyDescent="0.25">
      <c r="A10" s="11" t="s">
        <v>573</v>
      </c>
      <c r="B10" s="12">
        <v>-31417</v>
      </c>
      <c r="C10" s="31">
        <v>43378</v>
      </c>
      <c r="D10" s="28">
        <v>43410</v>
      </c>
    </row>
    <row r="11" spans="1:5" s="11" customFormat="1" ht="15.95" customHeight="1" x14ac:dyDescent="0.25">
      <c r="A11" s="11" t="s">
        <v>574</v>
      </c>
      <c r="B11" s="24">
        <v>-33978</v>
      </c>
      <c r="C11" s="32">
        <v>43404</v>
      </c>
      <c r="D11" s="18">
        <v>43405</v>
      </c>
      <c r="E11" s="26"/>
    </row>
    <row r="12" spans="1:5" s="11" customFormat="1" ht="15.95" customHeight="1" x14ac:dyDescent="0.25">
      <c r="A12" s="11" t="s">
        <v>575</v>
      </c>
      <c r="B12" s="24">
        <v>-35992</v>
      </c>
      <c r="C12" s="32">
        <v>43404</v>
      </c>
      <c r="D12" s="18">
        <v>43405</v>
      </c>
      <c r="E12" s="26"/>
    </row>
    <row r="13" spans="1:5" s="11" customFormat="1" ht="15.95" customHeight="1" x14ac:dyDescent="0.25">
      <c r="A13" s="11" t="s">
        <v>576</v>
      </c>
      <c r="B13" s="24">
        <v>-35992</v>
      </c>
      <c r="C13" s="32">
        <v>43404</v>
      </c>
      <c r="D13" s="18">
        <v>43405</v>
      </c>
      <c r="E13" s="26"/>
    </row>
    <row r="14" spans="1:5" s="11" customFormat="1" ht="15.95" customHeight="1" x14ac:dyDescent="0.25">
      <c r="A14" s="11" t="s">
        <v>577</v>
      </c>
      <c r="B14" s="24">
        <v>-38220</v>
      </c>
      <c r="C14" s="32">
        <v>43404</v>
      </c>
      <c r="D14" s="26">
        <v>43405</v>
      </c>
      <c r="E14" s="26"/>
    </row>
    <row r="15" spans="1:5" s="11" customFormat="1" ht="15.95" customHeight="1" x14ac:dyDescent="0.25">
      <c r="B15" s="24"/>
      <c r="C15" s="26"/>
      <c r="D15" s="26"/>
      <c r="E15" s="26"/>
    </row>
    <row r="16" spans="1:5" s="11" customFormat="1" ht="15.95" customHeight="1" x14ac:dyDescent="0.25">
      <c r="B16" s="24">
        <f>SUM(B9:B15)</f>
        <v>-206109</v>
      </c>
      <c r="C16" s="13"/>
      <c r="D16" s="28"/>
    </row>
    <row r="17" spans="1:9" s="11" customFormat="1" ht="15.95" customHeight="1" x14ac:dyDescent="0.25">
      <c r="A17" s="11" t="s">
        <v>2</v>
      </c>
      <c r="B17" s="24"/>
      <c r="C17" s="30" t="s">
        <v>582</v>
      </c>
      <c r="D17" s="34" t="s">
        <v>578</v>
      </c>
    </row>
    <row r="18" spans="1:9" s="11" customFormat="1" ht="15.95" customHeight="1" x14ac:dyDescent="0.25">
      <c r="A18" s="11" t="s">
        <v>580</v>
      </c>
      <c r="B18" s="24">
        <v>31328</v>
      </c>
      <c r="C18" s="31">
        <v>43402</v>
      </c>
      <c r="D18" s="28">
        <v>43406</v>
      </c>
    </row>
    <row r="19" spans="1:9" s="11" customFormat="1" ht="15.95" customHeight="1" x14ac:dyDescent="0.25">
      <c r="A19" s="11" t="s">
        <v>581</v>
      </c>
      <c r="B19" s="24">
        <v>48821</v>
      </c>
      <c r="C19" s="33">
        <v>43403</v>
      </c>
      <c r="D19" s="28">
        <v>43405</v>
      </c>
      <c r="E19" s="28"/>
    </row>
    <row r="20" spans="1:9" s="11" customFormat="1" ht="15.95" customHeight="1" x14ac:dyDescent="0.25">
      <c r="B20" s="24"/>
      <c r="C20" s="13"/>
      <c r="D20" s="28"/>
    </row>
    <row r="21" spans="1:9" s="11" customFormat="1" ht="15.95" customHeight="1" x14ac:dyDescent="0.25">
      <c r="B21" s="12">
        <f>SUM(B18:B20)</f>
        <v>80149</v>
      </c>
      <c r="C21" s="13"/>
      <c r="D21" s="28"/>
    </row>
    <row r="22" spans="1:9" s="11" customFormat="1" ht="15.95" customHeight="1" x14ac:dyDescent="0.25">
      <c r="A22" s="15" t="s">
        <v>1</v>
      </c>
      <c r="B22" s="16">
        <f>B21+B16</f>
        <v>-125960</v>
      </c>
      <c r="C22" s="13"/>
      <c r="D22" s="28"/>
    </row>
    <row r="23" spans="1:9" s="11" customFormat="1" ht="15.95" customHeight="1" x14ac:dyDescent="0.25">
      <c r="A23" s="11" t="s">
        <v>0</v>
      </c>
      <c r="B23" s="12">
        <f>B22-B7</f>
        <v>0</v>
      </c>
      <c r="C23" s="13"/>
      <c r="D23" s="28"/>
    </row>
    <row r="24" spans="1:9" s="11" customFormat="1" ht="20.100000000000001" customHeight="1" x14ac:dyDescent="0.3">
      <c r="A24" s="1"/>
      <c r="B24" s="3"/>
      <c r="C24" s="13"/>
      <c r="D24" s="28"/>
    </row>
    <row r="25" spans="1:9" s="11" customFormat="1" ht="20.100000000000001" customHeight="1" x14ac:dyDescent="0.3">
      <c r="A25" s="1"/>
      <c r="B25" s="3"/>
      <c r="C25" s="13"/>
      <c r="D25" s="28"/>
    </row>
    <row r="26" spans="1:9" s="11" customFormat="1" ht="20.100000000000001" customHeight="1" x14ac:dyDescent="0.3">
      <c r="A26" s="1"/>
      <c r="B26" s="3"/>
      <c r="C26" s="13"/>
      <c r="D26" s="28"/>
    </row>
    <row r="27" spans="1:9" s="11" customFormat="1" ht="20.100000000000001" customHeight="1" x14ac:dyDescent="0.3">
      <c r="A27" s="1"/>
      <c r="B27" s="3"/>
      <c r="C27" s="13"/>
      <c r="D27" s="28"/>
    </row>
    <row r="28" spans="1:9" s="11" customFormat="1" ht="20.100000000000001" customHeight="1" x14ac:dyDescent="0.3">
      <c r="A28" s="1"/>
      <c r="B28" s="3"/>
      <c r="C28" s="13"/>
      <c r="D28" s="28"/>
    </row>
    <row r="29" spans="1:9" s="13" customFormat="1" ht="20.100000000000001" customHeight="1" x14ac:dyDescent="0.3">
      <c r="A29" s="1"/>
      <c r="B29" s="3"/>
      <c r="D29" s="28"/>
      <c r="E29" s="11"/>
      <c r="F29" s="11"/>
      <c r="G29" s="11"/>
      <c r="H29" s="11"/>
      <c r="I29" s="11"/>
    </row>
    <row r="30" spans="1:9" s="13" customFormat="1" ht="20.100000000000001" customHeight="1" x14ac:dyDescent="0.3">
      <c r="A30" s="1"/>
      <c r="B30" s="3"/>
      <c r="D30" s="28"/>
      <c r="E30" s="11"/>
      <c r="F30" s="11"/>
      <c r="G30" s="11"/>
      <c r="H30" s="11"/>
      <c r="I30" s="11"/>
    </row>
    <row r="31" spans="1:9" s="13" customFormat="1" ht="20.100000000000001" customHeight="1" x14ac:dyDescent="0.3">
      <c r="A31" s="1"/>
      <c r="B31" s="3"/>
      <c r="D31" s="28"/>
      <c r="E31" s="11"/>
      <c r="F31" s="11"/>
      <c r="G31" s="11"/>
      <c r="H31" s="11"/>
      <c r="I31" s="11"/>
    </row>
    <row r="32" spans="1:9" ht="20.100000000000001" customHeight="1" x14ac:dyDescent="0.3"/>
    <row r="33" ht="20.100000000000001" customHeight="1" x14ac:dyDescent="0.3"/>
    <row r="34" ht="20.100000000000001" customHeight="1" x14ac:dyDescent="0.3"/>
    <row r="35" ht="20.100000000000001" customHeight="1" x14ac:dyDescent="0.3"/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44"/>
  <sheetViews>
    <sheetView workbookViewId="0">
      <selection activeCell="H10" sqref="H10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11.7109375" style="6" customWidth="1"/>
    <col min="4" max="4" width="12.42578125" style="35" customWidth="1"/>
    <col min="5" max="7" width="9.140625" style="1"/>
    <col min="8" max="8" width="17.7109375" style="1" customWidth="1"/>
    <col min="9" max="16384" width="9.140625" style="1"/>
  </cols>
  <sheetData>
    <row r="1" spans="1:5" s="11" customFormat="1" ht="20.100000000000001" customHeight="1" x14ac:dyDescent="0.25">
      <c r="A1" s="11" t="s">
        <v>304</v>
      </c>
      <c r="B1" s="12"/>
      <c r="C1" s="13"/>
      <c r="D1" s="28"/>
    </row>
    <row r="2" spans="1:5" s="11" customFormat="1" ht="20.100000000000001" customHeight="1" x14ac:dyDescent="0.25">
      <c r="A2" s="14">
        <v>43434</v>
      </c>
      <c r="B2" s="12"/>
      <c r="C2" s="13"/>
      <c r="D2" s="28"/>
    </row>
    <row r="3" spans="1:5" s="11" customFormat="1" ht="20.100000000000001" customHeight="1" x14ac:dyDescent="0.25">
      <c r="A3" s="11" t="s">
        <v>311</v>
      </c>
      <c r="B3" s="12">
        <v>9514012</v>
      </c>
      <c r="C3" s="13"/>
      <c r="D3" s="28"/>
    </row>
    <row r="4" spans="1:5" s="11" customFormat="1" ht="20.100000000000001" customHeight="1" x14ac:dyDescent="0.25">
      <c r="A4" s="11" t="s">
        <v>6</v>
      </c>
      <c r="B4" s="12"/>
      <c r="C4" s="13"/>
      <c r="D4" s="28"/>
    </row>
    <row r="5" spans="1:5" s="11" customFormat="1" ht="20.100000000000001" customHeight="1" x14ac:dyDescent="0.25">
      <c r="A5" s="11">
        <v>2100</v>
      </c>
      <c r="B5" s="12">
        <v>-9844742</v>
      </c>
      <c r="C5" s="13"/>
      <c r="D5" s="28"/>
    </row>
    <row r="6" spans="1:5" s="11" customFormat="1" ht="20.100000000000001" customHeight="1" x14ac:dyDescent="0.25">
      <c r="A6" s="11" t="s">
        <v>5</v>
      </c>
      <c r="B6" s="12">
        <f>SUM(B5:B5)</f>
        <v>-9844742</v>
      </c>
      <c r="C6" s="13"/>
      <c r="D6" s="28"/>
    </row>
    <row r="7" spans="1:5" s="11" customFormat="1" ht="20.100000000000001" customHeight="1" x14ac:dyDescent="0.25">
      <c r="A7" s="15" t="s">
        <v>4</v>
      </c>
      <c r="B7" s="16">
        <f>SUM(B3+B6)</f>
        <v>-330730</v>
      </c>
      <c r="C7" s="13"/>
      <c r="D7" s="28"/>
    </row>
    <row r="8" spans="1:5" s="11" customFormat="1" ht="15.95" customHeight="1" x14ac:dyDescent="0.25">
      <c r="A8" s="11" t="s">
        <v>3</v>
      </c>
      <c r="B8" s="12"/>
      <c r="C8" s="30" t="s">
        <v>600</v>
      </c>
      <c r="D8" s="34" t="s">
        <v>601</v>
      </c>
    </row>
    <row r="9" spans="1:5" s="11" customFormat="1" ht="15.95" customHeight="1" x14ac:dyDescent="0.25">
      <c r="A9" s="11" t="s">
        <v>583</v>
      </c>
      <c r="B9" s="12">
        <v>-25978</v>
      </c>
      <c r="C9" s="31">
        <v>43433</v>
      </c>
      <c r="D9" s="28">
        <v>43437</v>
      </c>
      <c r="E9" s="28"/>
    </row>
    <row r="10" spans="1:5" s="11" customFormat="1" ht="15.95" customHeight="1" x14ac:dyDescent="0.25">
      <c r="A10" s="11" t="s">
        <v>584</v>
      </c>
      <c r="B10" s="12">
        <v>-28382</v>
      </c>
      <c r="C10" s="31">
        <v>43433</v>
      </c>
      <c r="D10" s="28">
        <v>43437</v>
      </c>
    </row>
    <row r="11" spans="1:5" s="11" customFormat="1" ht="15.95" customHeight="1" x14ac:dyDescent="0.25">
      <c r="A11" s="11" t="s">
        <v>585</v>
      </c>
      <c r="B11" s="24">
        <v>-33193</v>
      </c>
      <c r="C11" s="32">
        <v>43433</v>
      </c>
      <c r="D11" s="18">
        <v>43437</v>
      </c>
      <c r="E11" s="26"/>
    </row>
    <row r="12" spans="1:5" s="11" customFormat="1" ht="15.95" customHeight="1" x14ac:dyDescent="0.25">
      <c r="A12" s="11" t="s">
        <v>586</v>
      </c>
      <c r="B12" s="24">
        <v>-33193</v>
      </c>
      <c r="C12" s="32">
        <v>43433</v>
      </c>
      <c r="D12" s="18">
        <v>43437</v>
      </c>
      <c r="E12" s="26"/>
    </row>
    <row r="13" spans="1:5" s="11" customFormat="1" ht="15.95" customHeight="1" x14ac:dyDescent="0.25">
      <c r="A13" s="11" t="s">
        <v>587</v>
      </c>
      <c r="B13" s="24">
        <v>-36110</v>
      </c>
      <c r="C13" s="32">
        <v>43434</v>
      </c>
      <c r="D13" s="18">
        <v>43437</v>
      </c>
      <c r="E13" s="26"/>
    </row>
    <row r="14" spans="1:5" s="11" customFormat="1" ht="15.95" customHeight="1" x14ac:dyDescent="0.25">
      <c r="A14" s="11" t="s">
        <v>588</v>
      </c>
      <c r="B14" s="24">
        <v>-40981</v>
      </c>
      <c r="C14" s="32">
        <v>43434</v>
      </c>
      <c r="D14" s="18">
        <v>43437</v>
      </c>
      <c r="E14" s="26"/>
    </row>
    <row r="15" spans="1:5" s="11" customFormat="1" ht="15.95" customHeight="1" x14ac:dyDescent="0.25">
      <c r="A15" s="11" t="s">
        <v>589</v>
      </c>
      <c r="B15" s="24">
        <v>-42082</v>
      </c>
      <c r="C15" s="32">
        <v>43434</v>
      </c>
      <c r="D15" s="18">
        <v>43437</v>
      </c>
      <c r="E15" s="26"/>
    </row>
    <row r="16" spans="1:5" s="11" customFormat="1" ht="15.95" customHeight="1" x14ac:dyDescent="0.25">
      <c r="A16" s="11" t="s">
        <v>590</v>
      </c>
      <c r="B16" s="24">
        <v>-44222</v>
      </c>
      <c r="C16" s="32">
        <v>43434</v>
      </c>
      <c r="D16" s="18">
        <v>43437</v>
      </c>
      <c r="E16" s="26"/>
    </row>
    <row r="17" spans="1:7" s="11" customFormat="1" ht="15.95" customHeight="1" x14ac:dyDescent="0.25">
      <c r="A17" s="11" t="s">
        <v>591</v>
      </c>
      <c r="B17" s="24">
        <v>-47708</v>
      </c>
      <c r="C17" s="32">
        <v>43434</v>
      </c>
      <c r="D17" s="18">
        <v>43437</v>
      </c>
      <c r="E17" s="26"/>
    </row>
    <row r="18" spans="1:7" s="11" customFormat="1" ht="15.95" customHeight="1" x14ac:dyDescent="0.25">
      <c r="A18" s="11" t="s">
        <v>592</v>
      </c>
      <c r="B18" s="24">
        <v>-47708</v>
      </c>
      <c r="C18" s="32">
        <v>43434</v>
      </c>
      <c r="D18" s="18">
        <v>43437</v>
      </c>
      <c r="E18" s="26"/>
    </row>
    <row r="19" spans="1:7" s="11" customFormat="1" ht="15.95" customHeight="1" x14ac:dyDescent="0.25">
      <c r="A19" s="11" t="s">
        <v>593</v>
      </c>
      <c r="B19" s="24">
        <v>-47910</v>
      </c>
      <c r="C19" s="32">
        <v>43434</v>
      </c>
      <c r="D19" s="18">
        <v>43437</v>
      </c>
      <c r="E19" s="26"/>
    </row>
    <row r="20" spans="1:7" s="11" customFormat="1" ht="15.95" customHeight="1" x14ac:dyDescent="0.25">
      <c r="A20" s="22" t="s">
        <v>594</v>
      </c>
      <c r="B20" s="23">
        <v>-49208</v>
      </c>
      <c r="C20" s="200" t="s">
        <v>602</v>
      </c>
      <c r="D20" s="200"/>
      <c r="E20" s="200"/>
      <c r="F20" s="200"/>
      <c r="G20" s="201"/>
    </row>
    <row r="21" spans="1:7" s="11" customFormat="1" ht="15.95" customHeight="1" x14ac:dyDescent="0.25">
      <c r="A21" s="21"/>
      <c r="B21" s="20"/>
      <c r="C21" s="202"/>
      <c r="D21" s="202"/>
      <c r="E21" s="202"/>
      <c r="F21" s="202"/>
      <c r="G21" s="203"/>
    </row>
    <row r="22" spans="1:7" s="11" customFormat="1" ht="15.95" customHeight="1" x14ac:dyDescent="0.25">
      <c r="B22" s="24">
        <f>SUM(B9:B21)</f>
        <v>-476675</v>
      </c>
      <c r="C22" s="13"/>
      <c r="D22" s="28"/>
    </row>
    <row r="23" spans="1:7" s="11" customFormat="1" ht="15.95" customHeight="1" x14ac:dyDescent="0.25">
      <c r="A23" s="11" t="s">
        <v>2</v>
      </c>
      <c r="B23" s="24"/>
      <c r="C23" s="30" t="s">
        <v>582</v>
      </c>
      <c r="D23" s="34" t="s">
        <v>600</v>
      </c>
    </row>
    <row r="24" spans="1:7" s="11" customFormat="1" ht="15.95" customHeight="1" x14ac:dyDescent="0.25">
      <c r="A24" s="11" t="s">
        <v>595</v>
      </c>
      <c r="B24" s="24">
        <v>24920</v>
      </c>
      <c r="C24" s="31">
        <v>43433</v>
      </c>
      <c r="D24" s="28">
        <v>43437</v>
      </c>
    </row>
    <row r="25" spans="1:7" s="11" customFormat="1" ht="15.95" customHeight="1" x14ac:dyDescent="0.25">
      <c r="A25" s="11" t="s">
        <v>596</v>
      </c>
      <c r="B25" s="24">
        <v>25211</v>
      </c>
      <c r="C25" s="31">
        <v>43433</v>
      </c>
      <c r="D25" s="28">
        <v>43437</v>
      </c>
    </row>
    <row r="26" spans="1:7" s="11" customFormat="1" ht="15.95" customHeight="1" x14ac:dyDescent="0.25">
      <c r="A26" s="11" t="s">
        <v>597</v>
      </c>
      <c r="B26" s="24">
        <v>31938</v>
      </c>
      <c r="C26" s="31">
        <v>43433</v>
      </c>
      <c r="D26" s="28">
        <v>43437</v>
      </c>
    </row>
    <row r="27" spans="1:7" s="11" customFormat="1" ht="15.95" customHeight="1" x14ac:dyDescent="0.25">
      <c r="A27" s="11" t="s">
        <v>598</v>
      </c>
      <c r="B27" s="24">
        <v>31938</v>
      </c>
      <c r="C27" s="31">
        <v>43433</v>
      </c>
      <c r="D27" s="28">
        <v>43437</v>
      </c>
    </row>
    <row r="28" spans="1:7" s="11" customFormat="1" ht="15.95" customHeight="1" x14ac:dyDescent="0.25">
      <c r="A28" s="11" t="s">
        <v>599</v>
      </c>
      <c r="B28" s="24">
        <v>31938</v>
      </c>
      <c r="C28" s="31">
        <v>43433</v>
      </c>
      <c r="D28" s="28">
        <v>43437</v>
      </c>
    </row>
    <row r="29" spans="1:7" s="11" customFormat="1" ht="15.95" customHeight="1" x14ac:dyDescent="0.25">
      <c r="B29" s="24"/>
      <c r="C29" s="13"/>
      <c r="D29" s="28"/>
    </row>
    <row r="30" spans="1:7" s="11" customFormat="1" ht="15.95" customHeight="1" x14ac:dyDescent="0.25">
      <c r="B30" s="12">
        <f>SUM(B24:B29)</f>
        <v>145945</v>
      </c>
      <c r="C30" s="13"/>
      <c r="D30" s="28"/>
    </row>
    <row r="31" spans="1:7" s="11" customFormat="1" ht="15.95" customHeight="1" x14ac:dyDescent="0.25">
      <c r="A31" s="15" t="s">
        <v>1</v>
      </c>
      <c r="B31" s="16">
        <f>B30+B22</f>
        <v>-330730</v>
      </c>
      <c r="C31" s="13"/>
      <c r="D31" s="28"/>
    </row>
    <row r="32" spans="1:7" s="11" customFormat="1" ht="15.95" customHeight="1" x14ac:dyDescent="0.25">
      <c r="A32" s="11" t="s">
        <v>0</v>
      </c>
      <c r="B32" s="12">
        <f>B31-B7</f>
        <v>0</v>
      </c>
      <c r="C32" s="13"/>
      <c r="D32" s="28"/>
    </row>
    <row r="33" spans="1:9" s="11" customFormat="1" ht="20.100000000000001" customHeight="1" x14ac:dyDescent="0.3">
      <c r="A33" s="1"/>
      <c r="B33" s="3"/>
      <c r="C33" s="13"/>
      <c r="D33" s="28"/>
    </row>
    <row r="34" spans="1:9" s="11" customFormat="1" ht="20.100000000000001" customHeight="1" x14ac:dyDescent="0.3">
      <c r="A34" s="1"/>
      <c r="B34" s="3"/>
      <c r="C34" s="13"/>
      <c r="D34" s="28"/>
    </row>
    <row r="35" spans="1:9" s="11" customFormat="1" ht="20.100000000000001" customHeight="1" x14ac:dyDescent="0.3">
      <c r="A35" s="1"/>
      <c r="B35" s="3"/>
      <c r="C35" s="13"/>
      <c r="D35" s="28"/>
    </row>
    <row r="36" spans="1:9" s="11" customFormat="1" ht="20.100000000000001" customHeight="1" x14ac:dyDescent="0.3">
      <c r="A36" s="1"/>
      <c r="B36" s="3"/>
      <c r="C36" s="13"/>
      <c r="D36" s="28"/>
    </row>
    <row r="37" spans="1:9" s="11" customFormat="1" ht="20.100000000000001" customHeight="1" x14ac:dyDescent="0.3">
      <c r="A37" s="1"/>
      <c r="B37" s="3"/>
      <c r="C37" s="13"/>
      <c r="D37" s="28"/>
    </row>
    <row r="38" spans="1:9" s="13" customFormat="1" ht="20.100000000000001" customHeight="1" x14ac:dyDescent="0.3">
      <c r="A38" s="1"/>
      <c r="B38" s="3"/>
      <c r="D38" s="28"/>
      <c r="E38" s="11"/>
      <c r="F38" s="11"/>
      <c r="G38" s="11"/>
      <c r="H38" s="11"/>
      <c r="I38" s="11"/>
    </row>
    <row r="39" spans="1:9" s="13" customFormat="1" ht="20.100000000000001" customHeight="1" x14ac:dyDescent="0.3">
      <c r="A39" s="1"/>
      <c r="B39" s="3"/>
      <c r="D39" s="28"/>
      <c r="E39" s="11"/>
      <c r="F39" s="11"/>
      <c r="G39" s="11"/>
      <c r="H39" s="11"/>
      <c r="I39" s="11"/>
    </row>
    <row r="40" spans="1:9" s="13" customFormat="1" ht="20.100000000000001" customHeight="1" x14ac:dyDescent="0.3">
      <c r="A40" s="1"/>
      <c r="B40" s="3"/>
      <c r="D40" s="28"/>
      <c r="E40" s="11"/>
      <c r="F40" s="11"/>
      <c r="G40" s="11"/>
      <c r="H40" s="11"/>
      <c r="I40" s="11"/>
    </row>
    <row r="41" spans="1:9" ht="20.100000000000001" customHeight="1" x14ac:dyDescent="0.3"/>
    <row r="42" spans="1:9" ht="20.100000000000001" customHeight="1" x14ac:dyDescent="0.3"/>
    <row r="43" spans="1:9" ht="20.100000000000001" customHeight="1" x14ac:dyDescent="0.3"/>
    <row r="44" spans="1:9" ht="20.100000000000001" customHeight="1" x14ac:dyDescent="0.3"/>
  </sheetData>
  <mergeCells count="1">
    <mergeCell ref="C20:G21"/>
  </mergeCells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38"/>
  <sheetViews>
    <sheetView workbookViewId="0">
      <selection activeCell="I30" sqref="I30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11.7109375" style="6" customWidth="1"/>
    <col min="4" max="4" width="12.42578125" style="35" customWidth="1"/>
    <col min="5" max="7" width="9.140625" style="1"/>
    <col min="8" max="8" width="17.7109375" style="1" customWidth="1"/>
    <col min="9" max="16384" width="9.140625" style="1"/>
  </cols>
  <sheetData>
    <row r="1" spans="1:7" s="11" customFormat="1" ht="20.100000000000001" customHeight="1" x14ac:dyDescent="0.25">
      <c r="A1" s="11" t="s">
        <v>304</v>
      </c>
      <c r="B1" s="12"/>
      <c r="C1" s="13"/>
      <c r="D1" s="28"/>
    </row>
    <row r="2" spans="1:7" s="11" customFormat="1" ht="20.100000000000001" customHeight="1" x14ac:dyDescent="0.25">
      <c r="A2" s="14">
        <v>43465</v>
      </c>
      <c r="B2" s="12"/>
      <c r="C2" s="13"/>
      <c r="D2" s="28"/>
    </row>
    <row r="3" spans="1:7" s="11" customFormat="1" ht="20.100000000000001" customHeight="1" x14ac:dyDescent="0.25">
      <c r="A3" s="11" t="s">
        <v>311</v>
      </c>
      <c r="B3" s="12">
        <v>10015378</v>
      </c>
      <c r="C3" s="13"/>
      <c r="D3" s="28"/>
    </row>
    <row r="4" spans="1:7" s="11" customFormat="1" ht="20.100000000000001" customHeight="1" x14ac:dyDescent="0.25">
      <c r="A4" s="11" t="s">
        <v>6</v>
      </c>
      <c r="B4" s="12"/>
      <c r="C4" s="13"/>
      <c r="D4" s="28"/>
    </row>
    <row r="5" spans="1:7" s="11" customFormat="1" ht="20.100000000000001" customHeight="1" x14ac:dyDescent="0.25">
      <c r="A5" s="11">
        <v>2100</v>
      </c>
      <c r="B5" s="12">
        <v>-9915773</v>
      </c>
      <c r="C5" s="13"/>
      <c r="D5" s="28"/>
    </row>
    <row r="6" spans="1:7" s="11" customFormat="1" ht="20.100000000000001" customHeight="1" x14ac:dyDescent="0.25">
      <c r="A6" s="11" t="s">
        <v>5</v>
      </c>
      <c r="B6" s="12">
        <f>SUM(B5:B5)</f>
        <v>-9915773</v>
      </c>
      <c r="C6" s="13"/>
      <c r="D6" s="28"/>
    </row>
    <row r="7" spans="1:7" s="11" customFormat="1" ht="20.100000000000001" customHeight="1" x14ac:dyDescent="0.25">
      <c r="A7" s="15" t="s">
        <v>4</v>
      </c>
      <c r="B7" s="16">
        <f>SUM(B3+B6)</f>
        <v>99605</v>
      </c>
      <c r="C7" s="13"/>
      <c r="D7" s="28"/>
    </row>
    <row r="8" spans="1:7" s="11" customFormat="1" ht="15.95" customHeight="1" x14ac:dyDescent="0.25">
      <c r="A8" s="11" t="s">
        <v>3</v>
      </c>
      <c r="B8" s="12"/>
      <c r="C8" s="31" t="s">
        <v>600</v>
      </c>
      <c r="D8" s="28" t="s">
        <v>601</v>
      </c>
    </row>
    <row r="9" spans="1:7" s="11" customFormat="1" ht="15.95" customHeight="1" x14ac:dyDescent="0.25">
      <c r="A9" s="11" t="s">
        <v>603</v>
      </c>
      <c r="B9" s="24">
        <v>-49685</v>
      </c>
      <c r="C9" s="31">
        <v>43465</v>
      </c>
      <c r="D9" s="28">
        <v>43467</v>
      </c>
    </row>
    <row r="10" spans="1:7" s="11" customFormat="1" ht="15.95" customHeight="1" x14ac:dyDescent="0.25">
      <c r="B10" s="24"/>
      <c r="C10" s="32"/>
      <c r="D10" s="18"/>
      <c r="E10" s="26"/>
    </row>
    <row r="11" spans="1:7" s="11" customFormat="1" ht="15.95" customHeight="1" x14ac:dyDescent="0.25">
      <c r="B11" s="24"/>
      <c r="C11" s="32"/>
      <c r="D11" s="18"/>
      <c r="E11" s="26"/>
    </row>
    <row r="12" spans="1:7" s="11" customFormat="1" ht="15.95" customHeight="1" x14ac:dyDescent="0.25">
      <c r="B12" s="24"/>
      <c r="C12" s="32"/>
      <c r="D12" s="18"/>
      <c r="E12" s="26"/>
    </row>
    <row r="13" spans="1:7" s="11" customFormat="1" ht="15.95" customHeight="1" x14ac:dyDescent="0.25">
      <c r="B13" s="24"/>
      <c r="C13" s="32"/>
      <c r="D13" s="18"/>
      <c r="E13" s="26"/>
    </row>
    <row r="14" spans="1:7" s="11" customFormat="1" ht="15.95" customHeight="1" x14ac:dyDescent="0.25">
      <c r="B14" s="24"/>
      <c r="C14" s="32"/>
      <c r="D14" s="18"/>
      <c r="E14" s="26"/>
    </row>
    <row r="15" spans="1:7" s="11" customFormat="1" ht="15.95" customHeight="1" x14ac:dyDescent="0.25">
      <c r="B15" s="24"/>
      <c r="C15" s="36"/>
      <c r="D15" s="18"/>
      <c r="E15" s="18"/>
      <c r="F15" s="18"/>
      <c r="G15" s="18"/>
    </row>
    <row r="16" spans="1:7" s="11" customFormat="1" ht="15.95" customHeight="1" x14ac:dyDescent="0.25">
      <c r="B16" s="24"/>
      <c r="C16" s="36"/>
      <c r="D16" s="18"/>
      <c r="E16" s="18"/>
      <c r="F16" s="18"/>
      <c r="G16" s="18"/>
    </row>
    <row r="17" spans="1:9" s="11" customFormat="1" ht="15.95" customHeight="1" x14ac:dyDescent="0.25">
      <c r="B17" s="24">
        <f>SUM(B9:B16)</f>
        <v>-49685</v>
      </c>
      <c r="C17" s="13"/>
      <c r="D17" s="28"/>
    </row>
    <row r="18" spans="1:9" s="11" customFormat="1" ht="15.95" customHeight="1" x14ac:dyDescent="0.25">
      <c r="A18" s="11" t="s">
        <v>2</v>
      </c>
      <c r="B18" s="24"/>
      <c r="C18" s="30" t="s">
        <v>582</v>
      </c>
      <c r="D18" s="34" t="s">
        <v>600</v>
      </c>
    </row>
    <row r="19" spans="1:9" s="11" customFormat="1" ht="15.95" customHeight="1" x14ac:dyDescent="0.25">
      <c r="A19" s="11" t="s">
        <v>604</v>
      </c>
      <c r="B19" s="24">
        <v>28021</v>
      </c>
      <c r="C19" s="31">
        <v>43818</v>
      </c>
      <c r="D19" s="28">
        <v>43473</v>
      </c>
    </row>
    <row r="20" spans="1:9" s="11" customFormat="1" ht="15.95" customHeight="1" x14ac:dyDescent="0.25">
      <c r="A20" s="11" t="s">
        <v>605</v>
      </c>
      <c r="B20" s="24">
        <v>47965</v>
      </c>
      <c r="C20" s="31">
        <v>43827</v>
      </c>
      <c r="D20" s="28">
        <v>43470</v>
      </c>
    </row>
    <row r="21" spans="1:9" s="11" customFormat="1" ht="15.95" customHeight="1" x14ac:dyDescent="0.25">
      <c r="A21" s="11" t="s">
        <v>606</v>
      </c>
      <c r="B21" s="24">
        <v>73304</v>
      </c>
      <c r="C21" s="31">
        <v>43825</v>
      </c>
      <c r="D21" s="28">
        <v>43469</v>
      </c>
    </row>
    <row r="22" spans="1:9" s="11" customFormat="1" ht="15.95" customHeight="1" x14ac:dyDescent="0.25">
      <c r="B22" s="24"/>
      <c r="C22" s="31"/>
      <c r="D22" s="28"/>
    </row>
    <row r="23" spans="1:9" s="11" customFormat="1" ht="15.95" customHeight="1" x14ac:dyDescent="0.25">
      <c r="B23" s="24"/>
      <c r="C23" s="13"/>
      <c r="D23" s="28"/>
    </row>
    <row r="24" spans="1:9" s="11" customFormat="1" ht="15.95" customHeight="1" x14ac:dyDescent="0.25">
      <c r="B24" s="12">
        <f>SUM(B19:B23)</f>
        <v>149290</v>
      </c>
      <c r="C24" s="13"/>
      <c r="D24" s="28"/>
    </row>
    <row r="25" spans="1:9" s="11" customFormat="1" ht="15.95" customHeight="1" x14ac:dyDescent="0.25">
      <c r="A25" s="15" t="s">
        <v>1</v>
      </c>
      <c r="B25" s="16">
        <f>B24+B17</f>
        <v>99605</v>
      </c>
      <c r="C25" s="13"/>
      <c r="D25" s="28"/>
    </row>
    <row r="26" spans="1:9" s="11" customFormat="1" ht="15.95" customHeight="1" x14ac:dyDescent="0.25">
      <c r="A26" s="11" t="s">
        <v>0</v>
      </c>
      <c r="B26" s="12">
        <f>B25-B7</f>
        <v>0</v>
      </c>
      <c r="C26" s="13"/>
      <c r="D26" s="28"/>
    </row>
    <row r="27" spans="1:9" s="11" customFormat="1" ht="20.100000000000001" customHeight="1" x14ac:dyDescent="0.3">
      <c r="A27" s="1"/>
      <c r="B27" s="3"/>
      <c r="C27" s="13"/>
      <c r="D27" s="28"/>
    </row>
    <row r="28" spans="1:9" s="11" customFormat="1" ht="20.100000000000001" customHeight="1" x14ac:dyDescent="0.3">
      <c r="A28" s="1"/>
      <c r="B28" s="3"/>
      <c r="C28" s="13"/>
      <c r="D28" s="28"/>
    </row>
    <row r="29" spans="1:9" s="11" customFormat="1" ht="20.100000000000001" customHeight="1" x14ac:dyDescent="0.3">
      <c r="A29" s="1"/>
      <c r="B29" s="3"/>
      <c r="C29" s="13"/>
      <c r="D29" s="28"/>
    </row>
    <row r="30" spans="1:9" s="11" customFormat="1" ht="20.100000000000001" customHeight="1" x14ac:dyDescent="0.3">
      <c r="A30" s="1"/>
      <c r="B30" s="3"/>
      <c r="C30" s="13"/>
      <c r="D30" s="28"/>
    </row>
    <row r="31" spans="1:9" s="11" customFormat="1" ht="20.100000000000001" customHeight="1" x14ac:dyDescent="0.3">
      <c r="A31" s="1"/>
      <c r="B31" s="3"/>
      <c r="C31" s="13"/>
      <c r="D31" s="28"/>
    </row>
    <row r="32" spans="1:9" s="13" customFormat="1" ht="20.100000000000001" customHeight="1" x14ac:dyDescent="0.3">
      <c r="A32" s="1"/>
      <c r="B32" s="3"/>
      <c r="D32" s="28"/>
      <c r="E32" s="11"/>
      <c r="F32" s="11"/>
      <c r="G32" s="11"/>
      <c r="H32" s="11"/>
      <c r="I32" s="11"/>
    </row>
    <row r="33" spans="1:9" s="13" customFormat="1" ht="20.100000000000001" customHeight="1" x14ac:dyDescent="0.3">
      <c r="A33" s="1"/>
      <c r="B33" s="3"/>
      <c r="D33" s="28"/>
      <c r="E33" s="11"/>
      <c r="F33" s="11"/>
      <c r="G33" s="11"/>
      <c r="H33" s="11"/>
      <c r="I33" s="11"/>
    </row>
    <row r="34" spans="1:9" s="13" customFormat="1" ht="20.100000000000001" customHeight="1" x14ac:dyDescent="0.3">
      <c r="A34" s="1"/>
      <c r="B34" s="3"/>
      <c r="D34" s="28"/>
      <c r="E34" s="11"/>
      <c r="F34" s="11"/>
      <c r="G34" s="11"/>
      <c r="H34" s="11"/>
      <c r="I34" s="11"/>
    </row>
    <row r="35" spans="1:9" ht="20.100000000000001" customHeight="1" x14ac:dyDescent="0.3"/>
    <row r="36" spans="1:9" ht="20.100000000000001" customHeight="1" x14ac:dyDescent="0.3"/>
    <row r="37" spans="1:9" ht="20.100000000000001" customHeight="1" x14ac:dyDescent="0.3"/>
    <row r="38" spans="1:9" ht="20.100000000000001" customHeight="1" x14ac:dyDescent="0.3"/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38"/>
  <sheetViews>
    <sheetView workbookViewId="0">
      <selection activeCell="C20" sqref="C20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11.7109375" style="6" customWidth="1"/>
    <col min="4" max="4" width="12.42578125" style="35" customWidth="1"/>
    <col min="5" max="7" width="9.140625" style="1"/>
    <col min="8" max="8" width="17.7109375" style="1" customWidth="1"/>
    <col min="9" max="16384" width="9.140625" style="1"/>
  </cols>
  <sheetData>
    <row r="1" spans="1:7" s="11" customFormat="1" ht="20.100000000000001" customHeight="1" x14ac:dyDescent="0.25">
      <c r="A1" s="11" t="s">
        <v>304</v>
      </c>
      <c r="B1" s="12"/>
      <c r="C1" s="13"/>
      <c r="D1" s="28"/>
    </row>
    <row r="2" spans="1:7" s="11" customFormat="1" ht="20.100000000000001" customHeight="1" x14ac:dyDescent="0.25">
      <c r="A2" s="14">
        <v>43496</v>
      </c>
      <c r="B2" s="12"/>
      <c r="C2" s="13"/>
      <c r="D2" s="28"/>
    </row>
    <row r="3" spans="1:7" s="11" customFormat="1" ht="20.100000000000001" customHeight="1" x14ac:dyDescent="0.25">
      <c r="A3" s="11" t="s">
        <v>311</v>
      </c>
      <c r="B3" s="12">
        <v>9791906</v>
      </c>
      <c r="C3" s="13"/>
      <c r="D3" s="28"/>
    </row>
    <row r="4" spans="1:7" s="11" customFormat="1" ht="20.100000000000001" customHeight="1" x14ac:dyDescent="0.25">
      <c r="A4" s="11" t="s">
        <v>6</v>
      </c>
      <c r="B4" s="12"/>
      <c r="C4" s="13"/>
      <c r="D4" s="28"/>
    </row>
    <row r="5" spans="1:7" s="11" customFormat="1" ht="20.100000000000001" customHeight="1" x14ac:dyDescent="0.25">
      <c r="A5" s="11">
        <v>2100</v>
      </c>
      <c r="B5" s="12">
        <v>-10023528</v>
      </c>
      <c r="C5" s="13"/>
      <c r="D5" s="28"/>
    </row>
    <row r="6" spans="1:7" s="11" customFormat="1" ht="20.100000000000001" customHeight="1" x14ac:dyDescent="0.25">
      <c r="A6" s="11" t="s">
        <v>5</v>
      </c>
      <c r="B6" s="12">
        <f>SUM(B5:B5)</f>
        <v>-10023528</v>
      </c>
      <c r="C6" s="13"/>
      <c r="D6" s="28"/>
    </row>
    <row r="7" spans="1:7" s="11" customFormat="1" ht="20.100000000000001" customHeight="1" x14ac:dyDescent="0.25">
      <c r="A7" s="15" t="s">
        <v>4</v>
      </c>
      <c r="B7" s="16">
        <f>SUM(B3+B6)</f>
        <v>-231622</v>
      </c>
      <c r="C7" s="13"/>
      <c r="D7" s="28"/>
    </row>
    <row r="8" spans="1:7" s="11" customFormat="1" ht="15.95" customHeight="1" x14ac:dyDescent="0.25">
      <c r="A8" s="11" t="s">
        <v>3</v>
      </c>
      <c r="B8" s="12"/>
      <c r="C8" s="31" t="s">
        <v>600</v>
      </c>
      <c r="D8" s="28" t="s">
        <v>601</v>
      </c>
    </row>
    <row r="9" spans="1:7" s="11" customFormat="1" ht="15.95" customHeight="1" x14ac:dyDescent="0.25">
      <c r="A9" s="11" t="s">
        <v>607</v>
      </c>
      <c r="B9" s="24">
        <v>-23338</v>
      </c>
      <c r="C9" s="31">
        <v>43496</v>
      </c>
      <c r="D9" s="28">
        <v>43497</v>
      </c>
    </row>
    <row r="10" spans="1:7" s="11" customFormat="1" ht="15.95" customHeight="1" x14ac:dyDescent="0.25">
      <c r="A10" s="11" t="s">
        <v>608</v>
      </c>
      <c r="B10" s="24">
        <v>-26772</v>
      </c>
      <c r="C10" s="32">
        <v>43496</v>
      </c>
      <c r="D10" s="18">
        <v>43497</v>
      </c>
      <c r="E10" s="26"/>
    </row>
    <row r="11" spans="1:7" s="11" customFormat="1" ht="15.95" customHeight="1" x14ac:dyDescent="0.25">
      <c r="A11" s="11" t="s">
        <v>609</v>
      </c>
      <c r="B11" s="24">
        <v>-48080</v>
      </c>
      <c r="C11" s="32" t="s">
        <v>614</v>
      </c>
      <c r="D11" s="18"/>
      <c r="E11" s="26"/>
    </row>
    <row r="12" spans="1:7" s="11" customFormat="1" ht="15.95" customHeight="1" x14ac:dyDescent="0.25">
      <c r="A12" s="11" t="s">
        <v>610</v>
      </c>
      <c r="B12" s="24">
        <v>-51056</v>
      </c>
      <c r="C12" s="32">
        <v>43496</v>
      </c>
      <c r="D12" s="18">
        <v>43497</v>
      </c>
      <c r="E12" s="26"/>
    </row>
    <row r="13" spans="1:7" s="11" customFormat="1" ht="15.95" customHeight="1" x14ac:dyDescent="0.25">
      <c r="A13" s="11" t="s">
        <v>611</v>
      </c>
      <c r="B13" s="24">
        <v>-56973</v>
      </c>
      <c r="C13" s="32">
        <v>43496</v>
      </c>
      <c r="D13" s="18">
        <v>43497</v>
      </c>
      <c r="E13" s="26"/>
    </row>
    <row r="14" spans="1:7" s="11" customFormat="1" ht="15.95" customHeight="1" x14ac:dyDescent="0.25">
      <c r="A14" s="11" t="s">
        <v>612</v>
      </c>
      <c r="B14" s="24">
        <v>-74211</v>
      </c>
      <c r="C14" s="32">
        <v>43496</v>
      </c>
      <c r="D14" s="18">
        <v>43503</v>
      </c>
      <c r="E14" s="26"/>
    </row>
    <row r="15" spans="1:7" s="11" customFormat="1" ht="15.95" customHeight="1" x14ac:dyDescent="0.25">
      <c r="B15" s="24"/>
      <c r="C15" s="36"/>
      <c r="D15" s="18"/>
      <c r="E15" s="18"/>
      <c r="F15" s="18"/>
      <c r="G15" s="18"/>
    </row>
    <row r="16" spans="1:7" s="11" customFormat="1" ht="15.95" customHeight="1" x14ac:dyDescent="0.25">
      <c r="B16" s="24"/>
      <c r="C16" s="36"/>
      <c r="D16" s="18"/>
      <c r="E16" s="18"/>
      <c r="F16" s="18"/>
      <c r="G16" s="18"/>
    </row>
    <row r="17" spans="1:9" s="11" customFormat="1" ht="15.95" customHeight="1" x14ac:dyDescent="0.25">
      <c r="B17" s="24">
        <f>SUM(B9:B16)</f>
        <v>-280430</v>
      </c>
      <c r="C17" s="13"/>
      <c r="D17" s="28"/>
    </row>
    <row r="18" spans="1:9" s="11" customFormat="1" ht="15.95" customHeight="1" x14ac:dyDescent="0.25">
      <c r="A18" s="11" t="s">
        <v>2</v>
      </c>
      <c r="B18" s="24"/>
      <c r="C18" s="30" t="s">
        <v>582</v>
      </c>
      <c r="D18" s="34" t="s">
        <v>600</v>
      </c>
    </row>
    <row r="19" spans="1:9" s="11" customFormat="1" ht="15.95" customHeight="1" x14ac:dyDescent="0.25">
      <c r="A19" s="11" t="s">
        <v>613</v>
      </c>
      <c r="B19" s="24">
        <v>48808</v>
      </c>
      <c r="C19" s="31" t="s">
        <v>529</v>
      </c>
      <c r="D19" s="28"/>
    </row>
    <row r="20" spans="1:9" s="11" customFormat="1" ht="15.95" customHeight="1" x14ac:dyDescent="0.25">
      <c r="B20" s="24"/>
      <c r="C20" s="31"/>
      <c r="D20" s="28"/>
    </row>
    <row r="21" spans="1:9" s="11" customFormat="1" ht="15.95" customHeight="1" x14ac:dyDescent="0.25">
      <c r="B21" s="24"/>
      <c r="C21" s="31"/>
      <c r="D21" s="28"/>
    </row>
    <row r="22" spans="1:9" s="11" customFormat="1" ht="15.95" customHeight="1" x14ac:dyDescent="0.25">
      <c r="B22" s="24"/>
      <c r="C22" s="31"/>
      <c r="D22" s="28"/>
    </row>
    <row r="23" spans="1:9" s="11" customFormat="1" ht="15.95" customHeight="1" x14ac:dyDescent="0.25">
      <c r="B23" s="24"/>
      <c r="C23" s="13"/>
      <c r="D23" s="28"/>
    </row>
    <row r="24" spans="1:9" s="11" customFormat="1" ht="15.95" customHeight="1" x14ac:dyDescent="0.25">
      <c r="B24" s="12">
        <f>SUM(B19:B23)</f>
        <v>48808</v>
      </c>
      <c r="C24" s="13"/>
      <c r="D24" s="28"/>
    </row>
    <row r="25" spans="1:9" s="11" customFormat="1" ht="15.95" customHeight="1" x14ac:dyDescent="0.25">
      <c r="A25" s="15" t="s">
        <v>1</v>
      </c>
      <c r="B25" s="16">
        <f>B24+B17</f>
        <v>-231622</v>
      </c>
      <c r="C25" s="13"/>
      <c r="D25" s="28"/>
    </row>
    <row r="26" spans="1:9" s="11" customFormat="1" ht="15.95" customHeight="1" x14ac:dyDescent="0.25">
      <c r="A26" s="11" t="s">
        <v>0</v>
      </c>
      <c r="B26" s="12">
        <f>B25-B7</f>
        <v>0</v>
      </c>
      <c r="C26" s="13"/>
      <c r="D26" s="28"/>
    </row>
    <row r="27" spans="1:9" s="11" customFormat="1" ht="20.100000000000001" customHeight="1" x14ac:dyDescent="0.3">
      <c r="A27" s="1"/>
      <c r="B27" s="3"/>
      <c r="C27" s="13"/>
      <c r="D27" s="28"/>
    </row>
    <row r="28" spans="1:9" s="11" customFormat="1" ht="20.100000000000001" customHeight="1" x14ac:dyDescent="0.3">
      <c r="A28" s="1"/>
      <c r="B28" s="3"/>
      <c r="C28" s="13"/>
      <c r="D28" s="28"/>
    </row>
    <row r="29" spans="1:9" s="11" customFormat="1" ht="20.100000000000001" customHeight="1" x14ac:dyDescent="0.3">
      <c r="A29" s="1"/>
      <c r="B29" s="3"/>
      <c r="C29" s="13"/>
      <c r="D29" s="28"/>
    </row>
    <row r="30" spans="1:9" s="11" customFormat="1" ht="20.100000000000001" customHeight="1" x14ac:dyDescent="0.3">
      <c r="A30" s="1"/>
      <c r="B30" s="3"/>
      <c r="C30" s="13"/>
      <c r="D30" s="28"/>
    </row>
    <row r="31" spans="1:9" s="11" customFormat="1" ht="20.100000000000001" customHeight="1" x14ac:dyDescent="0.3">
      <c r="A31" s="1"/>
      <c r="B31" s="3"/>
      <c r="C31" s="13"/>
      <c r="D31" s="28"/>
    </row>
    <row r="32" spans="1:9" s="13" customFormat="1" ht="20.100000000000001" customHeight="1" x14ac:dyDescent="0.3">
      <c r="A32" s="1"/>
      <c r="B32" s="3"/>
      <c r="D32" s="28"/>
      <c r="E32" s="11"/>
      <c r="F32" s="11"/>
      <c r="G32" s="11"/>
      <c r="H32" s="11"/>
      <c r="I32" s="11"/>
    </row>
    <row r="33" spans="1:9" s="13" customFormat="1" ht="20.100000000000001" customHeight="1" x14ac:dyDescent="0.3">
      <c r="A33" s="1"/>
      <c r="B33" s="3"/>
      <c r="D33" s="28"/>
      <c r="E33" s="11"/>
      <c r="F33" s="11"/>
      <c r="G33" s="11"/>
      <c r="H33" s="11"/>
      <c r="I33" s="11"/>
    </row>
    <row r="34" spans="1:9" s="13" customFormat="1" ht="20.100000000000001" customHeight="1" x14ac:dyDescent="0.3">
      <c r="A34" s="1"/>
      <c r="B34" s="3"/>
      <c r="D34" s="28"/>
      <c r="E34" s="11"/>
      <c r="F34" s="11"/>
      <c r="G34" s="11"/>
      <c r="H34" s="11"/>
      <c r="I34" s="11"/>
    </row>
    <row r="35" spans="1:9" ht="20.100000000000001" customHeight="1" x14ac:dyDescent="0.3"/>
    <row r="36" spans="1:9" ht="20.100000000000001" customHeight="1" x14ac:dyDescent="0.3"/>
    <row r="37" spans="1:9" ht="20.100000000000001" customHeight="1" x14ac:dyDescent="0.3"/>
    <row r="38" spans="1:9" ht="20.100000000000001" customHeight="1" x14ac:dyDescent="0.3"/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38"/>
  <sheetViews>
    <sheetView workbookViewId="0">
      <selection activeCell="D19" sqref="D19:G21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11.7109375" style="6" customWidth="1"/>
    <col min="4" max="4" width="12.42578125" style="35" customWidth="1"/>
    <col min="5" max="7" width="9.140625" style="1"/>
    <col min="8" max="8" width="17.7109375" style="1" customWidth="1"/>
    <col min="9" max="16384" width="9.140625" style="1"/>
  </cols>
  <sheetData>
    <row r="1" spans="1:7" s="11" customFormat="1" ht="20.100000000000001" customHeight="1" x14ac:dyDescent="0.25">
      <c r="A1" s="11" t="s">
        <v>304</v>
      </c>
      <c r="B1" s="12"/>
      <c r="C1" s="13"/>
      <c r="D1" s="28"/>
    </row>
    <row r="2" spans="1:7" s="11" customFormat="1" ht="20.100000000000001" customHeight="1" x14ac:dyDescent="0.25">
      <c r="A2" s="14">
        <v>43524</v>
      </c>
      <c r="B2" s="12"/>
      <c r="C2" s="13"/>
      <c r="D2" s="28"/>
    </row>
    <row r="3" spans="1:7" s="11" customFormat="1" ht="20.100000000000001" customHeight="1" x14ac:dyDescent="0.25">
      <c r="A3" s="11" t="s">
        <v>311</v>
      </c>
      <c r="B3" s="12">
        <v>11078350</v>
      </c>
      <c r="C3" s="13"/>
      <c r="D3" s="28"/>
    </row>
    <row r="4" spans="1:7" s="11" customFormat="1" ht="20.100000000000001" customHeight="1" x14ac:dyDescent="0.25">
      <c r="A4" s="11" t="s">
        <v>6</v>
      </c>
      <c r="B4" s="12"/>
      <c r="C4" s="13"/>
      <c r="D4" s="28"/>
    </row>
    <row r="5" spans="1:7" s="11" customFormat="1" ht="20.100000000000001" customHeight="1" x14ac:dyDescent="0.25">
      <c r="A5" s="11">
        <v>2100</v>
      </c>
      <c r="B5" s="12">
        <v>-11131910</v>
      </c>
      <c r="C5" s="13"/>
      <c r="D5" s="28"/>
    </row>
    <row r="6" spans="1:7" s="11" customFormat="1" ht="20.100000000000001" customHeight="1" x14ac:dyDescent="0.25">
      <c r="A6" s="11" t="s">
        <v>5</v>
      </c>
      <c r="B6" s="12">
        <f>SUM(B5:B5)</f>
        <v>-11131910</v>
      </c>
      <c r="C6" s="13"/>
      <c r="D6" s="28"/>
    </row>
    <row r="7" spans="1:7" s="11" customFormat="1" ht="20.100000000000001" customHeight="1" x14ac:dyDescent="0.25">
      <c r="A7" s="15" t="s">
        <v>4</v>
      </c>
      <c r="B7" s="16">
        <f>SUM(B3+B6)</f>
        <v>-53560</v>
      </c>
      <c r="C7" s="13"/>
      <c r="D7" s="28"/>
    </row>
    <row r="8" spans="1:7" s="11" customFormat="1" ht="15.95" customHeight="1" x14ac:dyDescent="0.25">
      <c r="A8" s="11" t="s">
        <v>3</v>
      </c>
      <c r="B8" s="12"/>
      <c r="C8" s="31" t="s">
        <v>600</v>
      </c>
      <c r="D8" s="28" t="s">
        <v>601</v>
      </c>
    </row>
    <row r="9" spans="1:7" s="11" customFormat="1" ht="15.95" customHeight="1" x14ac:dyDescent="0.25">
      <c r="A9" s="11" t="s">
        <v>615</v>
      </c>
      <c r="B9" s="24">
        <v>-44188</v>
      </c>
      <c r="C9" s="31">
        <v>43524</v>
      </c>
      <c r="D9" s="28">
        <v>43525</v>
      </c>
    </row>
    <row r="10" spans="1:7" s="11" customFormat="1" ht="15.95" customHeight="1" x14ac:dyDescent="0.25">
      <c r="A10" s="11" t="s">
        <v>616</v>
      </c>
      <c r="B10" s="24">
        <v>-48909</v>
      </c>
      <c r="C10" s="32">
        <v>43524</v>
      </c>
      <c r="D10" s="18">
        <v>43525</v>
      </c>
      <c r="E10" s="26"/>
    </row>
    <row r="11" spans="1:7" s="11" customFormat="1" ht="15.95" customHeight="1" x14ac:dyDescent="0.25">
      <c r="B11" s="24"/>
      <c r="C11" s="32"/>
      <c r="D11" s="18"/>
      <c r="E11" s="26"/>
    </row>
    <row r="12" spans="1:7" s="11" customFormat="1" ht="15.95" customHeight="1" x14ac:dyDescent="0.25">
      <c r="B12" s="24"/>
      <c r="C12" s="32"/>
      <c r="D12" s="18"/>
      <c r="E12" s="26"/>
    </row>
    <row r="13" spans="1:7" s="11" customFormat="1" ht="15.95" customHeight="1" x14ac:dyDescent="0.25">
      <c r="B13" s="24"/>
      <c r="C13" s="32"/>
      <c r="D13" s="18"/>
      <c r="E13" s="26"/>
    </row>
    <row r="14" spans="1:7" s="11" customFormat="1" ht="15.95" customHeight="1" x14ac:dyDescent="0.25">
      <c r="B14" s="24"/>
      <c r="C14" s="32"/>
      <c r="D14" s="18"/>
      <c r="E14" s="26"/>
    </row>
    <row r="15" spans="1:7" s="11" customFormat="1" ht="15.95" customHeight="1" x14ac:dyDescent="0.25">
      <c r="B15" s="24"/>
      <c r="C15" s="36"/>
      <c r="D15" s="18"/>
      <c r="E15" s="18"/>
      <c r="F15" s="18"/>
      <c r="G15" s="18"/>
    </row>
    <row r="16" spans="1:7" s="11" customFormat="1" ht="15.95" customHeight="1" x14ac:dyDescent="0.25">
      <c r="B16" s="24"/>
      <c r="C16" s="36"/>
      <c r="D16" s="18"/>
      <c r="E16" s="18"/>
      <c r="F16" s="18"/>
      <c r="G16" s="18"/>
    </row>
    <row r="17" spans="1:9" s="11" customFormat="1" ht="15.95" customHeight="1" x14ac:dyDescent="0.25">
      <c r="B17" s="24">
        <f>SUM(B9:B16)</f>
        <v>-93097</v>
      </c>
      <c r="C17" s="13"/>
      <c r="D17" s="28"/>
    </row>
    <row r="18" spans="1:9" s="11" customFormat="1" ht="15.95" customHeight="1" x14ac:dyDescent="0.25">
      <c r="A18" s="11" t="s">
        <v>2</v>
      </c>
      <c r="B18" s="24"/>
      <c r="C18" s="30" t="s">
        <v>582</v>
      </c>
      <c r="D18" s="34"/>
    </row>
    <row r="19" spans="1:9" s="11" customFormat="1" ht="15.95" customHeight="1" x14ac:dyDescent="0.25">
      <c r="A19" s="11" t="s">
        <v>617</v>
      </c>
      <c r="B19" s="24">
        <v>39537</v>
      </c>
      <c r="C19" s="31">
        <v>43508</v>
      </c>
      <c r="D19" s="204" t="s">
        <v>618</v>
      </c>
      <c r="E19" s="205"/>
      <c r="F19" s="205"/>
      <c r="G19" s="205"/>
    </row>
    <row r="20" spans="1:9" s="11" customFormat="1" ht="15.95" customHeight="1" x14ac:dyDescent="0.25">
      <c r="B20" s="24"/>
      <c r="C20" s="31"/>
      <c r="D20" s="204"/>
      <c r="E20" s="205"/>
      <c r="F20" s="205"/>
      <c r="G20" s="205"/>
    </row>
    <row r="21" spans="1:9" s="11" customFormat="1" ht="15.95" customHeight="1" x14ac:dyDescent="0.25">
      <c r="B21" s="24"/>
      <c r="C21" s="31"/>
      <c r="D21" s="204"/>
      <c r="E21" s="205"/>
      <c r="F21" s="205"/>
      <c r="G21" s="205"/>
    </row>
    <row r="22" spans="1:9" s="11" customFormat="1" ht="15.95" customHeight="1" x14ac:dyDescent="0.25">
      <c r="B22" s="24"/>
      <c r="C22" s="31"/>
      <c r="D22" s="28"/>
    </row>
    <row r="23" spans="1:9" s="11" customFormat="1" ht="15.95" customHeight="1" x14ac:dyDescent="0.25">
      <c r="B23" s="24"/>
      <c r="C23" s="13"/>
      <c r="D23" s="28"/>
    </row>
    <row r="24" spans="1:9" s="11" customFormat="1" ht="15.95" customHeight="1" x14ac:dyDescent="0.25">
      <c r="B24" s="12">
        <f>SUM(B19:B23)</f>
        <v>39537</v>
      </c>
      <c r="C24" s="13"/>
      <c r="D24" s="28"/>
    </row>
    <row r="25" spans="1:9" s="11" customFormat="1" ht="15.95" customHeight="1" x14ac:dyDescent="0.25">
      <c r="A25" s="15" t="s">
        <v>1</v>
      </c>
      <c r="B25" s="16">
        <f>B24+B17</f>
        <v>-53560</v>
      </c>
      <c r="C25" s="13"/>
      <c r="D25" s="28"/>
    </row>
    <row r="26" spans="1:9" s="11" customFormat="1" ht="15.95" customHeight="1" x14ac:dyDescent="0.25">
      <c r="A26" s="11" t="s">
        <v>0</v>
      </c>
      <c r="B26" s="12">
        <f>B25-B7</f>
        <v>0</v>
      </c>
      <c r="C26" s="13"/>
      <c r="D26" s="28"/>
    </row>
    <row r="27" spans="1:9" s="11" customFormat="1" ht="20.100000000000001" customHeight="1" x14ac:dyDescent="0.3">
      <c r="A27" s="1"/>
      <c r="B27" s="3"/>
      <c r="C27" s="13"/>
      <c r="D27" s="28"/>
    </row>
    <row r="28" spans="1:9" s="11" customFormat="1" ht="20.100000000000001" customHeight="1" x14ac:dyDescent="0.3">
      <c r="A28" s="1"/>
      <c r="B28" s="3"/>
      <c r="C28" s="13"/>
      <c r="D28" s="28"/>
    </row>
    <row r="29" spans="1:9" s="11" customFormat="1" ht="20.100000000000001" customHeight="1" x14ac:dyDescent="0.3">
      <c r="A29" s="1"/>
      <c r="B29" s="3"/>
      <c r="C29" s="13"/>
      <c r="D29" s="28"/>
    </row>
    <row r="30" spans="1:9" s="11" customFormat="1" ht="20.100000000000001" customHeight="1" x14ac:dyDescent="0.3">
      <c r="A30" s="1"/>
      <c r="B30" s="3"/>
      <c r="C30" s="13"/>
      <c r="D30" s="28"/>
    </row>
    <row r="31" spans="1:9" s="11" customFormat="1" ht="20.100000000000001" customHeight="1" x14ac:dyDescent="0.3">
      <c r="A31" s="1"/>
      <c r="B31" s="3"/>
      <c r="C31" s="13"/>
      <c r="D31" s="28"/>
    </row>
    <row r="32" spans="1:9" s="13" customFormat="1" ht="20.100000000000001" customHeight="1" x14ac:dyDescent="0.3">
      <c r="A32" s="1"/>
      <c r="B32" s="3"/>
      <c r="D32" s="28"/>
      <c r="E32" s="11"/>
      <c r="F32" s="11"/>
      <c r="G32" s="11"/>
      <c r="H32" s="11"/>
      <c r="I32" s="11"/>
    </row>
    <row r="33" spans="1:9" s="13" customFormat="1" ht="20.100000000000001" customHeight="1" x14ac:dyDescent="0.3">
      <c r="A33" s="1"/>
      <c r="B33" s="3"/>
      <c r="D33" s="28"/>
      <c r="E33" s="11"/>
      <c r="F33" s="11"/>
      <c r="G33" s="11"/>
      <c r="H33" s="11"/>
      <c r="I33" s="11"/>
    </row>
    <row r="34" spans="1:9" s="13" customFormat="1" ht="20.100000000000001" customHeight="1" x14ac:dyDescent="0.3">
      <c r="A34" s="1"/>
      <c r="B34" s="3"/>
      <c r="D34" s="28"/>
      <c r="E34" s="11"/>
      <c r="F34" s="11"/>
      <c r="G34" s="11"/>
      <c r="H34" s="11"/>
      <c r="I34" s="11"/>
    </row>
    <row r="35" spans="1:9" ht="20.100000000000001" customHeight="1" x14ac:dyDescent="0.3"/>
    <row r="36" spans="1:9" ht="20.100000000000001" customHeight="1" x14ac:dyDescent="0.3"/>
    <row r="37" spans="1:9" ht="20.100000000000001" customHeight="1" x14ac:dyDescent="0.3"/>
    <row r="38" spans="1:9" ht="20.100000000000001" customHeight="1" x14ac:dyDescent="0.3"/>
  </sheetData>
  <mergeCells count="1">
    <mergeCell ref="D19:G21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35"/>
  <sheetViews>
    <sheetView workbookViewId="0">
      <selection activeCell="D16" sqref="D16:F16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14.85546875" style="6" bestFit="1" customWidth="1"/>
    <col min="4" max="4" width="12.42578125" style="35" customWidth="1"/>
    <col min="5" max="7" width="9.140625" style="1"/>
    <col min="8" max="8" width="17.7109375" style="1" customWidth="1"/>
    <col min="9" max="16384" width="9.140625" style="1"/>
  </cols>
  <sheetData>
    <row r="1" spans="1:7" s="11" customFormat="1" ht="20.100000000000001" customHeight="1" x14ac:dyDescent="0.25">
      <c r="A1" s="11" t="s">
        <v>304</v>
      </c>
      <c r="B1" s="12"/>
      <c r="C1" s="13"/>
      <c r="D1" s="28"/>
    </row>
    <row r="2" spans="1:7" s="11" customFormat="1" ht="20.100000000000001" customHeight="1" x14ac:dyDescent="0.25">
      <c r="A2" s="14">
        <v>43555</v>
      </c>
      <c r="B2" s="12"/>
      <c r="C2" s="13"/>
      <c r="D2" s="28"/>
    </row>
    <row r="3" spans="1:7" s="11" customFormat="1" ht="20.100000000000001" customHeight="1" x14ac:dyDescent="0.25">
      <c r="A3" s="11" t="s">
        <v>311</v>
      </c>
      <c r="B3" s="12">
        <v>12030344</v>
      </c>
      <c r="C3" s="13"/>
      <c r="D3" s="28"/>
    </row>
    <row r="4" spans="1:7" s="11" customFormat="1" ht="20.100000000000001" customHeight="1" x14ac:dyDescent="0.25">
      <c r="A4" s="11" t="s">
        <v>6</v>
      </c>
      <c r="B4" s="12"/>
      <c r="C4" s="13"/>
      <c r="D4" s="28"/>
    </row>
    <row r="5" spans="1:7" s="11" customFormat="1" ht="20.100000000000001" customHeight="1" x14ac:dyDescent="0.25">
      <c r="A5" s="11">
        <v>2100</v>
      </c>
      <c r="B5" s="12">
        <v>-12046467</v>
      </c>
      <c r="C5" s="13"/>
      <c r="D5" s="28"/>
    </row>
    <row r="6" spans="1:7" s="11" customFormat="1" ht="20.100000000000001" customHeight="1" x14ac:dyDescent="0.25">
      <c r="A6" s="11" t="s">
        <v>5</v>
      </c>
      <c r="B6" s="12">
        <f>SUM(B5:B5)</f>
        <v>-12046467</v>
      </c>
      <c r="C6" s="13"/>
      <c r="D6" s="28"/>
    </row>
    <row r="7" spans="1:7" s="11" customFormat="1" ht="20.100000000000001" customHeight="1" x14ac:dyDescent="0.25">
      <c r="A7" s="15" t="s">
        <v>4</v>
      </c>
      <c r="B7" s="16">
        <f>SUM(B3+B6)</f>
        <v>-16123</v>
      </c>
      <c r="C7" s="13"/>
      <c r="D7" s="28"/>
    </row>
    <row r="8" spans="1:7" s="11" customFormat="1" ht="15.95" customHeight="1" x14ac:dyDescent="0.25">
      <c r="A8" s="11" t="s">
        <v>3</v>
      </c>
      <c r="B8" s="12"/>
      <c r="C8" s="31" t="s">
        <v>600</v>
      </c>
      <c r="D8" s="28" t="s">
        <v>601</v>
      </c>
    </row>
    <row r="9" spans="1:7" s="11" customFormat="1" ht="15.95" customHeight="1" x14ac:dyDescent="0.25">
      <c r="A9" s="11" t="s">
        <v>619</v>
      </c>
      <c r="B9" s="24">
        <v>-51261</v>
      </c>
      <c r="C9" s="31">
        <v>43553</v>
      </c>
      <c r="D9" s="28">
        <v>43556</v>
      </c>
    </row>
    <row r="10" spans="1:7" s="11" customFormat="1" ht="15.95" customHeight="1" x14ac:dyDescent="0.25">
      <c r="A10" s="11" t="s">
        <v>620</v>
      </c>
      <c r="B10" s="24">
        <v>-82144</v>
      </c>
      <c r="C10" s="29" t="s">
        <v>627</v>
      </c>
      <c r="D10" s="37"/>
      <c r="E10" s="38"/>
    </row>
    <row r="11" spans="1:7" s="11" customFormat="1" ht="15.95" customHeight="1" x14ac:dyDescent="0.25">
      <c r="A11" s="11" t="s">
        <v>621</v>
      </c>
      <c r="B11" s="24">
        <v>-82144</v>
      </c>
      <c r="C11" s="29" t="s">
        <v>627</v>
      </c>
      <c r="D11" s="37"/>
      <c r="E11" s="38"/>
    </row>
    <row r="12" spans="1:7" s="11" customFormat="1" ht="15.95" customHeight="1" x14ac:dyDescent="0.25">
      <c r="A12" s="11" t="s">
        <v>622</v>
      </c>
      <c r="B12" s="24">
        <v>-83478</v>
      </c>
      <c r="C12" s="29" t="s">
        <v>627</v>
      </c>
      <c r="D12" s="37"/>
      <c r="E12" s="38"/>
    </row>
    <row r="13" spans="1:7" s="11" customFormat="1" ht="15.95" customHeight="1" x14ac:dyDescent="0.25">
      <c r="B13" s="24"/>
      <c r="C13" s="18"/>
      <c r="D13" s="18"/>
      <c r="E13" s="18"/>
      <c r="F13" s="18"/>
      <c r="G13" s="18"/>
    </row>
    <row r="14" spans="1:7" s="11" customFormat="1" ht="15.95" customHeight="1" x14ac:dyDescent="0.25">
      <c r="B14" s="24">
        <f>SUM(B9:B13)</f>
        <v>-299027</v>
      </c>
      <c r="C14" s="13"/>
      <c r="D14" s="28"/>
    </row>
    <row r="15" spans="1:7" s="11" customFormat="1" ht="15.95" customHeight="1" x14ac:dyDescent="0.25">
      <c r="A15" s="11" t="s">
        <v>2</v>
      </c>
      <c r="B15" s="24"/>
      <c r="C15" s="30" t="s">
        <v>626</v>
      </c>
      <c r="D15" s="34" t="s">
        <v>628</v>
      </c>
    </row>
    <row r="16" spans="1:7" s="11" customFormat="1" ht="48" customHeight="1" x14ac:dyDescent="0.25">
      <c r="A16" s="39" t="s">
        <v>617</v>
      </c>
      <c r="B16" s="40">
        <v>39537</v>
      </c>
      <c r="C16" s="32">
        <v>43508</v>
      </c>
      <c r="D16" s="206" t="s">
        <v>629</v>
      </c>
      <c r="E16" s="207"/>
      <c r="F16" s="207"/>
    </row>
    <row r="17" spans="1:9" s="11" customFormat="1" ht="15.95" customHeight="1" x14ac:dyDescent="0.25">
      <c r="A17" s="11" t="s">
        <v>624</v>
      </c>
      <c r="B17" s="24">
        <v>80967</v>
      </c>
      <c r="C17" s="13" t="s">
        <v>627</v>
      </c>
      <c r="D17" s="28"/>
    </row>
    <row r="18" spans="1:9" s="11" customFormat="1" ht="15.95" customHeight="1" x14ac:dyDescent="0.25">
      <c r="A18" s="11" t="s">
        <v>623</v>
      </c>
      <c r="B18" s="24">
        <v>80967</v>
      </c>
      <c r="C18" s="29" t="s">
        <v>627</v>
      </c>
      <c r="D18" s="28"/>
    </row>
    <row r="19" spans="1:9" s="11" customFormat="1" ht="15.95" customHeight="1" x14ac:dyDescent="0.25">
      <c r="A19" s="11" t="s">
        <v>625</v>
      </c>
      <c r="B19" s="24">
        <v>81433</v>
      </c>
      <c r="C19" s="13" t="s">
        <v>627</v>
      </c>
      <c r="D19" s="28"/>
    </row>
    <row r="20" spans="1:9" s="11" customFormat="1" ht="15.95" customHeight="1" x14ac:dyDescent="0.25">
      <c r="B20" s="24"/>
      <c r="C20" s="13"/>
      <c r="D20" s="28"/>
    </row>
    <row r="21" spans="1:9" s="11" customFormat="1" ht="15.95" customHeight="1" x14ac:dyDescent="0.25">
      <c r="B21" s="12">
        <f>SUM(B16:B20)</f>
        <v>282904</v>
      </c>
      <c r="C21" s="13"/>
      <c r="D21" s="28"/>
    </row>
    <row r="22" spans="1:9" s="11" customFormat="1" ht="15.95" customHeight="1" x14ac:dyDescent="0.25">
      <c r="A22" s="15" t="s">
        <v>1</v>
      </c>
      <c r="B22" s="16">
        <f>B21+B14</f>
        <v>-16123</v>
      </c>
      <c r="C22" s="13"/>
      <c r="D22" s="28"/>
    </row>
    <row r="23" spans="1:9" s="11" customFormat="1" ht="15.95" customHeight="1" x14ac:dyDescent="0.25">
      <c r="A23" s="11" t="s">
        <v>0</v>
      </c>
      <c r="B23" s="12">
        <f>B22-B7</f>
        <v>0</v>
      </c>
      <c r="C23" s="13"/>
      <c r="D23" s="28"/>
    </row>
    <row r="24" spans="1:9" s="11" customFormat="1" ht="20.100000000000001" customHeight="1" x14ac:dyDescent="0.3">
      <c r="A24" s="1"/>
      <c r="B24" s="3"/>
      <c r="C24" s="13"/>
      <c r="D24" s="28"/>
    </row>
    <row r="25" spans="1:9" s="11" customFormat="1" ht="20.100000000000001" customHeight="1" x14ac:dyDescent="0.3">
      <c r="A25" s="1"/>
      <c r="B25" s="3"/>
      <c r="C25" s="13"/>
      <c r="D25" s="28"/>
    </row>
    <row r="26" spans="1:9" s="11" customFormat="1" ht="20.100000000000001" customHeight="1" x14ac:dyDescent="0.3">
      <c r="A26" s="1"/>
      <c r="B26" s="3"/>
      <c r="C26" s="13"/>
      <c r="D26" s="28"/>
    </row>
    <row r="27" spans="1:9" s="11" customFormat="1" ht="20.100000000000001" customHeight="1" x14ac:dyDescent="0.3">
      <c r="A27" s="1"/>
      <c r="B27" s="3"/>
      <c r="C27" s="13"/>
      <c r="D27" s="28"/>
    </row>
    <row r="28" spans="1:9" s="11" customFormat="1" ht="20.100000000000001" customHeight="1" x14ac:dyDescent="0.3">
      <c r="A28" s="1"/>
      <c r="B28" s="3"/>
      <c r="C28" s="13"/>
      <c r="D28" s="28"/>
    </row>
    <row r="29" spans="1:9" s="13" customFormat="1" ht="20.100000000000001" customHeight="1" x14ac:dyDescent="0.3">
      <c r="A29" s="1"/>
      <c r="B29" s="3"/>
      <c r="D29" s="28"/>
      <c r="E29" s="11"/>
      <c r="F29" s="11"/>
      <c r="G29" s="11"/>
      <c r="H29" s="11"/>
      <c r="I29" s="11"/>
    </row>
    <row r="30" spans="1:9" s="13" customFormat="1" ht="20.100000000000001" customHeight="1" x14ac:dyDescent="0.3">
      <c r="A30" s="1"/>
      <c r="B30" s="3"/>
      <c r="D30" s="28"/>
      <c r="E30" s="11"/>
      <c r="F30" s="11"/>
      <c r="G30" s="11"/>
      <c r="H30" s="11"/>
      <c r="I30" s="11"/>
    </row>
    <row r="31" spans="1:9" s="13" customFormat="1" ht="20.100000000000001" customHeight="1" x14ac:dyDescent="0.3">
      <c r="A31" s="1"/>
      <c r="B31" s="3"/>
      <c r="D31" s="28"/>
      <c r="E31" s="11"/>
      <c r="F31" s="11"/>
      <c r="G31" s="11"/>
      <c r="H31" s="11"/>
      <c r="I31" s="11"/>
    </row>
    <row r="32" spans="1:9" ht="20.100000000000001" customHeight="1" x14ac:dyDescent="0.3"/>
    <row r="33" ht="20.100000000000001" customHeight="1" x14ac:dyDescent="0.3"/>
    <row r="34" ht="20.100000000000001" customHeight="1" x14ac:dyDescent="0.3"/>
    <row r="35" ht="20.100000000000001" customHeight="1" x14ac:dyDescent="0.3"/>
  </sheetData>
  <mergeCells count="1">
    <mergeCell ref="D16:F16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I35"/>
  <sheetViews>
    <sheetView workbookViewId="0">
      <selection activeCell="H16" sqref="H16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24.7109375" style="6" customWidth="1"/>
    <col min="4" max="4" width="14.42578125" style="35" bestFit="1" customWidth="1"/>
    <col min="5" max="7" width="9.140625" style="1"/>
    <col min="8" max="8" width="17.7109375" style="1" customWidth="1"/>
    <col min="9" max="16384" width="9.140625" style="1"/>
  </cols>
  <sheetData>
    <row r="1" spans="1:7" s="11" customFormat="1" ht="20.100000000000001" customHeight="1" x14ac:dyDescent="0.25">
      <c r="A1" s="11" t="s">
        <v>304</v>
      </c>
      <c r="B1" s="12"/>
      <c r="C1" s="13"/>
      <c r="D1" s="28"/>
    </row>
    <row r="2" spans="1:7" s="11" customFormat="1" ht="20.100000000000001" customHeight="1" x14ac:dyDescent="0.25">
      <c r="A2" s="14">
        <v>43585</v>
      </c>
      <c r="B2" s="12"/>
      <c r="C2" s="13"/>
      <c r="D2" s="28"/>
    </row>
    <row r="3" spans="1:7" s="11" customFormat="1" ht="20.100000000000001" customHeight="1" x14ac:dyDescent="0.25">
      <c r="A3" s="11" t="s">
        <v>311</v>
      </c>
      <c r="B3" s="12">
        <v>11632826</v>
      </c>
      <c r="C3" s="13"/>
      <c r="D3" s="28"/>
    </row>
    <row r="4" spans="1:7" s="11" customFormat="1" ht="20.100000000000001" customHeight="1" x14ac:dyDescent="0.25">
      <c r="A4" s="11" t="s">
        <v>6</v>
      </c>
      <c r="B4" s="12"/>
      <c r="C4" s="13"/>
      <c r="D4" s="28"/>
    </row>
    <row r="5" spans="1:7" s="11" customFormat="1" ht="20.100000000000001" customHeight="1" x14ac:dyDescent="0.25">
      <c r="A5" s="11">
        <v>2100</v>
      </c>
      <c r="B5" s="12">
        <v>-11761475</v>
      </c>
      <c r="C5" s="13"/>
      <c r="D5" s="28"/>
    </row>
    <row r="6" spans="1:7" s="11" customFormat="1" ht="20.100000000000001" customHeight="1" x14ac:dyDescent="0.25">
      <c r="A6" s="11" t="s">
        <v>5</v>
      </c>
      <c r="B6" s="12">
        <f>SUM(B5:B5)</f>
        <v>-11761475</v>
      </c>
      <c r="C6" s="13"/>
      <c r="D6" s="28"/>
    </row>
    <row r="7" spans="1:7" s="11" customFormat="1" ht="20.100000000000001" customHeight="1" x14ac:dyDescent="0.25">
      <c r="A7" s="15" t="s">
        <v>4</v>
      </c>
      <c r="B7" s="16">
        <f>SUM(B3+B6)</f>
        <v>-128649</v>
      </c>
      <c r="C7" s="13"/>
      <c r="D7" s="28"/>
    </row>
    <row r="8" spans="1:7" s="11" customFormat="1" ht="15.95" customHeight="1" x14ac:dyDescent="0.25">
      <c r="A8" s="11" t="s">
        <v>3</v>
      </c>
      <c r="B8" s="12"/>
      <c r="C8" s="31" t="s">
        <v>635</v>
      </c>
      <c r="D8" s="28" t="s">
        <v>634</v>
      </c>
    </row>
    <row r="9" spans="1:7" s="11" customFormat="1" ht="15.95" customHeight="1" x14ac:dyDescent="0.25">
      <c r="A9" s="11" t="s">
        <v>630</v>
      </c>
      <c r="B9" s="24">
        <v>-36163</v>
      </c>
      <c r="C9" s="31" t="s">
        <v>638</v>
      </c>
      <c r="D9" s="28">
        <v>43559</v>
      </c>
    </row>
    <row r="10" spans="1:7" s="11" customFormat="1" ht="15.95" customHeight="1" x14ac:dyDescent="0.25">
      <c r="A10" s="11" t="s">
        <v>631</v>
      </c>
      <c r="B10" s="24">
        <v>-39088</v>
      </c>
      <c r="C10" s="32" t="s">
        <v>638</v>
      </c>
      <c r="D10" s="37">
        <v>43559</v>
      </c>
      <c r="E10" s="38"/>
    </row>
    <row r="11" spans="1:7" s="11" customFormat="1" ht="15.95" customHeight="1" x14ac:dyDescent="0.25">
      <c r="A11" s="11" t="s">
        <v>632</v>
      </c>
      <c r="B11" s="24">
        <v>-39720</v>
      </c>
      <c r="C11" s="32" t="s">
        <v>637</v>
      </c>
      <c r="D11" s="37" t="s">
        <v>636</v>
      </c>
      <c r="E11" s="38"/>
    </row>
    <row r="12" spans="1:7" s="11" customFormat="1" ht="15.95" customHeight="1" x14ac:dyDescent="0.25">
      <c r="A12" s="11" t="s">
        <v>633</v>
      </c>
      <c r="B12" s="24">
        <v>-53215</v>
      </c>
      <c r="C12" s="32" t="s">
        <v>637</v>
      </c>
      <c r="D12" s="37" t="s">
        <v>636</v>
      </c>
      <c r="E12" s="38"/>
    </row>
    <row r="13" spans="1:7" s="11" customFormat="1" ht="15.95" customHeight="1" x14ac:dyDescent="0.25">
      <c r="B13" s="24"/>
      <c r="C13" s="36"/>
      <c r="D13" s="18"/>
      <c r="E13" s="18"/>
      <c r="F13" s="18"/>
      <c r="G13" s="18"/>
    </row>
    <row r="14" spans="1:7" s="11" customFormat="1" ht="15.95" customHeight="1" x14ac:dyDescent="0.25">
      <c r="B14" s="24">
        <f>SUM(B9:B13)</f>
        <v>-168186</v>
      </c>
      <c r="C14" s="13"/>
      <c r="D14" s="28"/>
    </row>
    <row r="15" spans="1:7" s="11" customFormat="1" ht="15.95" customHeight="1" x14ac:dyDescent="0.25">
      <c r="A15" s="11" t="s">
        <v>2</v>
      </c>
      <c r="B15" s="24"/>
      <c r="C15" s="30" t="s">
        <v>626</v>
      </c>
      <c r="D15" s="34" t="s">
        <v>628</v>
      </c>
    </row>
    <row r="16" spans="1:7" s="11" customFormat="1" ht="54.75" customHeight="1" x14ac:dyDescent="0.25">
      <c r="A16" s="39" t="s">
        <v>617</v>
      </c>
      <c r="B16" s="40">
        <v>39537</v>
      </c>
      <c r="C16" s="41">
        <v>43508</v>
      </c>
      <c r="D16" s="208" t="s">
        <v>639</v>
      </c>
      <c r="E16" s="209"/>
      <c r="F16" s="209"/>
    </row>
    <row r="17" spans="1:9" s="11" customFormat="1" ht="15.95" customHeight="1" x14ac:dyDescent="0.25">
      <c r="B17" s="24"/>
      <c r="C17" s="31"/>
      <c r="D17" s="28"/>
    </row>
    <row r="18" spans="1:9" s="11" customFormat="1" ht="15.95" customHeight="1" x14ac:dyDescent="0.25">
      <c r="B18" s="24"/>
      <c r="C18" s="32"/>
      <c r="D18" s="28"/>
    </row>
    <row r="19" spans="1:9" s="11" customFormat="1" ht="15.95" customHeight="1" x14ac:dyDescent="0.25">
      <c r="B19" s="24"/>
      <c r="C19" s="31"/>
      <c r="D19" s="28"/>
    </row>
    <row r="20" spans="1:9" s="11" customFormat="1" ht="15.95" customHeight="1" x14ac:dyDescent="0.25">
      <c r="B20" s="24"/>
      <c r="C20" s="31"/>
      <c r="D20" s="28"/>
    </row>
    <row r="21" spans="1:9" s="11" customFormat="1" ht="15.95" customHeight="1" x14ac:dyDescent="0.25">
      <c r="B21" s="12">
        <f>SUM(B16:B20)</f>
        <v>39537</v>
      </c>
      <c r="C21" s="13"/>
      <c r="D21" s="28"/>
    </row>
    <row r="22" spans="1:9" s="11" customFormat="1" ht="15.95" customHeight="1" x14ac:dyDescent="0.25">
      <c r="A22" s="15" t="s">
        <v>1</v>
      </c>
      <c r="B22" s="16">
        <f>B21+B14</f>
        <v>-128649</v>
      </c>
      <c r="C22" s="13"/>
      <c r="D22" s="28"/>
    </row>
    <row r="23" spans="1:9" s="11" customFormat="1" ht="15.95" customHeight="1" x14ac:dyDescent="0.25">
      <c r="A23" s="11" t="s">
        <v>0</v>
      </c>
      <c r="B23" s="12">
        <f>B22-B7</f>
        <v>0</v>
      </c>
      <c r="C23" s="13"/>
      <c r="D23" s="28"/>
    </row>
    <row r="24" spans="1:9" s="11" customFormat="1" ht="20.100000000000001" customHeight="1" x14ac:dyDescent="0.3">
      <c r="A24" s="1"/>
      <c r="B24" s="3"/>
      <c r="C24" s="13"/>
      <c r="D24" s="28"/>
    </row>
    <row r="25" spans="1:9" s="11" customFormat="1" ht="20.100000000000001" customHeight="1" x14ac:dyDescent="0.3">
      <c r="A25" s="1"/>
      <c r="B25" s="3"/>
      <c r="C25" s="13"/>
      <c r="D25" s="28"/>
    </row>
    <row r="26" spans="1:9" s="11" customFormat="1" ht="20.100000000000001" customHeight="1" x14ac:dyDescent="0.3">
      <c r="A26" s="1"/>
      <c r="B26" s="3"/>
      <c r="C26" s="13"/>
      <c r="D26" s="28"/>
    </row>
    <row r="27" spans="1:9" s="11" customFormat="1" ht="20.100000000000001" customHeight="1" x14ac:dyDescent="0.3">
      <c r="A27" s="1"/>
      <c r="B27" s="3"/>
      <c r="C27" s="13"/>
      <c r="D27" s="28"/>
    </row>
    <row r="28" spans="1:9" s="11" customFormat="1" ht="20.100000000000001" customHeight="1" x14ac:dyDescent="0.3">
      <c r="A28" s="1"/>
      <c r="B28" s="3"/>
      <c r="C28" s="13"/>
      <c r="D28" s="28"/>
    </row>
    <row r="29" spans="1:9" s="13" customFormat="1" ht="20.100000000000001" customHeight="1" x14ac:dyDescent="0.3">
      <c r="A29" s="1"/>
      <c r="B29" s="3"/>
      <c r="D29" s="28"/>
      <c r="E29" s="11"/>
      <c r="F29" s="11"/>
      <c r="G29" s="11"/>
      <c r="H29" s="11"/>
      <c r="I29" s="11"/>
    </row>
    <row r="30" spans="1:9" s="13" customFormat="1" ht="20.100000000000001" customHeight="1" x14ac:dyDescent="0.3">
      <c r="A30" s="1"/>
      <c r="B30" s="3"/>
      <c r="D30" s="28"/>
      <c r="E30" s="11"/>
      <c r="F30" s="11"/>
      <c r="G30" s="11"/>
      <c r="H30" s="11"/>
      <c r="I30" s="11"/>
    </row>
    <row r="31" spans="1:9" s="13" customFormat="1" ht="20.100000000000001" customHeight="1" x14ac:dyDescent="0.3">
      <c r="A31" s="1"/>
      <c r="B31" s="3"/>
      <c r="D31" s="28"/>
      <c r="E31" s="11"/>
      <c r="F31" s="11"/>
      <c r="G31" s="11"/>
      <c r="H31" s="11"/>
      <c r="I31" s="11"/>
    </row>
    <row r="32" spans="1:9" ht="20.100000000000001" customHeight="1" x14ac:dyDescent="0.3"/>
    <row r="33" ht="20.100000000000001" customHeight="1" x14ac:dyDescent="0.3"/>
    <row r="34" ht="20.100000000000001" customHeight="1" x14ac:dyDescent="0.3"/>
    <row r="35" ht="20.100000000000001" customHeight="1" x14ac:dyDescent="0.3"/>
  </sheetData>
  <mergeCells count="1">
    <mergeCell ref="D16:F16"/>
  </mergeCells>
  <pageMargins left="0.7" right="0.7" top="0.75" bottom="0.75" header="0.3" footer="0.3"/>
  <pageSetup scale="96" fitToHeight="0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I43"/>
  <sheetViews>
    <sheetView workbookViewId="0">
      <selection activeCell="C29" sqref="C29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18" style="6" customWidth="1"/>
    <col min="4" max="4" width="14.42578125" style="35" bestFit="1" customWidth="1"/>
    <col min="5" max="7" width="9.140625" style="1"/>
    <col min="8" max="8" width="17.7109375" style="1" customWidth="1"/>
    <col min="9" max="16384" width="9.140625" style="1"/>
  </cols>
  <sheetData>
    <row r="1" spans="1:5" s="11" customFormat="1" ht="20.100000000000001" customHeight="1" x14ac:dyDescent="0.25">
      <c r="A1" s="11" t="s">
        <v>304</v>
      </c>
      <c r="B1" s="12"/>
      <c r="C1" s="13"/>
      <c r="D1" s="28"/>
    </row>
    <row r="2" spans="1:5" s="11" customFormat="1" ht="20.100000000000001" customHeight="1" x14ac:dyDescent="0.25">
      <c r="A2" s="14">
        <v>43616</v>
      </c>
      <c r="B2" s="12"/>
      <c r="C2" s="13"/>
      <c r="D2" s="28"/>
    </row>
    <row r="3" spans="1:5" s="11" customFormat="1" ht="20.100000000000001" customHeight="1" x14ac:dyDescent="0.25">
      <c r="A3" s="11" t="s">
        <v>311</v>
      </c>
      <c r="B3" s="12">
        <v>12649671</v>
      </c>
      <c r="C3" s="13"/>
      <c r="D3" s="28"/>
    </row>
    <row r="4" spans="1:5" s="11" customFormat="1" ht="20.100000000000001" customHeight="1" x14ac:dyDescent="0.25">
      <c r="A4" s="11" t="s">
        <v>6</v>
      </c>
      <c r="B4" s="12"/>
      <c r="C4" s="13"/>
      <c r="D4" s="28"/>
    </row>
    <row r="5" spans="1:5" s="11" customFormat="1" ht="20.100000000000001" customHeight="1" x14ac:dyDescent="0.25">
      <c r="A5" s="11">
        <v>2100</v>
      </c>
      <c r="B5" s="12">
        <v>-12592494</v>
      </c>
      <c r="C5" s="13"/>
      <c r="D5" s="28"/>
    </row>
    <row r="6" spans="1:5" s="11" customFormat="1" ht="20.100000000000001" customHeight="1" x14ac:dyDescent="0.25">
      <c r="A6" s="11" t="s">
        <v>5</v>
      </c>
      <c r="B6" s="12">
        <f>SUM(B5:B5)</f>
        <v>-12592494</v>
      </c>
      <c r="C6" s="13"/>
      <c r="D6" s="28"/>
    </row>
    <row r="7" spans="1:5" s="11" customFormat="1" ht="20.100000000000001" customHeight="1" x14ac:dyDescent="0.25">
      <c r="A7" s="15" t="s">
        <v>4</v>
      </c>
      <c r="B7" s="16">
        <f>SUM(B3+B6)</f>
        <v>57177</v>
      </c>
      <c r="C7" s="13"/>
      <c r="D7" s="28"/>
    </row>
    <row r="8" spans="1:5" s="11" customFormat="1" ht="15.95" customHeight="1" x14ac:dyDescent="0.25">
      <c r="A8" s="11" t="s">
        <v>3</v>
      </c>
      <c r="B8" s="12"/>
      <c r="C8" s="33" t="s">
        <v>660</v>
      </c>
      <c r="D8" s="28" t="s">
        <v>661</v>
      </c>
    </row>
    <row r="9" spans="1:5" s="11" customFormat="1" ht="15.95" customHeight="1" x14ac:dyDescent="0.25">
      <c r="A9" s="11" t="s">
        <v>641</v>
      </c>
      <c r="B9" s="24">
        <v>-20325</v>
      </c>
      <c r="C9" s="33" t="s">
        <v>658</v>
      </c>
      <c r="D9" s="28" t="s">
        <v>659</v>
      </c>
    </row>
    <row r="10" spans="1:5" s="11" customFormat="1" ht="15.95" customHeight="1" x14ac:dyDescent="0.25">
      <c r="A10" s="11" t="s">
        <v>640</v>
      </c>
      <c r="B10" s="24">
        <v>-24304</v>
      </c>
      <c r="C10" s="42" t="s">
        <v>664</v>
      </c>
      <c r="D10" s="18" t="s">
        <v>659</v>
      </c>
      <c r="E10" s="38"/>
    </row>
    <row r="11" spans="1:5" s="11" customFormat="1" ht="15.95" customHeight="1" x14ac:dyDescent="0.25">
      <c r="A11" s="11" t="s">
        <v>642</v>
      </c>
      <c r="B11" s="24">
        <v>-25448</v>
      </c>
      <c r="C11" s="42" t="s">
        <v>646</v>
      </c>
      <c r="D11" s="18" t="s">
        <v>662</v>
      </c>
      <c r="E11" s="38"/>
    </row>
    <row r="12" spans="1:5" s="11" customFormat="1" ht="15.95" customHeight="1" x14ac:dyDescent="0.25">
      <c r="A12" s="11" t="s">
        <v>663</v>
      </c>
      <c r="B12" s="24">
        <v>-27857</v>
      </c>
      <c r="C12" s="42" t="s">
        <v>647</v>
      </c>
      <c r="D12" s="18" t="s">
        <v>662</v>
      </c>
      <c r="E12" s="38"/>
    </row>
    <row r="13" spans="1:5" s="11" customFormat="1" ht="15.95" customHeight="1" x14ac:dyDescent="0.25">
      <c r="A13" s="11" t="s">
        <v>643</v>
      </c>
      <c r="B13" s="24">
        <v>-28549</v>
      </c>
      <c r="C13" s="42" t="s">
        <v>648</v>
      </c>
      <c r="D13" s="18" t="s">
        <v>662</v>
      </c>
      <c r="E13" s="38"/>
    </row>
    <row r="14" spans="1:5" s="11" customFormat="1" ht="15.95" customHeight="1" x14ac:dyDescent="0.25">
      <c r="A14" s="11" t="s">
        <v>656</v>
      </c>
      <c r="B14" s="24">
        <v>-30438</v>
      </c>
      <c r="C14" s="42" t="s">
        <v>646</v>
      </c>
      <c r="D14" s="18" t="s">
        <v>662</v>
      </c>
      <c r="E14" s="38"/>
    </row>
    <row r="15" spans="1:5" s="11" customFormat="1" ht="15.95" customHeight="1" x14ac:dyDescent="0.25">
      <c r="A15" s="11" t="s">
        <v>644</v>
      </c>
      <c r="B15" s="24">
        <v>-33746</v>
      </c>
      <c r="C15" s="42" t="s">
        <v>648</v>
      </c>
      <c r="D15" s="18" t="s">
        <v>662</v>
      </c>
      <c r="E15" s="38"/>
    </row>
    <row r="16" spans="1:5" s="11" customFormat="1" ht="15.95" customHeight="1" x14ac:dyDescent="0.25">
      <c r="A16" s="11" t="s">
        <v>657</v>
      </c>
      <c r="B16" s="24">
        <v>-34237</v>
      </c>
      <c r="C16" s="42" t="s">
        <v>648</v>
      </c>
      <c r="D16" s="18" t="s">
        <v>662</v>
      </c>
      <c r="E16" s="38"/>
    </row>
    <row r="17" spans="1:7" s="11" customFormat="1" ht="15.95" customHeight="1" x14ac:dyDescent="0.25">
      <c r="A17" s="11" t="s">
        <v>645</v>
      </c>
      <c r="B17" s="24">
        <v>-40556</v>
      </c>
      <c r="C17" s="42" t="s">
        <v>647</v>
      </c>
      <c r="D17" s="18" t="s">
        <v>662</v>
      </c>
      <c r="E17" s="38"/>
    </row>
    <row r="18" spans="1:7" s="11" customFormat="1" ht="15.95" customHeight="1" x14ac:dyDescent="0.25">
      <c r="B18" s="24"/>
      <c r="C18" s="32"/>
      <c r="D18" s="37"/>
      <c r="E18" s="38"/>
    </row>
    <row r="19" spans="1:7" s="11" customFormat="1" ht="15.95" customHeight="1" x14ac:dyDescent="0.25">
      <c r="B19" s="24"/>
      <c r="C19" s="36"/>
      <c r="D19" s="18"/>
      <c r="E19" s="18"/>
      <c r="F19" s="18"/>
      <c r="G19" s="18"/>
    </row>
    <row r="20" spans="1:7" s="11" customFormat="1" ht="15.95" customHeight="1" x14ac:dyDescent="0.25">
      <c r="B20" s="24">
        <f>SUM(B9:B19)</f>
        <v>-265460</v>
      </c>
      <c r="C20" s="13"/>
      <c r="D20" s="28"/>
    </row>
    <row r="21" spans="1:7" s="11" customFormat="1" ht="15.95" customHeight="1" x14ac:dyDescent="0.25">
      <c r="A21" s="11" t="s">
        <v>2</v>
      </c>
      <c r="B21" s="24"/>
      <c r="C21" s="30" t="s">
        <v>660</v>
      </c>
      <c r="D21" s="34" t="s">
        <v>661</v>
      </c>
    </row>
    <row r="22" spans="1:7" s="11" customFormat="1" ht="15.95" customHeight="1" x14ac:dyDescent="0.25">
      <c r="A22" s="39" t="s">
        <v>649</v>
      </c>
      <c r="B22" s="40">
        <v>25724</v>
      </c>
      <c r="C22" s="41" t="s">
        <v>665</v>
      </c>
      <c r="D22" s="43" t="s">
        <v>666</v>
      </c>
      <c r="E22" s="27"/>
      <c r="F22" s="27"/>
    </row>
    <row r="23" spans="1:7" s="11" customFormat="1" ht="15.95" customHeight="1" x14ac:dyDescent="0.25">
      <c r="A23" s="11" t="s">
        <v>650</v>
      </c>
      <c r="B23" s="24">
        <v>28389</v>
      </c>
      <c r="C23" s="31" t="s">
        <v>665</v>
      </c>
      <c r="D23" s="28" t="s">
        <v>666</v>
      </c>
    </row>
    <row r="24" spans="1:7" s="11" customFormat="1" ht="15.95" customHeight="1" x14ac:dyDescent="0.25">
      <c r="A24" s="11" t="s">
        <v>651</v>
      </c>
      <c r="B24" s="24">
        <v>28487</v>
      </c>
      <c r="C24" s="32" t="s">
        <v>665</v>
      </c>
      <c r="D24" s="28" t="s">
        <v>666</v>
      </c>
    </row>
    <row r="25" spans="1:7" s="11" customFormat="1" ht="15.95" customHeight="1" x14ac:dyDescent="0.25">
      <c r="A25" s="11" t="s">
        <v>652</v>
      </c>
      <c r="B25" s="24">
        <v>32054</v>
      </c>
      <c r="C25" s="32" t="s">
        <v>665</v>
      </c>
      <c r="D25" s="28" t="s">
        <v>666</v>
      </c>
    </row>
    <row r="26" spans="1:7" s="11" customFormat="1" ht="15.95" customHeight="1" x14ac:dyDescent="0.25">
      <c r="A26" s="11" t="s">
        <v>653</v>
      </c>
      <c r="B26" s="24">
        <v>65273</v>
      </c>
      <c r="C26" s="32" t="s">
        <v>665</v>
      </c>
      <c r="D26" s="28" t="s">
        <v>666</v>
      </c>
    </row>
    <row r="27" spans="1:7" s="11" customFormat="1" ht="15.95" customHeight="1" x14ac:dyDescent="0.25">
      <c r="A27" s="11" t="s">
        <v>654</v>
      </c>
      <c r="B27" s="24">
        <v>66525</v>
      </c>
      <c r="C27" s="31" t="s">
        <v>665</v>
      </c>
      <c r="D27" s="28" t="s">
        <v>666</v>
      </c>
    </row>
    <row r="28" spans="1:7" s="11" customFormat="1" ht="15.95" customHeight="1" x14ac:dyDescent="0.25">
      <c r="A28" s="11" t="s">
        <v>655</v>
      </c>
      <c r="B28" s="24">
        <v>76185</v>
      </c>
      <c r="C28" s="31" t="s">
        <v>665</v>
      </c>
      <c r="D28" s="28" t="s">
        <v>666</v>
      </c>
    </row>
    <row r="29" spans="1:7" s="11" customFormat="1" ht="15.95" customHeight="1" x14ac:dyDescent="0.25">
      <c r="B29" s="12">
        <f>SUM(B22:B28)</f>
        <v>322637</v>
      </c>
      <c r="C29" s="13"/>
      <c r="D29" s="28"/>
    </row>
    <row r="30" spans="1:7" s="11" customFormat="1" ht="15.95" customHeight="1" x14ac:dyDescent="0.25">
      <c r="A30" s="15" t="s">
        <v>1</v>
      </c>
      <c r="B30" s="16">
        <f>B29+B20</f>
        <v>57177</v>
      </c>
      <c r="C30" s="13"/>
      <c r="D30" s="28"/>
    </row>
    <row r="31" spans="1:7" s="11" customFormat="1" ht="15.95" customHeight="1" x14ac:dyDescent="0.25">
      <c r="A31" s="11" t="s">
        <v>0</v>
      </c>
      <c r="B31" s="12">
        <f>B30-B7</f>
        <v>0</v>
      </c>
      <c r="C31" s="13"/>
      <c r="D31" s="28"/>
    </row>
    <row r="32" spans="1:7" s="11" customFormat="1" ht="20.100000000000001" customHeight="1" x14ac:dyDescent="0.3">
      <c r="A32" s="1"/>
      <c r="B32" s="3"/>
      <c r="C32" s="13"/>
      <c r="D32" s="28"/>
    </row>
    <row r="33" spans="1:9" s="11" customFormat="1" ht="20.100000000000001" customHeight="1" x14ac:dyDescent="0.3">
      <c r="A33" s="1"/>
      <c r="B33" s="3"/>
      <c r="C33" s="13"/>
      <c r="D33" s="28"/>
    </row>
    <row r="34" spans="1:9" s="11" customFormat="1" ht="20.100000000000001" customHeight="1" x14ac:dyDescent="0.3">
      <c r="A34" s="1"/>
      <c r="B34" s="3"/>
      <c r="C34" s="13"/>
      <c r="D34" s="28"/>
    </row>
    <row r="35" spans="1:9" s="11" customFormat="1" ht="20.100000000000001" customHeight="1" x14ac:dyDescent="0.3">
      <c r="A35" s="1"/>
      <c r="B35" s="3"/>
      <c r="C35" s="13"/>
      <c r="D35" s="28"/>
    </row>
    <row r="36" spans="1:9" s="11" customFormat="1" ht="20.100000000000001" customHeight="1" x14ac:dyDescent="0.3">
      <c r="A36" s="1"/>
      <c r="B36" s="3"/>
      <c r="C36" s="13"/>
      <c r="D36" s="28"/>
    </row>
    <row r="37" spans="1:9" s="13" customFormat="1" ht="20.100000000000001" customHeight="1" x14ac:dyDescent="0.3">
      <c r="A37" s="1"/>
      <c r="B37" s="3"/>
      <c r="D37" s="28"/>
      <c r="E37" s="11"/>
      <c r="F37" s="11"/>
      <c r="G37" s="11"/>
      <c r="H37" s="11"/>
      <c r="I37" s="11"/>
    </row>
    <row r="38" spans="1:9" s="13" customFormat="1" ht="20.100000000000001" customHeight="1" x14ac:dyDescent="0.3">
      <c r="A38" s="1"/>
      <c r="B38" s="3"/>
      <c r="D38" s="28"/>
      <c r="E38" s="11"/>
      <c r="F38" s="11"/>
      <c r="G38" s="11"/>
      <c r="H38" s="11"/>
      <c r="I38" s="11"/>
    </row>
    <row r="39" spans="1:9" s="13" customFormat="1" ht="20.100000000000001" customHeight="1" x14ac:dyDescent="0.3">
      <c r="A39" s="1"/>
      <c r="B39" s="3"/>
      <c r="D39" s="28"/>
      <c r="E39" s="11"/>
      <c r="F39" s="11"/>
      <c r="G39" s="11"/>
      <c r="H39" s="11"/>
      <c r="I39" s="11"/>
    </row>
    <row r="40" spans="1:9" ht="20.100000000000001" customHeight="1" x14ac:dyDescent="0.3"/>
    <row r="41" spans="1:9" ht="20.100000000000001" customHeight="1" x14ac:dyDescent="0.3"/>
    <row r="42" spans="1:9" ht="20.100000000000001" customHeight="1" x14ac:dyDescent="0.3"/>
    <row r="43" spans="1:9" ht="20.100000000000001" customHeight="1" x14ac:dyDescent="0.3"/>
  </sheetData>
  <pageMargins left="0.7" right="0.7" top="0.75" bottom="0.75" header="0.3" footer="0.3"/>
  <pageSetup scale="96" fitToHeight="0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I38"/>
  <sheetViews>
    <sheetView workbookViewId="0">
      <selection activeCell="D21" sqref="D21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18" style="6" customWidth="1"/>
    <col min="4" max="4" width="15" style="35" bestFit="1" customWidth="1"/>
    <col min="5" max="7" width="9.140625" style="1"/>
    <col min="8" max="8" width="17.7109375" style="1" customWidth="1"/>
    <col min="9" max="16384" width="9.140625" style="1"/>
  </cols>
  <sheetData>
    <row r="1" spans="1:7" s="11" customFormat="1" ht="20.100000000000001" customHeight="1" x14ac:dyDescent="0.25">
      <c r="A1" s="11" t="s">
        <v>304</v>
      </c>
      <c r="B1" s="12"/>
      <c r="C1" s="13"/>
      <c r="D1" s="28"/>
    </row>
    <row r="2" spans="1:7" s="11" customFormat="1" ht="20.100000000000001" customHeight="1" x14ac:dyDescent="0.25">
      <c r="A2" s="14">
        <v>43646</v>
      </c>
      <c r="B2" s="12"/>
      <c r="C2" s="13"/>
      <c r="D2" s="28"/>
    </row>
    <row r="3" spans="1:7" s="11" customFormat="1" ht="20.100000000000001" customHeight="1" x14ac:dyDescent="0.25">
      <c r="A3" s="11" t="s">
        <v>311</v>
      </c>
      <c r="B3" s="12">
        <v>14018846</v>
      </c>
      <c r="C3" s="13"/>
      <c r="D3" s="28"/>
    </row>
    <row r="4" spans="1:7" s="11" customFormat="1" ht="20.100000000000001" customHeight="1" x14ac:dyDescent="0.25">
      <c r="A4" s="11" t="s">
        <v>6</v>
      </c>
      <c r="B4" s="12"/>
      <c r="C4" s="13"/>
      <c r="D4" s="28"/>
    </row>
    <row r="5" spans="1:7" s="11" customFormat="1" ht="20.100000000000001" customHeight="1" x14ac:dyDescent="0.25">
      <c r="A5" s="11">
        <v>2100</v>
      </c>
      <c r="B5" s="12">
        <v>-14058012</v>
      </c>
      <c r="C5" s="13"/>
      <c r="D5" s="28"/>
    </row>
    <row r="6" spans="1:7" s="11" customFormat="1" ht="20.100000000000001" customHeight="1" x14ac:dyDescent="0.25">
      <c r="A6" s="11" t="s">
        <v>5</v>
      </c>
      <c r="B6" s="12">
        <f>SUM(B5:B5)</f>
        <v>-14058012</v>
      </c>
      <c r="C6" s="13"/>
      <c r="D6" s="28"/>
    </row>
    <row r="7" spans="1:7" s="11" customFormat="1" ht="20.100000000000001" customHeight="1" x14ac:dyDescent="0.25">
      <c r="A7" s="15" t="s">
        <v>4</v>
      </c>
      <c r="B7" s="16">
        <f>SUM(B3+B6)</f>
        <v>-39166</v>
      </c>
      <c r="C7" s="13"/>
      <c r="D7" s="28"/>
    </row>
    <row r="8" spans="1:7" s="11" customFormat="1" ht="15.95" customHeight="1" x14ac:dyDescent="0.25">
      <c r="A8" s="11" t="s">
        <v>3</v>
      </c>
      <c r="B8" s="12"/>
      <c r="C8" s="33" t="s">
        <v>660</v>
      </c>
      <c r="D8" s="28" t="s">
        <v>661</v>
      </c>
    </row>
    <row r="9" spans="1:7" s="11" customFormat="1" ht="15.95" customHeight="1" x14ac:dyDescent="0.25">
      <c r="A9" s="11" t="s">
        <v>667</v>
      </c>
      <c r="B9" s="24">
        <v>-28854</v>
      </c>
      <c r="C9" s="33" t="s">
        <v>671</v>
      </c>
      <c r="D9" s="28" t="s">
        <v>677</v>
      </c>
    </row>
    <row r="10" spans="1:7" s="11" customFormat="1" ht="15.95" customHeight="1" x14ac:dyDescent="0.25">
      <c r="A10" s="11" t="s">
        <v>668</v>
      </c>
      <c r="B10" s="24">
        <v>-31836</v>
      </c>
      <c r="C10" s="42" t="s">
        <v>671</v>
      </c>
      <c r="D10" s="18" t="s">
        <v>677</v>
      </c>
      <c r="E10" s="38"/>
    </row>
    <row r="11" spans="1:7" s="11" customFormat="1" ht="15.95" customHeight="1" x14ac:dyDescent="0.25">
      <c r="A11" s="11" t="s">
        <v>669</v>
      </c>
      <c r="B11" s="24">
        <v>-32682</v>
      </c>
      <c r="C11" s="42" t="s">
        <v>671</v>
      </c>
      <c r="D11" s="18" t="s">
        <v>677</v>
      </c>
      <c r="E11" s="38"/>
    </row>
    <row r="12" spans="1:7" s="11" customFormat="1" ht="15.95" customHeight="1" x14ac:dyDescent="0.25">
      <c r="A12" s="11" t="s">
        <v>670</v>
      </c>
      <c r="B12" s="24">
        <v>-35624</v>
      </c>
      <c r="C12" s="42" t="s">
        <v>671</v>
      </c>
      <c r="D12" s="18" t="s">
        <v>677</v>
      </c>
      <c r="E12" s="38"/>
    </row>
    <row r="13" spans="1:7" s="11" customFormat="1" ht="15.95" customHeight="1" x14ac:dyDescent="0.25">
      <c r="B13" s="24"/>
      <c r="C13" s="42"/>
      <c r="D13" s="18"/>
      <c r="E13" s="38"/>
    </row>
    <row r="14" spans="1:7" s="11" customFormat="1" ht="15.95" customHeight="1" x14ac:dyDescent="0.25">
      <c r="B14" s="24"/>
      <c r="C14" s="36"/>
      <c r="D14" s="18"/>
      <c r="E14" s="18"/>
      <c r="F14" s="18"/>
      <c r="G14" s="18"/>
    </row>
    <row r="15" spans="1:7" s="11" customFormat="1" ht="15.95" customHeight="1" x14ac:dyDescent="0.25">
      <c r="B15" s="24">
        <f>SUM(B9:B14)</f>
        <v>-128996</v>
      </c>
      <c r="C15" s="13"/>
      <c r="D15" s="28"/>
    </row>
    <row r="16" spans="1:7" s="11" customFormat="1" ht="15.95" customHeight="1" x14ac:dyDescent="0.25">
      <c r="A16" s="11" t="s">
        <v>2</v>
      </c>
      <c r="B16" s="24"/>
      <c r="C16" s="30" t="s">
        <v>660</v>
      </c>
      <c r="D16" s="34" t="s">
        <v>661</v>
      </c>
    </row>
    <row r="17" spans="1:9" s="11" customFormat="1" ht="15.95" customHeight="1" x14ac:dyDescent="0.25">
      <c r="A17" s="39" t="s">
        <v>672</v>
      </c>
      <c r="B17" s="40">
        <v>20712</v>
      </c>
      <c r="C17" s="41" t="s">
        <v>676</v>
      </c>
      <c r="D17" s="43" t="s">
        <v>678</v>
      </c>
      <c r="E17" s="27"/>
      <c r="F17" s="27"/>
    </row>
    <row r="18" spans="1:9" s="11" customFormat="1" ht="15.95" customHeight="1" x14ac:dyDescent="0.25">
      <c r="A18" s="11" t="s">
        <v>673</v>
      </c>
      <c r="B18" s="24">
        <v>20995</v>
      </c>
      <c r="C18" s="31" t="s">
        <v>676</v>
      </c>
      <c r="D18" s="28" t="s">
        <v>678</v>
      </c>
    </row>
    <row r="19" spans="1:9" s="11" customFormat="1" ht="15.95" customHeight="1" x14ac:dyDescent="0.25">
      <c r="A19" s="11" t="s">
        <v>674</v>
      </c>
      <c r="B19" s="24">
        <v>23062</v>
      </c>
      <c r="C19" s="32" t="s">
        <v>676</v>
      </c>
      <c r="D19" s="28" t="s">
        <v>678</v>
      </c>
    </row>
    <row r="20" spans="1:9" s="11" customFormat="1" ht="15.95" customHeight="1" x14ac:dyDescent="0.25">
      <c r="A20" s="11" t="s">
        <v>675</v>
      </c>
      <c r="B20" s="24">
        <v>25061</v>
      </c>
      <c r="C20" s="32" t="s">
        <v>676</v>
      </c>
      <c r="D20" s="28" t="s">
        <v>678</v>
      </c>
    </row>
    <row r="21" spans="1:9" s="11" customFormat="1" ht="15.95" customHeight="1" x14ac:dyDescent="0.25">
      <c r="B21" s="24"/>
      <c r="C21" s="32"/>
      <c r="D21" s="28"/>
    </row>
    <row r="22" spans="1:9" s="11" customFormat="1" ht="15.95" customHeight="1" x14ac:dyDescent="0.25">
      <c r="B22" s="24"/>
      <c r="C22" s="31"/>
      <c r="D22" s="28"/>
    </row>
    <row r="23" spans="1:9" s="11" customFormat="1" ht="15.95" customHeight="1" x14ac:dyDescent="0.25">
      <c r="B23" s="24"/>
      <c r="C23" s="31"/>
      <c r="D23" s="28"/>
    </row>
    <row r="24" spans="1:9" s="11" customFormat="1" ht="15.95" customHeight="1" x14ac:dyDescent="0.25">
      <c r="B24" s="12">
        <f>SUM(B17:B23)</f>
        <v>89830</v>
      </c>
      <c r="C24" s="13"/>
      <c r="D24" s="28"/>
    </row>
    <row r="25" spans="1:9" s="11" customFormat="1" ht="15.95" customHeight="1" x14ac:dyDescent="0.25">
      <c r="A25" s="15" t="s">
        <v>1</v>
      </c>
      <c r="B25" s="16">
        <f>B24+B15</f>
        <v>-39166</v>
      </c>
      <c r="C25" s="13"/>
      <c r="D25" s="28"/>
    </row>
    <row r="26" spans="1:9" s="11" customFormat="1" ht="15.95" customHeight="1" x14ac:dyDescent="0.25">
      <c r="A26" s="11" t="s">
        <v>0</v>
      </c>
      <c r="B26" s="12">
        <f>B25-B7</f>
        <v>0</v>
      </c>
      <c r="C26" s="13"/>
      <c r="D26" s="28"/>
    </row>
    <row r="27" spans="1:9" s="11" customFormat="1" ht="20.100000000000001" customHeight="1" x14ac:dyDescent="0.3">
      <c r="A27" s="1"/>
      <c r="B27" s="3"/>
      <c r="C27" s="13"/>
      <c r="D27" s="28"/>
    </row>
    <row r="28" spans="1:9" s="11" customFormat="1" ht="20.100000000000001" customHeight="1" x14ac:dyDescent="0.3">
      <c r="A28" s="1"/>
      <c r="B28" s="3"/>
      <c r="C28" s="13"/>
      <c r="D28" s="28"/>
    </row>
    <row r="29" spans="1:9" s="11" customFormat="1" ht="20.100000000000001" customHeight="1" x14ac:dyDescent="0.3">
      <c r="A29" s="1"/>
      <c r="B29" s="3"/>
      <c r="C29" s="13"/>
      <c r="D29" s="28"/>
    </row>
    <row r="30" spans="1:9" s="11" customFormat="1" ht="20.100000000000001" customHeight="1" x14ac:dyDescent="0.3">
      <c r="A30" s="1"/>
      <c r="B30" s="3"/>
      <c r="C30" s="13"/>
      <c r="D30" s="28"/>
    </row>
    <row r="31" spans="1:9" s="11" customFormat="1" ht="20.100000000000001" customHeight="1" x14ac:dyDescent="0.3">
      <c r="A31" s="1"/>
      <c r="B31" s="3"/>
      <c r="C31" s="13"/>
      <c r="D31" s="28"/>
    </row>
    <row r="32" spans="1:9" s="13" customFormat="1" ht="20.100000000000001" customHeight="1" x14ac:dyDescent="0.3">
      <c r="A32" s="1"/>
      <c r="B32" s="3"/>
      <c r="D32" s="28"/>
      <c r="E32" s="11"/>
      <c r="F32" s="11"/>
      <c r="G32" s="11"/>
      <c r="H32" s="11"/>
      <c r="I32" s="11"/>
    </row>
    <row r="33" spans="1:9" s="13" customFormat="1" ht="20.100000000000001" customHeight="1" x14ac:dyDescent="0.3">
      <c r="A33" s="1"/>
      <c r="B33" s="3"/>
      <c r="D33" s="28"/>
      <c r="E33" s="11"/>
      <c r="F33" s="11"/>
      <c r="G33" s="11"/>
      <c r="H33" s="11"/>
      <c r="I33" s="11"/>
    </row>
    <row r="34" spans="1:9" s="13" customFormat="1" ht="20.100000000000001" customHeight="1" x14ac:dyDescent="0.3">
      <c r="A34" s="1"/>
      <c r="B34" s="3"/>
      <c r="D34" s="28"/>
      <c r="E34" s="11"/>
      <c r="F34" s="11"/>
      <c r="G34" s="11"/>
      <c r="H34" s="11"/>
      <c r="I34" s="11"/>
    </row>
    <row r="35" spans="1:9" ht="20.100000000000001" customHeight="1" x14ac:dyDescent="0.3"/>
    <row r="36" spans="1:9" ht="20.100000000000001" customHeight="1" x14ac:dyDescent="0.3"/>
    <row r="37" spans="1:9" ht="20.100000000000001" customHeight="1" x14ac:dyDescent="0.3"/>
    <row r="38" spans="1:9" ht="20.100000000000001" customHeight="1" x14ac:dyDescent="0.3"/>
  </sheetData>
  <pageMargins left="0.7" right="0.7" top="0.75" bottom="0.75" header="0.3" footer="0.3"/>
  <pageSetup fitToHeight="0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I38"/>
  <sheetViews>
    <sheetView workbookViewId="0">
      <selection activeCell="C10" sqref="C10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18" style="6" customWidth="1"/>
    <col min="4" max="4" width="15" style="35" bestFit="1" customWidth="1"/>
    <col min="5" max="7" width="9.140625" style="1"/>
    <col min="8" max="8" width="17.7109375" style="1" customWidth="1"/>
    <col min="9" max="16384" width="9.140625" style="1"/>
  </cols>
  <sheetData>
    <row r="1" spans="1:7" s="11" customFormat="1" ht="20.100000000000001" customHeight="1" x14ac:dyDescent="0.25">
      <c r="A1" s="11" t="s">
        <v>304</v>
      </c>
      <c r="B1" s="12"/>
      <c r="C1" s="13"/>
      <c r="D1" s="28"/>
    </row>
    <row r="2" spans="1:7" s="11" customFormat="1" ht="20.100000000000001" customHeight="1" x14ac:dyDescent="0.25">
      <c r="A2" s="14">
        <v>43677</v>
      </c>
      <c r="B2" s="12"/>
      <c r="C2" s="13"/>
      <c r="D2" s="28"/>
    </row>
    <row r="3" spans="1:7" s="11" customFormat="1" ht="20.100000000000001" customHeight="1" x14ac:dyDescent="0.25">
      <c r="A3" s="11" t="s">
        <v>311</v>
      </c>
      <c r="B3" s="12">
        <v>15755304</v>
      </c>
      <c r="C3" s="13"/>
      <c r="D3" s="28"/>
    </row>
    <row r="4" spans="1:7" s="11" customFormat="1" ht="20.100000000000001" customHeight="1" x14ac:dyDescent="0.25">
      <c r="A4" s="11" t="s">
        <v>6</v>
      </c>
      <c r="B4" s="12"/>
      <c r="C4" s="13"/>
      <c r="D4" s="28"/>
    </row>
    <row r="5" spans="1:7" s="11" customFormat="1" ht="20.100000000000001" customHeight="1" x14ac:dyDescent="0.25">
      <c r="A5" s="11">
        <v>2100</v>
      </c>
      <c r="B5" s="12">
        <v>-15889472</v>
      </c>
      <c r="C5" s="13"/>
      <c r="D5" s="28"/>
    </row>
    <row r="6" spans="1:7" s="11" customFormat="1" ht="20.100000000000001" customHeight="1" x14ac:dyDescent="0.25">
      <c r="A6" s="11" t="s">
        <v>5</v>
      </c>
      <c r="B6" s="12">
        <f>SUM(B5:B5)</f>
        <v>-15889472</v>
      </c>
      <c r="C6" s="13"/>
      <c r="D6" s="28"/>
    </row>
    <row r="7" spans="1:7" s="11" customFormat="1" ht="20.100000000000001" customHeight="1" x14ac:dyDescent="0.25">
      <c r="A7" s="15" t="s">
        <v>4</v>
      </c>
      <c r="B7" s="16">
        <f>SUM(B3+B6)</f>
        <v>-134168</v>
      </c>
      <c r="C7" s="13"/>
      <c r="D7" s="28"/>
    </row>
    <row r="8" spans="1:7" s="11" customFormat="1" ht="15.95" customHeight="1" x14ac:dyDescent="0.25">
      <c r="A8" s="11" t="s">
        <v>3</v>
      </c>
      <c r="B8" s="12"/>
      <c r="C8" s="44" t="s">
        <v>660</v>
      </c>
      <c r="D8" s="34" t="s">
        <v>661</v>
      </c>
    </row>
    <row r="9" spans="1:7" s="11" customFormat="1" ht="15.95" customHeight="1" x14ac:dyDescent="0.25">
      <c r="A9" s="11" t="s">
        <v>679</v>
      </c>
      <c r="B9" s="24">
        <v>-34580</v>
      </c>
      <c r="C9" s="33" t="s">
        <v>688</v>
      </c>
      <c r="D9" s="28"/>
    </row>
    <row r="10" spans="1:7" s="11" customFormat="1" ht="15.95" customHeight="1" x14ac:dyDescent="0.25">
      <c r="A10" s="11" t="s">
        <v>681</v>
      </c>
      <c r="B10" s="24">
        <v>-66802</v>
      </c>
      <c r="C10" s="42" t="s">
        <v>683</v>
      </c>
      <c r="D10" s="18" t="s">
        <v>684</v>
      </c>
      <c r="E10" s="38"/>
    </row>
    <row r="11" spans="1:7" s="11" customFormat="1" ht="15.95" customHeight="1" x14ac:dyDescent="0.25">
      <c r="A11" s="11" t="s">
        <v>682</v>
      </c>
      <c r="B11" s="24">
        <v>-67356</v>
      </c>
      <c r="C11" s="42" t="s">
        <v>685</v>
      </c>
      <c r="D11" s="18" t="s">
        <v>686</v>
      </c>
      <c r="E11" s="38"/>
    </row>
    <row r="12" spans="1:7" s="11" customFormat="1" ht="15.95" customHeight="1" x14ac:dyDescent="0.25">
      <c r="B12" s="24"/>
      <c r="C12" s="42"/>
      <c r="D12" s="18"/>
      <c r="E12" s="38"/>
    </row>
    <row r="13" spans="1:7" s="11" customFormat="1" ht="15.95" customHeight="1" x14ac:dyDescent="0.25">
      <c r="B13" s="24"/>
      <c r="C13" s="42"/>
      <c r="D13" s="18"/>
      <c r="E13" s="38"/>
    </row>
    <row r="14" spans="1:7" s="11" customFormat="1" ht="15.95" customHeight="1" x14ac:dyDescent="0.25">
      <c r="B14" s="24"/>
      <c r="C14" s="36"/>
      <c r="D14" s="18"/>
      <c r="E14" s="18"/>
      <c r="F14" s="18"/>
      <c r="G14" s="18"/>
    </row>
    <row r="15" spans="1:7" s="11" customFormat="1" ht="15.95" customHeight="1" x14ac:dyDescent="0.25">
      <c r="B15" s="24">
        <f>SUM(B9:B14)</f>
        <v>-168738</v>
      </c>
      <c r="C15" s="13"/>
      <c r="D15" s="28"/>
    </row>
    <row r="16" spans="1:7" s="11" customFormat="1" ht="15.95" customHeight="1" x14ac:dyDescent="0.25">
      <c r="A16" s="11" t="s">
        <v>2</v>
      </c>
      <c r="B16" s="24"/>
      <c r="C16" s="30" t="s">
        <v>660</v>
      </c>
      <c r="D16" s="34" t="s">
        <v>661</v>
      </c>
    </row>
    <row r="17" spans="1:9" s="11" customFormat="1" ht="15.95" customHeight="1" x14ac:dyDescent="0.25">
      <c r="A17" s="39" t="s">
        <v>680</v>
      </c>
      <c r="B17" s="40">
        <v>34570</v>
      </c>
      <c r="C17" s="41" t="s">
        <v>687</v>
      </c>
      <c r="D17" s="43"/>
      <c r="E17" s="27"/>
      <c r="F17" s="27"/>
    </row>
    <row r="18" spans="1:9" s="11" customFormat="1" ht="15.95" customHeight="1" x14ac:dyDescent="0.25">
      <c r="B18" s="24"/>
      <c r="C18" s="31"/>
      <c r="D18" s="28"/>
    </row>
    <row r="19" spans="1:9" s="11" customFormat="1" ht="15.95" customHeight="1" x14ac:dyDescent="0.25">
      <c r="B19" s="24"/>
      <c r="C19" s="32"/>
      <c r="D19" s="28"/>
    </row>
    <row r="20" spans="1:9" s="11" customFormat="1" ht="15.95" customHeight="1" x14ac:dyDescent="0.25">
      <c r="B20" s="24"/>
      <c r="C20" s="32"/>
      <c r="D20" s="28"/>
    </row>
    <row r="21" spans="1:9" s="11" customFormat="1" ht="15.95" customHeight="1" x14ac:dyDescent="0.25">
      <c r="B21" s="24"/>
      <c r="C21" s="32"/>
      <c r="D21" s="28"/>
    </row>
    <row r="22" spans="1:9" s="11" customFormat="1" ht="15.95" customHeight="1" x14ac:dyDescent="0.25">
      <c r="B22" s="24"/>
      <c r="C22" s="31"/>
      <c r="D22" s="28"/>
    </row>
    <row r="23" spans="1:9" s="11" customFormat="1" ht="15.95" customHeight="1" x14ac:dyDescent="0.25">
      <c r="B23" s="24"/>
      <c r="C23" s="31"/>
      <c r="D23" s="28"/>
    </row>
    <row r="24" spans="1:9" s="11" customFormat="1" ht="15.95" customHeight="1" x14ac:dyDescent="0.25">
      <c r="B24" s="12">
        <f>SUM(B17:B23)</f>
        <v>34570</v>
      </c>
      <c r="C24" s="13"/>
      <c r="D24" s="28"/>
    </row>
    <row r="25" spans="1:9" s="11" customFormat="1" ht="15.95" customHeight="1" x14ac:dyDescent="0.25">
      <c r="A25" s="15" t="s">
        <v>1</v>
      </c>
      <c r="B25" s="16">
        <f>B24+B15</f>
        <v>-134168</v>
      </c>
      <c r="C25" s="13"/>
      <c r="D25" s="28"/>
    </row>
    <row r="26" spans="1:9" s="11" customFormat="1" ht="15.95" customHeight="1" x14ac:dyDescent="0.25">
      <c r="A26" s="11" t="s">
        <v>0</v>
      </c>
      <c r="B26" s="12">
        <f>B25-B7</f>
        <v>0</v>
      </c>
      <c r="C26" s="13"/>
      <c r="D26" s="28"/>
    </row>
    <row r="27" spans="1:9" s="11" customFormat="1" ht="20.100000000000001" customHeight="1" x14ac:dyDescent="0.3">
      <c r="A27" s="1"/>
      <c r="B27" s="3"/>
      <c r="C27" s="13"/>
      <c r="D27" s="28"/>
    </row>
    <row r="28" spans="1:9" s="11" customFormat="1" ht="20.100000000000001" customHeight="1" x14ac:dyDescent="0.3">
      <c r="A28" s="1"/>
      <c r="B28" s="3"/>
      <c r="C28" s="13"/>
      <c r="D28" s="28"/>
    </row>
    <row r="29" spans="1:9" s="11" customFormat="1" ht="20.100000000000001" customHeight="1" x14ac:dyDescent="0.3">
      <c r="A29" s="1"/>
      <c r="B29" s="3"/>
      <c r="C29" s="13"/>
      <c r="D29" s="28"/>
    </row>
    <row r="30" spans="1:9" s="11" customFormat="1" ht="20.100000000000001" customHeight="1" x14ac:dyDescent="0.3">
      <c r="A30" s="1"/>
      <c r="B30" s="3"/>
      <c r="C30" s="13"/>
      <c r="D30" s="28"/>
    </row>
    <row r="31" spans="1:9" s="11" customFormat="1" ht="20.100000000000001" customHeight="1" x14ac:dyDescent="0.3">
      <c r="A31" s="1"/>
      <c r="B31" s="3"/>
      <c r="C31" s="13"/>
      <c r="D31" s="28"/>
    </row>
    <row r="32" spans="1:9" s="13" customFormat="1" ht="20.100000000000001" customHeight="1" x14ac:dyDescent="0.3">
      <c r="A32" s="1"/>
      <c r="B32" s="3"/>
      <c r="D32" s="28"/>
      <c r="E32" s="11"/>
      <c r="F32" s="11"/>
      <c r="G32" s="11"/>
      <c r="H32" s="11"/>
      <c r="I32" s="11"/>
    </row>
    <row r="33" spans="1:9" s="13" customFormat="1" ht="20.100000000000001" customHeight="1" x14ac:dyDescent="0.3">
      <c r="A33" s="1"/>
      <c r="B33" s="3"/>
      <c r="D33" s="28"/>
      <c r="E33" s="11"/>
      <c r="F33" s="11"/>
      <c r="G33" s="11"/>
      <c r="H33" s="11"/>
      <c r="I33" s="11"/>
    </row>
    <row r="34" spans="1:9" s="13" customFormat="1" ht="20.100000000000001" customHeight="1" x14ac:dyDescent="0.3">
      <c r="A34" s="1"/>
      <c r="B34" s="3"/>
      <c r="D34" s="28"/>
      <c r="E34" s="11"/>
      <c r="F34" s="11"/>
      <c r="G34" s="11"/>
      <c r="H34" s="11"/>
      <c r="I34" s="11"/>
    </row>
    <row r="35" spans="1:9" ht="20.100000000000001" customHeight="1" x14ac:dyDescent="0.3"/>
    <row r="36" spans="1:9" ht="20.100000000000001" customHeight="1" x14ac:dyDescent="0.3"/>
    <row r="37" spans="1:9" ht="20.100000000000001" customHeight="1" x14ac:dyDescent="0.3"/>
    <row r="38" spans="1:9" ht="20.100000000000001" customHeight="1" x14ac:dyDescent="0.3"/>
  </sheetData>
  <pageMargins left="0.7" right="0.7" top="0.75" bottom="0.75" header="0.3" footer="0.3"/>
  <pageSetup fitToHeight="0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I38"/>
  <sheetViews>
    <sheetView workbookViewId="0">
      <selection activeCell="D21" sqref="D21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18" style="6" customWidth="1"/>
    <col min="4" max="4" width="15" style="35" bestFit="1" customWidth="1"/>
    <col min="5" max="7" width="9.140625" style="1"/>
    <col min="8" max="8" width="17.7109375" style="1" customWidth="1"/>
    <col min="9" max="16384" width="9.140625" style="1"/>
  </cols>
  <sheetData>
    <row r="1" spans="1:7" s="11" customFormat="1" ht="20.100000000000001" customHeight="1" x14ac:dyDescent="0.25">
      <c r="A1" s="11" t="s">
        <v>304</v>
      </c>
      <c r="B1" s="12"/>
      <c r="C1" s="13"/>
      <c r="D1" s="28"/>
    </row>
    <row r="2" spans="1:7" s="11" customFormat="1" ht="20.100000000000001" customHeight="1" x14ac:dyDescent="0.25">
      <c r="A2" s="14">
        <v>43708</v>
      </c>
      <c r="B2" s="12"/>
      <c r="C2" s="13"/>
      <c r="D2" s="28"/>
    </row>
    <row r="3" spans="1:7" s="11" customFormat="1" ht="20.100000000000001" customHeight="1" x14ac:dyDescent="0.25">
      <c r="A3" s="11" t="s">
        <v>311</v>
      </c>
      <c r="B3" s="12">
        <v>15082408</v>
      </c>
      <c r="C3" s="13"/>
      <c r="D3" s="28"/>
    </row>
    <row r="4" spans="1:7" s="11" customFormat="1" ht="20.100000000000001" customHeight="1" x14ac:dyDescent="0.25">
      <c r="A4" s="11" t="s">
        <v>6</v>
      </c>
      <c r="B4" s="12"/>
      <c r="C4" s="13"/>
      <c r="D4" s="28"/>
    </row>
    <row r="5" spans="1:7" s="11" customFormat="1" ht="20.100000000000001" customHeight="1" x14ac:dyDescent="0.25">
      <c r="A5" s="11">
        <v>2100</v>
      </c>
      <c r="B5" s="12">
        <v>-15028907</v>
      </c>
      <c r="C5" s="13"/>
      <c r="D5" s="28"/>
    </row>
    <row r="6" spans="1:7" s="11" customFormat="1" ht="20.100000000000001" customHeight="1" x14ac:dyDescent="0.25">
      <c r="A6" s="11" t="s">
        <v>5</v>
      </c>
      <c r="B6" s="12">
        <f>SUM(B5:B5)</f>
        <v>-15028907</v>
      </c>
      <c r="C6" s="13"/>
      <c r="D6" s="28"/>
    </row>
    <row r="7" spans="1:7" s="11" customFormat="1" ht="20.100000000000001" customHeight="1" x14ac:dyDescent="0.25">
      <c r="A7" s="15" t="s">
        <v>4</v>
      </c>
      <c r="B7" s="16">
        <f>SUM(B3+B6)</f>
        <v>53501</v>
      </c>
      <c r="C7" s="13"/>
      <c r="D7" s="28"/>
    </row>
    <row r="8" spans="1:7" s="11" customFormat="1" ht="15.95" customHeight="1" x14ac:dyDescent="0.25">
      <c r="A8" s="11" t="s">
        <v>3</v>
      </c>
      <c r="B8" s="12"/>
      <c r="C8" s="44" t="s">
        <v>660</v>
      </c>
      <c r="D8" s="34" t="s">
        <v>661</v>
      </c>
    </row>
    <row r="9" spans="1:7" s="11" customFormat="1" ht="15.95" customHeight="1" x14ac:dyDescent="0.25">
      <c r="A9" s="11" t="s">
        <v>689</v>
      </c>
      <c r="B9" s="24">
        <v>-44306</v>
      </c>
      <c r="C9" s="33" t="s">
        <v>691</v>
      </c>
      <c r="D9" s="28" t="s">
        <v>692</v>
      </c>
    </row>
    <row r="10" spans="1:7" s="11" customFormat="1" ht="15.95" customHeight="1" x14ac:dyDescent="0.25">
      <c r="B10" s="24"/>
      <c r="C10" s="42"/>
      <c r="D10" s="18"/>
      <c r="E10" s="38"/>
    </row>
    <row r="11" spans="1:7" s="11" customFormat="1" ht="15.95" customHeight="1" x14ac:dyDescent="0.25">
      <c r="B11" s="24"/>
      <c r="C11" s="42"/>
      <c r="D11" s="18"/>
      <c r="E11" s="38"/>
    </row>
    <row r="12" spans="1:7" s="11" customFormat="1" ht="15.95" customHeight="1" x14ac:dyDescent="0.25">
      <c r="B12" s="24"/>
      <c r="C12" s="42"/>
      <c r="D12" s="18"/>
      <c r="E12" s="38"/>
    </row>
    <row r="13" spans="1:7" s="11" customFormat="1" ht="15.95" customHeight="1" x14ac:dyDescent="0.25">
      <c r="B13" s="24"/>
      <c r="C13" s="42"/>
      <c r="D13" s="18"/>
      <c r="E13" s="38"/>
    </row>
    <row r="14" spans="1:7" s="11" customFormat="1" ht="15.95" customHeight="1" x14ac:dyDescent="0.25">
      <c r="B14" s="24"/>
      <c r="C14" s="36"/>
      <c r="D14" s="18"/>
      <c r="E14" s="18"/>
      <c r="F14" s="18"/>
      <c r="G14" s="18"/>
    </row>
    <row r="15" spans="1:7" s="11" customFormat="1" ht="15.95" customHeight="1" x14ac:dyDescent="0.25">
      <c r="B15" s="24">
        <f>SUM(B9:B14)</f>
        <v>-44306</v>
      </c>
      <c r="C15" s="13"/>
      <c r="D15" s="28"/>
    </row>
    <row r="16" spans="1:7" s="11" customFormat="1" ht="15.95" customHeight="1" x14ac:dyDescent="0.25">
      <c r="A16" s="11" t="s">
        <v>2</v>
      </c>
      <c r="B16" s="24"/>
      <c r="C16" s="30" t="s">
        <v>660</v>
      </c>
      <c r="D16" s="34" t="s">
        <v>661</v>
      </c>
    </row>
    <row r="17" spans="1:9" s="11" customFormat="1" ht="15.95" customHeight="1" x14ac:dyDescent="0.25">
      <c r="A17" s="39" t="s">
        <v>690</v>
      </c>
      <c r="B17" s="40">
        <v>97807</v>
      </c>
      <c r="C17" s="207" t="s">
        <v>693</v>
      </c>
      <c r="D17" s="207"/>
      <c r="E17" s="207"/>
      <c r="F17" s="207"/>
    </row>
    <row r="18" spans="1:9" s="11" customFormat="1" ht="15.95" customHeight="1" x14ac:dyDescent="0.25">
      <c r="B18" s="24"/>
      <c r="C18" s="207"/>
      <c r="D18" s="207"/>
      <c r="E18" s="207"/>
      <c r="F18" s="207"/>
    </row>
    <row r="19" spans="1:9" s="11" customFormat="1" ht="15.95" customHeight="1" x14ac:dyDescent="0.25">
      <c r="B19" s="24"/>
      <c r="C19" s="32"/>
      <c r="D19" s="28"/>
    </row>
    <row r="20" spans="1:9" s="11" customFormat="1" ht="15.95" customHeight="1" x14ac:dyDescent="0.25">
      <c r="B20" s="24"/>
      <c r="C20" s="32"/>
      <c r="D20" s="28"/>
    </row>
    <row r="21" spans="1:9" s="11" customFormat="1" ht="15.95" customHeight="1" x14ac:dyDescent="0.25">
      <c r="B21" s="24"/>
      <c r="C21" s="32"/>
      <c r="D21" s="28"/>
    </row>
    <row r="22" spans="1:9" s="11" customFormat="1" ht="15.95" customHeight="1" x14ac:dyDescent="0.25">
      <c r="B22" s="24"/>
      <c r="C22" s="31"/>
      <c r="D22" s="28"/>
    </row>
    <row r="23" spans="1:9" s="11" customFormat="1" ht="15.95" customHeight="1" x14ac:dyDescent="0.25">
      <c r="B23" s="24"/>
      <c r="C23" s="31"/>
      <c r="D23" s="28"/>
    </row>
    <row r="24" spans="1:9" s="11" customFormat="1" ht="15.95" customHeight="1" x14ac:dyDescent="0.25">
      <c r="B24" s="12">
        <f>SUM(B17:B23)</f>
        <v>97807</v>
      </c>
      <c r="C24" s="13"/>
      <c r="D24" s="28"/>
    </row>
    <row r="25" spans="1:9" s="11" customFormat="1" ht="15.95" customHeight="1" x14ac:dyDescent="0.25">
      <c r="A25" s="15" t="s">
        <v>1</v>
      </c>
      <c r="B25" s="16">
        <f>B24+B15</f>
        <v>53501</v>
      </c>
      <c r="C25" s="13"/>
      <c r="D25" s="28"/>
    </row>
    <row r="26" spans="1:9" s="11" customFormat="1" ht="15.95" customHeight="1" x14ac:dyDescent="0.25">
      <c r="A26" s="11" t="s">
        <v>0</v>
      </c>
      <c r="B26" s="12">
        <f>B25-B7</f>
        <v>0</v>
      </c>
      <c r="C26" s="13"/>
      <c r="D26" s="28"/>
    </row>
    <row r="27" spans="1:9" s="11" customFormat="1" ht="20.100000000000001" customHeight="1" x14ac:dyDescent="0.3">
      <c r="A27" s="1"/>
      <c r="B27" s="3"/>
      <c r="C27" s="13"/>
      <c r="D27" s="28"/>
    </row>
    <row r="28" spans="1:9" s="11" customFormat="1" ht="20.100000000000001" customHeight="1" x14ac:dyDescent="0.3">
      <c r="A28" s="1"/>
      <c r="B28" s="3"/>
      <c r="C28" s="13"/>
      <c r="D28" s="28"/>
    </row>
    <row r="29" spans="1:9" s="11" customFormat="1" ht="20.100000000000001" customHeight="1" x14ac:dyDescent="0.3">
      <c r="A29" s="1"/>
      <c r="B29" s="3"/>
      <c r="C29" s="13"/>
      <c r="D29" s="28"/>
    </row>
    <row r="30" spans="1:9" s="11" customFormat="1" ht="20.100000000000001" customHeight="1" x14ac:dyDescent="0.3">
      <c r="A30" s="1"/>
      <c r="B30" s="3"/>
      <c r="C30" s="13"/>
      <c r="D30" s="28"/>
    </row>
    <row r="31" spans="1:9" s="11" customFormat="1" ht="20.100000000000001" customHeight="1" x14ac:dyDescent="0.3">
      <c r="A31" s="1"/>
      <c r="B31" s="3"/>
      <c r="C31" s="13"/>
      <c r="D31" s="28"/>
    </row>
    <row r="32" spans="1:9" s="13" customFormat="1" ht="20.100000000000001" customHeight="1" x14ac:dyDescent="0.3">
      <c r="A32" s="1"/>
      <c r="B32" s="3"/>
      <c r="D32" s="28"/>
      <c r="E32" s="11"/>
      <c r="F32" s="11"/>
      <c r="G32" s="11"/>
      <c r="H32" s="11"/>
      <c r="I32" s="11"/>
    </row>
    <row r="33" spans="1:9" s="13" customFormat="1" ht="20.100000000000001" customHeight="1" x14ac:dyDescent="0.3">
      <c r="A33" s="1"/>
      <c r="B33" s="3"/>
      <c r="D33" s="28"/>
      <c r="E33" s="11"/>
      <c r="F33" s="11"/>
      <c r="G33" s="11"/>
      <c r="H33" s="11"/>
      <c r="I33" s="11"/>
    </row>
    <row r="34" spans="1:9" s="13" customFormat="1" ht="20.100000000000001" customHeight="1" x14ac:dyDescent="0.3">
      <c r="A34" s="1"/>
      <c r="B34" s="3"/>
      <c r="D34" s="28"/>
      <c r="E34" s="11"/>
      <c r="F34" s="11"/>
      <c r="G34" s="11"/>
      <c r="H34" s="11"/>
      <c r="I34" s="11"/>
    </row>
    <row r="35" spans="1:9" ht="20.100000000000001" customHeight="1" x14ac:dyDescent="0.3"/>
    <row r="36" spans="1:9" ht="20.100000000000001" customHeight="1" x14ac:dyDescent="0.3"/>
    <row r="37" spans="1:9" ht="20.100000000000001" customHeight="1" x14ac:dyDescent="0.3"/>
    <row r="38" spans="1:9" ht="20.100000000000001" customHeight="1" x14ac:dyDescent="0.3"/>
  </sheetData>
  <mergeCells count="1">
    <mergeCell ref="C17:F18"/>
  </mergeCells>
  <pageMargins left="0.7" right="0.7" top="0.75" bottom="0.75" header="0.3" footer="0.3"/>
  <pageSetup fitToHeight="0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41"/>
  <sheetViews>
    <sheetView workbookViewId="0">
      <selection activeCell="C20" sqref="C20:D20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18" style="6" customWidth="1"/>
    <col min="4" max="4" width="15" style="35" bestFit="1" customWidth="1"/>
    <col min="5" max="7" width="9.140625" style="1"/>
    <col min="8" max="8" width="17.7109375" style="1" customWidth="1"/>
    <col min="9" max="16384" width="9.140625" style="1"/>
  </cols>
  <sheetData>
    <row r="1" spans="1:5" s="11" customFormat="1" ht="20.100000000000001" customHeight="1" x14ac:dyDescent="0.25">
      <c r="A1" s="11" t="s">
        <v>304</v>
      </c>
      <c r="B1" s="12"/>
      <c r="C1" s="13"/>
      <c r="D1" s="28"/>
    </row>
    <row r="2" spans="1:5" s="11" customFormat="1" ht="20.100000000000001" customHeight="1" x14ac:dyDescent="0.25">
      <c r="A2" s="14">
        <v>43738</v>
      </c>
      <c r="B2" s="12"/>
      <c r="C2" s="13"/>
      <c r="D2" s="28"/>
    </row>
    <row r="3" spans="1:5" s="11" customFormat="1" ht="20.100000000000001" customHeight="1" x14ac:dyDescent="0.25">
      <c r="A3" s="11" t="s">
        <v>311</v>
      </c>
      <c r="B3" s="12">
        <v>12627630</v>
      </c>
      <c r="C3" s="13"/>
      <c r="D3" s="28"/>
    </row>
    <row r="4" spans="1:5" s="11" customFormat="1" ht="20.100000000000001" customHeight="1" x14ac:dyDescent="0.25">
      <c r="A4" s="11" t="s">
        <v>6</v>
      </c>
      <c r="B4" s="12"/>
      <c r="C4" s="13"/>
      <c r="D4" s="28"/>
    </row>
    <row r="5" spans="1:5" s="11" customFormat="1" ht="20.100000000000001" customHeight="1" x14ac:dyDescent="0.25">
      <c r="A5" s="11">
        <v>2100</v>
      </c>
      <c r="B5" s="12">
        <v>-12861969</v>
      </c>
      <c r="C5" s="13"/>
      <c r="D5" s="28"/>
    </row>
    <row r="6" spans="1:5" s="11" customFormat="1" ht="20.100000000000001" customHeight="1" x14ac:dyDescent="0.25">
      <c r="A6" s="11" t="s">
        <v>5</v>
      </c>
      <c r="B6" s="12">
        <f>SUM(B5:B5)</f>
        <v>-12861969</v>
      </c>
      <c r="C6" s="13"/>
      <c r="D6" s="28"/>
    </row>
    <row r="7" spans="1:5" s="11" customFormat="1" ht="20.100000000000001" customHeight="1" x14ac:dyDescent="0.25">
      <c r="A7" s="15" t="s">
        <v>4</v>
      </c>
      <c r="B7" s="16">
        <f>SUM(B3+B6)</f>
        <v>-234339</v>
      </c>
      <c r="C7" s="13"/>
      <c r="D7" s="28"/>
    </row>
    <row r="8" spans="1:5" s="11" customFormat="1" ht="15.95" customHeight="1" x14ac:dyDescent="0.25">
      <c r="A8" s="11" t="s">
        <v>3</v>
      </c>
      <c r="B8" s="12"/>
      <c r="C8" s="44" t="s">
        <v>628</v>
      </c>
      <c r="D8" s="34" t="s">
        <v>626</v>
      </c>
    </row>
    <row r="9" spans="1:5" s="11" customFormat="1" ht="15.95" customHeight="1" x14ac:dyDescent="0.25">
      <c r="A9" s="11" t="s">
        <v>694</v>
      </c>
      <c r="B9" s="24">
        <v>-28854</v>
      </c>
      <c r="C9" s="33">
        <v>43735</v>
      </c>
      <c r="D9" s="28">
        <v>43739</v>
      </c>
    </row>
    <row r="10" spans="1:5" s="11" customFormat="1" ht="15.95" customHeight="1" x14ac:dyDescent="0.25">
      <c r="A10" s="11" t="s">
        <v>695</v>
      </c>
      <c r="B10" s="24">
        <v>-32366</v>
      </c>
      <c r="C10" s="42">
        <v>43735</v>
      </c>
      <c r="D10" s="18">
        <v>43739</v>
      </c>
      <c r="E10" s="38"/>
    </row>
    <row r="11" spans="1:5" s="11" customFormat="1" ht="15.95" customHeight="1" x14ac:dyDescent="0.25">
      <c r="A11" s="11" t="s">
        <v>696</v>
      </c>
      <c r="B11" s="24">
        <v>-40360</v>
      </c>
      <c r="C11" s="42">
        <v>43738</v>
      </c>
      <c r="D11" s="18">
        <v>43739</v>
      </c>
      <c r="E11" s="38"/>
    </row>
    <row r="12" spans="1:5" s="11" customFormat="1" ht="15.95" customHeight="1" x14ac:dyDescent="0.25">
      <c r="A12" s="11" t="s">
        <v>697</v>
      </c>
      <c r="B12" s="24">
        <v>-41032</v>
      </c>
      <c r="C12" s="42">
        <v>43738</v>
      </c>
      <c r="D12" s="18">
        <v>43740</v>
      </c>
      <c r="E12" s="38"/>
    </row>
    <row r="13" spans="1:5" s="11" customFormat="1" ht="15.95" customHeight="1" x14ac:dyDescent="0.25">
      <c r="A13" s="11" t="s">
        <v>698</v>
      </c>
      <c r="B13" s="24">
        <v>-42440</v>
      </c>
      <c r="C13" s="42">
        <v>43738</v>
      </c>
      <c r="D13" s="18">
        <v>43740</v>
      </c>
      <c r="E13" s="38"/>
    </row>
    <row r="14" spans="1:5" s="11" customFormat="1" ht="15.95" customHeight="1" x14ac:dyDescent="0.25">
      <c r="A14" s="11" t="s">
        <v>699</v>
      </c>
      <c r="B14" s="24">
        <v>-43292</v>
      </c>
      <c r="C14" s="42">
        <v>43738</v>
      </c>
      <c r="D14" s="18">
        <v>43740</v>
      </c>
      <c r="E14" s="38"/>
    </row>
    <row r="15" spans="1:5" s="11" customFormat="1" ht="15.95" customHeight="1" x14ac:dyDescent="0.25">
      <c r="A15" s="11" t="s">
        <v>700</v>
      </c>
      <c r="B15" s="24">
        <v>-43292</v>
      </c>
      <c r="C15" s="42">
        <v>43738</v>
      </c>
      <c r="D15" s="18">
        <v>43740</v>
      </c>
      <c r="E15" s="38"/>
    </row>
    <row r="16" spans="1:5" s="11" customFormat="1" ht="15.95" customHeight="1" x14ac:dyDescent="0.25">
      <c r="B16" s="24"/>
      <c r="C16" s="42"/>
      <c r="D16" s="18"/>
      <c r="E16" s="38"/>
    </row>
    <row r="17" spans="1:7" s="11" customFormat="1" ht="15.95" customHeight="1" x14ac:dyDescent="0.25">
      <c r="B17" s="24"/>
      <c r="C17" s="36"/>
      <c r="D17" s="18"/>
      <c r="E17" s="18"/>
      <c r="F17" s="18"/>
      <c r="G17" s="18"/>
    </row>
    <row r="18" spans="1:7" s="11" customFormat="1" ht="15.95" customHeight="1" x14ac:dyDescent="0.25">
      <c r="B18" s="24">
        <f>SUM(B9:B17)</f>
        <v>-271636</v>
      </c>
      <c r="C18" s="13"/>
      <c r="D18" s="28"/>
    </row>
    <row r="19" spans="1:7" s="11" customFormat="1" ht="15.95" customHeight="1" x14ac:dyDescent="0.25">
      <c r="A19" s="11" t="s">
        <v>2</v>
      </c>
      <c r="B19" s="24"/>
      <c r="C19" s="30" t="s">
        <v>702</v>
      </c>
      <c r="D19" s="34" t="s">
        <v>628</v>
      </c>
    </row>
    <row r="20" spans="1:7" s="11" customFormat="1" ht="15.95" customHeight="1" x14ac:dyDescent="0.25">
      <c r="A20" s="39" t="s">
        <v>701</v>
      </c>
      <c r="B20" s="46">
        <v>37297</v>
      </c>
      <c r="C20" s="42">
        <v>43732</v>
      </c>
      <c r="D20" s="39" t="s">
        <v>703</v>
      </c>
      <c r="E20" s="39"/>
      <c r="F20" s="39"/>
    </row>
    <row r="21" spans="1:7" s="11" customFormat="1" ht="15.95" customHeight="1" x14ac:dyDescent="0.25">
      <c r="A21" s="39"/>
      <c r="B21" s="39"/>
      <c r="C21" s="45"/>
      <c r="D21" s="39"/>
      <c r="E21" s="39"/>
      <c r="F21" s="39"/>
    </row>
    <row r="22" spans="1:7" s="11" customFormat="1" ht="15.95" customHeight="1" x14ac:dyDescent="0.25">
      <c r="B22" s="24"/>
      <c r="C22" s="32"/>
      <c r="D22" s="28"/>
    </row>
    <row r="23" spans="1:7" s="11" customFormat="1" ht="15.95" customHeight="1" x14ac:dyDescent="0.25">
      <c r="B23" s="24"/>
      <c r="C23" s="32"/>
      <c r="D23" s="28"/>
    </row>
    <row r="24" spans="1:7" s="11" customFormat="1" ht="15.95" customHeight="1" x14ac:dyDescent="0.25">
      <c r="B24" s="24"/>
      <c r="C24" s="32"/>
      <c r="D24" s="28"/>
    </row>
    <row r="25" spans="1:7" s="11" customFormat="1" ht="15.95" customHeight="1" x14ac:dyDescent="0.25">
      <c r="B25" s="24"/>
      <c r="C25" s="31"/>
      <c r="D25" s="28"/>
    </row>
    <row r="26" spans="1:7" s="11" customFormat="1" ht="15.95" customHeight="1" x14ac:dyDescent="0.25">
      <c r="B26" s="24"/>
      <c r="C26" s="31"/>
      <c r="D26" s="28"/>
    </row>
    <row r="27" spans="1:7" s="11" customFormat="1" ht="15.95" customHeight="1" x14ac:dyDescent="0.25">
      <c r="B27" s="12">
        <f>SUM(B20:B26)</f>
        <v>37297</v>
      </c>
      <c r="C27" s="13"/>
      <c r="D27" s="28"/>
    </row>
    <row r="28" spans="1:7" s="11" customFormat="1" ht="15.95" customHeight="1" x14ac:dyDescent="0.25">
      <c r="A28" s="15" t="s">
        <v>1</v>
      </c>
      <c r="B28" s="16">
        <f>B27+B18</f>
        <v>-234339</v>
      </c>
      <c r="C28" s="13"/>
      <c r="D28" s="28"/>
    </row>
    <row r="29" spans="1:7" s="11" customFormat="1" ht="15.95" customHeight="1" x14ac:dyDescent="0.25">
      <c r="A29" s="11" t="s">
        <v>0</v>
      </c>
      <c r="B29" s="12">
        <f>B28-B7</f>
        <v>0</v>
      </c>
      <c r="C29" s="13"/>
      <c r="D29" s="28"/>
    </row>
    <row r="30" spans="1:7" s="11" customFormat="1" ht="20.100000000000001" customHeight="1" x14ac:dyDescent="0.3">
      <c r="A30" s="1"/>
      <c r="B30" s="3"/>
      <c r="C30" s="13"/>
      <c r="D30" s="28"/>
    </row>
    <row r="31" spans="1:7" s="11" customFormat="1" ht="20.100000000000001" customHeight="1" x14ac:dyDescent="0.3">
      <c r="A31" s="1"/>
      <c r="B31" s="3"/>
      <c r="C31" s="13"/>
      <c r="D31" s="28"/>
    </row>
    <row r="32" spans="1:7" s="11" customFormat="1" ht="20.100000000000001" customHeight="1" x14ac:dyDescent="0.3">
      <c r="A32" s="1"/>
      <c r="B32" s="3"/>
      <c r="C32" s="13"/>
      <c r="D32" s="28"/>
    </row>
    <row r="33" spans="1:9" s="11" customFormat="1" ht="20.100000000000001" customHeight="1" x14ac:dyDescent="0.3">
      <c r="A33" s="1"/>
      <c r="B33" s="3"/>
      <c r="C33" s="13"/>
      <c r="D33" s="28"/>
    </row>
    <row r="34" spans="1:9" s="11" customFormat="1" ht="20.100000000000001" customHeight="1" x14ac:dyDescent="0.3">
      <c r="A34" s="1"/>
      <c r="B34" s="3"/>
      <c r="C34" s="13"/>
      <c r="D34" s="28"/>
    </row>
    <row r="35" spans="1:9" s="13" customFormat="1" ht="20.100000000000001" customHeight="1" x14ac:dyDescent="0.3">
      <c r="A35" s="1"/>
      <c r="B35" s="3"/>
      <c r="D35" s="28"/>
      <c r="E35" s="11"/>
      <c r="F35" s="11"/>
      <c r="G35" s="11"/>
      <c r="H35" s="11"/>
      <c r="I35" s="11"/>
    </row>
    <row r="36" spans="1:9" s="13" customFormat="1" ht="20.100000000000001" customHeight="1" x14ac:dyDescent="0.3">
      <c r="A36" s="1"/>
      <c r="B36" s="3"/>
      <c r="D36" s="28"/>
      <c r="E36" s="11"/>
      <c r="F36" s="11"/>
      <c r="G36" s="11"/>
      <c r="H36" s="11"/>
      <c r="I36" s="11"/>
    </row>
    <row r="37" spans="1:9" s="13" customFormat="1" ht="20.100000000000001" customHeight="1" x14ac:dyDescent="0.3">
      <c r="A37" s="1"/>
      <c r="B37" s="3"/>
      <c r="D37" s="28"/>
      <c r="E37" s="11"/>
      <c r="F37" s="11"/>
      <c r="G37" s="11"/>
      <c r="H37" s="11"/>
      <c r="I37" s="11"/>
    </row>
    <row r="38" spans="1:9" ht="20.100000000000001" customHeight="1" x14ac:dyDescent="0.3"/>
    <row r="39" spans="1:9" ht="20.100000000000001" customHeight="1" x14ac:dyDescent="0.3"/>
    <row r="40" spans="1:9" ht="20.100000000000001" customHeight="1" x14ac:dyDescent="0.3"/>
    <row r="41" spans="1:9" ht="20.100000000000001" customHeight="1" x14ac:dyDescent="0.3"/>
  </sheetData>
  <pageMargins left="0.7" right="0.7" top="0.75" bottom="0.75" header="0.3" footer="0.3"/>
  <pageSetup fitToHeight="0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I43"/>
  <sheetViews>
    <sheetView workbookViewId="0">
      <selection activeCell="H26" sqref="H26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18" style="6" customWidth="1"/>
    <col min="4" max="4" width="15" style="35" bestFit="1" customWidth="1"/>
    <col min="5" max="7" width="9.140625" style="1"/>
    <col min="8" max="8" width="17.7109375" style="1" customWidth="1"/>
    <col min="9" max="16384" width="9.140625" style="1"/>
  </cols>
  <sheetData>
    <row r="1" spans="1:8" s="11" customFormat="1" ht="20.100000000000001" customHeight="1" x14ac:dyDescent="0.25">
      <c r="A1" s="11" t="s">
        <v>304</v>
      </c>
      <c r="B1" s="12"/>
      <c r="C1" s="13"/>
      <c r="D1" s="28"/>
    </row>
    <row r="2" spans="1:8" s="11" customFormat="1" ht="20.100000000000001" customHeight="1" x14ac:dyDescent="0.25">
      <c r="A2" s="14">
        <v>43769</v>
      </c>
      <c r="B2" s="12"/>
      <c r="C2" s="13"/>
      <c r="D2" s="28"/>
    </row>
    <row r="3" spans="1:8" s="11" customFormat="1" ht="20.100000000000001" customHeight="1" x14ac:dyDescent="0.25">
      <c r="A3" s="11" t="s">
        <v>311</v>
      </c>
      <c r="B3" s="12">
        <v>12241202</v>
      </c>
      <c r="C3" s="13"/>
      <c r="D3" s="28"/>
    </row>
    <row r="4" spans="1:8" s="11" customFormat="1" ht="20.100000000000001" customHeight="1" x14ac:dyDescent="0.25">
      <c r="A4" s="11" t="s">
        <v>6</v>
      </c>
      <c r="B4" s="12"/>
      <c r="C4" s="13"/>
      <c r="D4" s="28"/>
    </row>
    <row r="5" spans="1:8" s="11" customFormat="1" ht="20.100000000000001" customHeight="1" x14ac:dyDescent="0.25">
      <c r="A5" s="11">
        <v>2100</v>
      </c>
      <c r="B5" s="12">
        <v>-11915983</v>
      </c>
      <c r="C5" s="13"/>
      <c r="D5" s="28"/>
    </row>
    <row r="6" spans="1:8" s="11" customFormat="1" ht="20.100000000000001" customHeight="1" x14ac:dyDescent="0.25">
      <c r="A6" s="11" t="s">
        <v>5</v>
      </c>
      <c r="B6" s="12">
        <f>SUM(B5)</f>
        <v>-11915983</v>
      </c>
      <c r="C6" s="13"/>
      <c r="D6" s="28"/>
    </row>
    <row r="7" spans="1:8" s="11" customFormat="1" ht="20.100000000000001" customHeight="1" x14ac:dyDescent="0.25">
      <c r="A7" s="15" t="s">
        <v>4</v>
      </c>
      <c r="B7" s="16">
        <v>325219</v>
      </c>
      <c r="C7" s="13"/>
      <c r="D7" s="28"/>
    </row>
    <row r="8" spans="1:8" s="11" customFormat="1" ht="15.95" customHeight="1" x14ac:dyDescent="0.25">
      <c r="A8" s="11" t="s">
        <v>3</v>
      </c>
      <c r="B8" s="12"/>
      <c r="C8" s="44" t="s">
        <v>628</v>
      </c>
      <c r="D8" s="34" t="s">
        <v>626</v>
      </c>
    </row>
    <row r="9" spans="1:8" s="11" customFormat="1" ht="15.95" customHeight="1" x14ac:dyDescent="0.25">
      <c r="A9" s="11" t="s">
        <v>704</v>
      </c>
      <c r="B9" s="24">
        <v>-81091</v>
      </c>
      <c r="C9" s="210" t="s">
        <v>711</v>
      </c>
      <c r="D9" s="210"/>
      <c r="E9" s="210"/>
      <c r="F9" s="210"/>
      <c r="G9" s="210"/>
      <c r="H9" s="47"/>
    </row>
    <row r="10" spans="1:8" s="11" customFormat="1" ht="15.95" customHeight="1" x14ac:dyDescent="0.25">
      <c r="B10" s="24"/>
      <c r="C10" s="48"/>
      <c r="D10" s="47"/>
      <c r="E10" s="47"/>
      <c r="F10" s="47"/>
      <c r="G10" s="47"/>
      <c r="H10" s="47"/>
    </row>
    <row r="11" spans="1:8" s="11" customFormat="1" ht="15.95" customHeight="1" x14ac:dyDescent="0.25">
      <c r="B11" s="24"/>
      <c r="C11" s="42"/>
      <c r="D11" s="18"/>
      <c r="E11" s="38"/>
    </row>
    <row r="12" spans="1:8" s="11" customFormat="1" ht="15.95" customHeight="1" x14ac:dyDescent="0.25">
      <c r="B12" s="24"/>
      <c r="C12" s="42"/>
      <c r="D12" s="18"/>
      <c r="E12" s="38"/>
    </row>
    <row r="13" spans="1:8" s="11" customFormat="1" ht="15.95" customHeight="1" x14ac:dyDescent="0.25">
      <c r="B13" s="24"/>
      <c r="C13" s="42"/>
      <c r="D13" s="18"/>
      <c r="E13" s="38"/>
    </row>
    <row r="14" spans="1:8" s="11" customFormat="1" ht="15.95" customHeight="1" x14ac:dyDescent="0.25">
      <c r="B14" s="24"/>
      <c r="C14" s="42"/>
      <c r="D14" s="18"/>
      <c r="E14" s="38"/>
    </row>
    <row r="15" spans="1:8" s="11" customFormat="1" ht="15.95" customHeight="1" x14ac:dyDescent="0.25">
      <c r="B15" s="24"/>
      <c r="C15" s="42"/>
      <c r="D15" s="18"/>
      <c r="E15" s="38"/>
    </row>
    <row r="16" spans="1:8" s="11" customFormat="1" ht="15.95" customHeight="1" x14ac:dyDescent="0.25">
      <c r="B16" s="24"/>
      <c r="C16" s="42"/>
      <c r="D16" s="18"/>
      <c r="E16" s="38"/>
    </row>
    <row r="17" spans="1:8" s="11" customFormat="1" ht="15.95" customHeight="1" x14ac:dyDescent="0.25">
      <c r="B17" s="24"/>
      <c r="C17" s="36"/>
      <c r="D17" s="18"/>
      <c r="E17" s="18"/>
      <c r="F17" s="18"/>
      <c r="G17" s="18"/>
    </row>
    <row r="18" spans="1:8" s="11" customFormat="1" ht="15.95" customHeight="1" x14ac:dyDescent="0.25">
      <c r="B18" s="24">
        <f>SUM(B9:B17)</f>
        <v>-81091</v>
      </c>
      <c r="C18" s="18"/>
      <c r="D18" s="18"/>
      <c r="E18" s="18"/>
      <c r="F18" s="18"/>
      <c r="G18" s="18"/>
    </row>
    <row r="19" spans="1:8" s="11" customFormat="1" ht="15.95" customHeight="1" x14ac:dyDescent="0.25">
      <c r="A19" s="11" t="s">
        <v>2</v>
      </c>
      <c r="B19" s="24"/>
      <c r="C19" s="30" t="s">
        <v>702</v>
      </c>
      <c r="D19" s="34" t="s">
        <v>628</v>
      </c>
    </row>
    <row r="20" spans="1:8" s="11" customFormat="1" ht="15.95" customHeight="1" x14ac:dyDescent="0.25">
      <c r="A20" s="11" t="s">
        <v>701</v>
      </c>
      <c r="B20" s="24">
        <v>37297</v>
      </c>
      <c r="C20" s="42">
        <v>43732</v>
      </c>
      <c r="D20" s="19">
        <v>43780</v>
      </c>
    </row>
    <row r="21" spans="1:8" s="11" customFormat="1" ht="15.95" customHeight="1" x14ac:dyDescent="0.25">
      <c r="A21" s="39" t="s">
        <v>705</v>
      </c>
      <c r="B21" s="46">
        <v>42995</v>
      </c>
      <c r="C21" s="42">
        <v>43767</v>
      </c>
      <c r="D21" s="19">
        <v>43770</v>
      </c>
      <c r="E21" s="39"/>
      <c r="F21" s="39"/>
    </row>
    <row r="22" spans="1:8" s="11" customFormat="1" ht="15.95" customHeight="1" x14ac:dyDescent="0.25">
      <c r="A22" s="39" t="s">
        <v>706</v>
      </c>
      <c r="B22" s="46">
        <v>43187</v>
      </c>
      <c r="C22" s="42">
        <v>43767</v>
      </c>
      <c r="D22" s="19">
        <v>43770</v>
      </c>
      <c r="E22" s="39"/>
      <c r="F22" s="39"/>
    </row>
    <row r="23" spans="1:8" s="11" customFormat="1" ht="15.95" customHeight="1" x14ac:dyDescent="0.25">
      <c r="A23" s="11" t="s">
        <v>707</v>
      </c>
      <c r="B23" s="24">
        <v>43328</v>
      </c>
      <c r="C23" s="42">
        <v>43767</v>
      </c>
      <c r="D23" s="19">
        <v>43770</v>
      </c>
    </row>
    <row r="24" spans="1:8" s="11" customFormat="1" ht="15.95" customHeight="1" x14ac:dyDescent="0.25">
      <c r="A24" s="11" t="s">
        <v>708</v>
      </c>
      <c r="B24" s="24">
        <v>78440</v>
      </c>
      <c r="C24" s="49">
        <v>43769</v>
      </c>
      <c r="D24" s="19">
        <v>43770</v>
      </c>
    </row>
    <row r="25" spans="1:8" s="11" customFormat="1" ht="15.95" customHeight="1" x14ac:dyDescent="0.25">
      <c r="A25" s="11" t="s">
        <v>709</v>
      </c>
      <c r="B25" s="24">
        <v>82651</v>
      </c>
      <c r="C25" s="49">
        <v>43767</v>
      </c>
      <c r="D25" s="19">
        <v>43770</v>
      </c>
    </row>
    <row r="26" spans="1:8" s="11" customFormat="1" ht="15.95" customHeight="1" x14ac:dyDescent="0.25">
      <c r="A26" s="11" t="s">
        <v>710</v>
      </c>
      <c r="B26" s="24">
        <v>78412</v>
      </c>
      <c r="C26" s="211" t="s">
        <v>712</v>
      </c>
      <c r="D26" s="211"/>
      <c r="E26" s="211"/>
      <c r="F26" s="211"/>
      <c r="G26" s="211"/>
      <c r="H26" s="28"/>
    </row>
    <row r="27" spans="1:8" s="11" customFormat="1" ht="15.95" customHeight="1" x14ac:dyDescent="0.25">
      <c r="B27" s="24"/>
      <c r="C27" s="31"/>
      <c r="D27" s="28"/>
    </row>
    <row r="28" spans="1:8" s="11" customFormat="1" ht="15.95" customHeight="1" x14ac:dyDescent="0.25">
      <c r="B28" s="24">
        <f>SUM(B20:B27)</f>
        <v>406310</v>
      </c>
      <c r="C28" s="13"/>
      <c r="D28" s="28"/>
    </row>
    <row r="29" spans="1:8" s="11" customFormat="1" ht="15.95" customHeight="1" x14ac:dyDescent="0.25">
      <c r="A29" s="11" t="s">
        <v>1</v>
      </c>
      <c r="B29" s="12">
        <f>B28+B18</f>
        <v>325219</v>
      </c>
      <c r="C29" s="13"/>
      <c r="D29" s="28"/>
    </row>
    <row r="30" spans="1:8" s="11" customFormat="1" ht="15.95" customHeight="1" x14ac:dyDescent="0.25">
      <c r="A30" s="15" t="s">
        <v>0</v>
      </c>
      <c r="B30" s="16">
        <f>B29-B7</f>
        <v>0</v>
      </c>
      <c r="C30" s="13"/>
      <c r="D30" s="28"/>
    </row>
    <row r="31" spans="1:8" s="11" customFormat="1" ht="15.95" customHeight="1" x14ac:dyDescent="0.25">
      <c r="B31" s="12"/>
      <c r="C31" s="13"/>
      <c r="D31" s="28"/>
    </row>
    <row r="32" spans="1:8" s="11" customFormat="1" ht="20.100000000000001" customHeight="1" x14ac:dyDescent="0.3">
      <c r="A32" s="1"/>
      <c r="B32" s="3"/>
      <c r="C32" s="13"/>
      <c r="D32" s="28"/>
    </row>
    <row r="33" spans="1:9" s="11" customFormat="1" ht="20.100000000000001" customHeight="1" x14ac:dyDescent="0.3">
      <c r="A33" s="1"/>
      <c r="B33" s="3"/>
      <c r="C33" s="13"/>
      <c r="D33" s="28"/>
    </row>
    <row r="34" spans="1:9" s="11" customFormat="1" ht="20.100000000000001" customHeight="1" x14ac:dyDescent="0.3">
      <c r="A34" s="1"/>
      <c r="B34" s="3"/>
      <c r="C34" s="13"/>
      <c r="D34" s="28"/>
    </row>
    <row r="35" spans="1:9" s="11" customFormat="1" ht="20.100000000000001" customHeight="1" x14ac:dyDescent="0.3">
      <c r="A35" s="1"/>
      <c r="B35" s="3"/>
      <c r="C35" s="13"/>
      <c r="D35" s="28"/>
    </row>
    <row r="36" spans="1:9" s="11" customFormat="1" ht="20.100000000000001" customHeight="1" x14ac:dyDescent="0.3">
      <c r="A36" s="1"/>
      <c r="B36" s="3"/>
      <c r="C36" s="13"/>
      <c r="D36" s="28"/>
    </row>
    <row r="37" spans="1:9" s="13" customFormat="1" ht="20.100000000000001" customHeight="1" x14ac:dyDescent="0.3">
      <c r="A37" s="1"/>
      <c r="B37" s="3"/>
      <c r="D37" s="28"/>
      <c r="E37" s="11"/>
      <c r="F37" s="11"/>
      <c r="G37" s="11"/>
      <c r="H37" s="11"/>
      <c r="I37" s="11"/>
    </row>
    <row r="38" spans="1:9" s="13" customFormat="1" ht="20.100000000000001" customHeight="1" x14ac:dyDescent="0.3">
      <c r="A38" s="1"/>
      <c r="B38" s="3"/>
      <c r="D38" s="28"/>
      <c r="E38" s="11"/>
      <c r="F38" s="11"/>
      <c r="G38" s="11"/>
      <c r="H38" s="11"/>
      <c r="I38" s="11"/>
    </row>
    <row r="39" spans="1:9" s="13" customFormat="1" ht="20.100000000000001" customHeight="1" x14ac:dyDescent="0.3">
      <c r="A39" s="1"/>
      <c r="B39" s="3"/>
      <c r="D39" s="28"/>
      <c r="E39" s="11"/>
      <c r="F39" s="11"/>
      <c r="G39" s="11"/>
      <c r="H39" s="11"/>
      <c r="I39" s="11"/>
    </row>
    <row r="40" spans="1:9" ht="20.100000000000001" customHeight="1" x14ac:dyDescent="0.3"/>
    <row r="41" spans="1:9" ht="20.100000000000001" customHeight="1" x14ac:dyDescent="0.3"/>
    <row r="42" spans="1:9" ht="20.100000000000001" customHeight="1" x14ac:dyDescent="0.3"/>
    <row r="43" spans="1:9" ht="20.100000000000001" customHeight="1" x14ac:dyDescent="0.3"/>
  </sheetData>
  <mergeCells count="2">
    <mergeCell ref="C9:G9"/>
    <mergeCell ref="C26:G26"/>
  </mergeCells>
  <pageMargins left="0.7" right="0.7" top="0.75" bottom="0.75" header="0.3" footer="0.3"/>
  <pageSetup scale="79" fitToHeight="0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44"/>
  <sheetViews>
    <sheetView workbookViewId="0">
      <selection activeCell="E25" sqref="E25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18" style="6" customWidth="1"/>
    <col min="4" max="4" width="15" style="35" bestFit="1" customWidth="1"/>
    <col min="5" max="7" width="9.140625" style="1"/>
    <col min="8" max="8" width="17.7109375" style="1" customWidth="1"/>
    <col min="9" max="16384" width="9.140625" style="1"/>
  </cols>
  <sheetData>
    <row r="1" spans="1:8" s="11" customFormat="1" ht="20.100000000000001" customHeight="1" x14ac:dyDescent="0.25">
      <c r="A1" s="11" t="s">
        <v>304</v>
      </c>
      <c r="B1" s="12"/>
      <c r="C1" s="13"/>
      <c r="D1" s="28"/>
    </row>
    <row r="2" spans="1:8" s="11" customFormat="1" ht="20.100000000000001" customHeight="1" x14ac:dyDescent="0.25">
      <c r="A2" s="14">
        <v>43799</v>
      </c>
      <c r="B2" s="12"/>
      <c r="C2" s="13"/>
      <c r="D2" s="28"/>
    </row>
    <row r="3" spans="1:8" s="11" customFormat="1" ht="20.100000000000001" customHeight="1" x14ac:dyDescent="0.25">
      <c r="A3" s="11" t="s">
        <v>311</v>
      </c>
      <c r="B3" s="12">
        <v>10848150</v>
      </c>
      <c r="C3" s="13"/>
      <c r="D3" s="28"/>
    </row>
    <row r="4" spans="1:8" s="11" customFormat="1" ht="20.100000000000001" customHeight="1" x14ac:dyDescent="0.25">
      <c r="A4" s="11" t="s">
        <v>6</v>
      </c>
      <c r="B4" s="12"/>
      <c r="C4" s="13"/>
      <c r="D4" s="28"/>
    </row>
    <row r="5" spans="1:8" s="11" customFormat="1" ht="20.100000000000001" customHeight="1" x14ac:dyDescent="0.25">
      <c r="A5" s="11">
        <v>2100</v>
      </c>
      <c r="B5" s="12">
        <v>-11043574</v>
      </c>
      <c r="C5" s="13"/>
      <c r="D5" s="28"/>
    </row>
    <row r="6" spans="1:8" s="11" customFormat="1" ht="20.100000000000001" customHeight="1" x14ac:dyDescent="0.25">
      <c r="A6" s="11" t="s">
        <v>5</v>
      </c>
      <c r="B6" s="12">
        <f>SUM(B5)</f>
        <v>-11043574</v>
      </c>
      <c r="C6" s="13"/>
      <c r="D6" s="28"/>
    </row>
    <row r="7" spans="1:8" s="11" customFormat="1" ht="20.100000000000001" customHeight="1" x14ac:dyDescent="0.25">
      <c r="A7" s="15" t="s">
        <v>4</v>
      </c>
      <c r="B7" s="16">
        <f>B6+B3</f>
        <v>-195424</v>
      </c>
      <c r="C7" s="13"/>
      <c r="D7" s="28"/>
    </row>
    <row r="8" spans="1:8" s="11" customFormat="1" ht="15.95" customHeight="1" x14ac:dyDescent="0.25">
      <c r="A8" s="11" t="s">
        <v>3</v>
      </c>
      <c r="B8" s="12"/>
      <c r="C8" s="44" t="s">
        <v>628</v>
      </c>
      <c r="D8" s="34" t="s">
        <v>626</v>
      </c>
    </row>
    <row r="9" spans="1:8" s="11" customFormat="1" ht="15.95" customHeight="1" x14ac:dyDescent="0.25">
      <c r="A9" s="11" t="s">
        <v>713</v>
      </c>
      <c r="B9" s="24">
        <v>-28791</v>
      </c>
      <c r="C9" s="50">
        <v>43798</v>
      </c>
      <c r="D9" s="47">
        <v>43802</v>
      </c>
      <c r="E9" s="47"/>
      <c r="F9" s="47"/>
      <c r="G9" s="47"/>
      <c r="H9" s="47"/>
    </row>
    <row r="10" spans="1:8" s="11" customFormat="1" ht="15.95" customHeight="1" x14ac:dyDescent="0.25">
      <c r="A10" s="11" t="s">
        <v>714</v>
      </c>
      <c r="B10" s="24">
        <v>-28791</v>
      </c>
      <c r="C10" s="48">
        <v>43798</v>
      </c>
      <c r="D10" s="47">
        <v>43802</v>
      </c>
      <c r="E10" s="47"/>
      <c r="F10" s="47"/>
      <c r="G10" s="47"/>
      <c r="H10" s="47"/>
    </row>
    <row r="11" spans="1:8" s="11" customFormat="1" ht="15.95" customHeight="1" x14ac:dyDescent="0.25">
      <c r="A11" s="11" t="s">
        <v>715</v>
      </c>
      <c r="B11" s="24">
        <v>-30611</v>
      </c>
      <c r="C11" s="42">
        <v>43798</v>
      </c>
      <c r="D11" s="18">
        <v>43802</v>
      </c>
      <c r="E11" s="38"/>
    </row>
    <row r="12" spans="1:8" s="11" customFormat="1" ht="15.95" customHeight="1" x14ac:dyDescent="0.25">
      <c r="A12" s="11" t="s">
        <v>716</v>
      </c>
      <c r="B12" s="24">
        <v>-31140</v>
      </c>
      <c r="C12" s="42">
        <v>43798</v>
      </c>
      <c r="D12" s="18">
        <v>43802</v>
      </c>
      <c r="E12" s="38"/>
    </row>
    <row r="13" spans="1:8" s="11" customFormat="1" ht="15.95" customHeight="1" x14ac:dyDescent="0.25">
      <c r="A13" s="11" t="s">
        <v>717</v>
      </c>
      <c r="B13" s="24">
        <v>-33140</v>
      </c>
      <c r="C13" s="42">
        <v>43798</v>
      </c>
      <c r="D13" s="18">
        <v>43802</v>
      </c>
      <c r="E13" s="38"/>
    </row>
    <row r="14" spans="1:8" s="11" customFormat="1" ht="15.95" customHeight="1" x14ac:dyDescent="0.25">
      <c r="A14" s="11" t="s">
        <v>718</v>
      </c>
      <c r="B14" s="24">
        <v>-39328</v>
      </c>
      <c r="C14" s="42">
        <v>43798</v>
      </c>
      <c r="D14" s="18">
        <v>43802</v>
      </c>
      <c r="E14" s="38"/>
    </row>
    <row r="15" spans="1:8" s="11" customFormat="1" ht="15.95" customHeight="1" x14ac:dyDescent="0.25">
      <c r="A15" s="11" t="s">
        <v>719</v>
      </c>
      <c r="B15" s="24">
        <v>-40360</v>
      </c>
      <c r="C15" s="42">
        <v>43798</v>
      </c>
      <c r="D15" s="18">
        <v>43802</v>
      </c>
      <c r="E15" s="38"/>
    </row>
    <row r="16" spans="1:8" s="11" customFormat="1" ht="15.95" customHeight="1" x14ac:dyDescent="0.25">
      <c r="A16" s="11" t="s">
        <v>720</v>
      </c>
      <c r="B16" s="24">
        <v>-46032</v>
      </c>
      <c r="C16" s="42">
        <v>43798</v>
      </c>
      <c r="D16" s="18">
        <v>43802</v>
      </c>
      <c r="E16" s="38"/>
    </row>
    <row r="17" spans="1:7" s="11" customFormat="1" ht="15.95" customHeight="1" x14ac:dyDescent="0.25">
      <c r="B17" s="24"/>
      <c r="C17" s="42"/>
      <c r="D17" s="18"/>
      <c r="E17" s="38"/>
    </row>
    <row r="18" spans="1:7" s="11" customFormat="1" ht="15.75" customHeight="1" x14ac:dyDescent="0.25">
      <c r="B18" s="24"/>
      <c r="C18" s="42"/>
      <c r="D18" s="18"/>
      <c r="E18" s="38"/>
    </row>
    <row r="19" spans="1:7" s="11" customFormat="1" ht="15.95" customHeight="1" x14ac:dyDescent="0.25">
      <c r="B19" s="24"/>
      <c r="C19" s="36"/>
      <c r="D19" s="18"/>
      <c r="E19" s="18"/>
      <c r="F19" s="18"/>
      <c r="G19" s="18"/>
    </row>
    <row r="20" spans="1:7" s="11" customFormat="1" ht="15.95" customHeight="1" x14ac:dyDescent="0.25">
      <c r="B20" s="24">
        <f>SUM(B9:B19)</f>
        <v>-278193</v>
      </c>
      <c r="C20" s="18"/>
      <c r="D20" s="18"/>
      <c r="E20" s="18"/>
      <c r="F20" s="18"/>
      <c r="G20" s="18"/>
    </row>
    <row r="21" spans="1:7" s="11" customFormat="1" ht="15.95" customHeight="1" x14ac:dyDescent="0.25">
      <c r="A21" s="11" t="s">
        <v>2</v>
      </c>
      <c r="B21" s="24"/>
      <c r="C21" s="30" t="s">
        <v>702</v>
      </c>
      <c r="D21" s="34" t="s">
        <v>628</v>
      </c>
    </row>
    <row r="22" spans="1:7" s="11" customFormat="1" ht="15.95" customHeight="1" x14ac:dyDescent="0.25">
      <c r="A22" s="11" t="s">
        <v>721</v>
      </c>
      <c r="B22" s="24">
        <v>82769</v>
      </c>
      <c r="C22" s="42" t="s">
        <v>723</v>
      </c>
      <c r="D22" s="19" t="s">
        <v>722</v>
      </c>
    </row>
    <row r="23" spans="1:7" s="11" customFormat="1" ht="15.95" customHeight="1" x14ac:dyDescent="0.25">
      <c r="A23" s="39"/>
      <c r="B23" s="46"/>
      <c r="C23" s="42"/>
      <c r="D23" s="19"/>
      <c r="E23" s="39"/>
      <c r="F23" s="39"/>
    </row>
    <row r="24" spans="1:7" s="11" customFormat="1" ht="15.95" customHeight="1" x14ac:dyDescent="0.25">
      <c r="A24" s="39"/>
      <c r="B24" s="46"/>
      <c r="C24" s="42"/>
      <c r="D24" s="19"/>
      <c r="E24" s="39"/>
      <c r="F24" s="39"/>
    </row>
    <row r="25" spans="1:7" s="11" customFormat="1" ht="15.95" customHeight="1" x14ac:dyDescent="0.25">
      <c r="B25" s="24"/>
      <c r="C25" s="42"/>
      <c r="D25" s="19"/>
    </row>
    <row r="26" spans="1:7" s="11" customFormat="1" ht="15.95" customHeight="1" x14ac:dyDescent="0.25">
      <c r="B26" s="24"/>
      <c r="C26" s="49"/>
      <c r="D26" s="19"/>
    </row>
    <row r="27" spans="1:7" s="11" customFormat="1" ht="15.95" customHeight="1" x14ac:dyDescent="0.25">
      <c r="B27" s="24"/>
      <c r="C27" s="49"/>
      <c r="D27" s="19"/>
    </row>
    <row r="28" spans="1:7" s="11" customFormat="1" ht="15.95" customHeight="1" x14ac:dyDescent="0.25">
      <c r="B28" s="24"/>
      <c r="C28" s="31"/>
      <c r="D28" s="28"/>
    </row>
    <row r="29" spans="1:7" s="11" customFormat="1" ht="15.95" customHeight="1" x14ac:dyDescent="0.25">
      <c r="B29" s="24">
        <f>SUM(B22:B28)</f>
        <v>82769</v>
      </c>
      <c r="C29" s="13"/>
      <c r="D29" s="28"/>
    </row>
    <row r="30" spans="1:7" s="11" customFormat="1" ht="15.95" customHeight="1" x14ac:dyDescent="0.25">
      <c r="A30" s="11" t="s">
        <v>1</v>
      </c>
      <c r="B30" s="12">
        <f>B29+B20</f>
        <v>-195424</v>
      </c>
      <c r="C30" s="13"/>
      <c r="D30" s="28"/>
    </row>
    <row r="31" spans="1:7" s="11" customFormat="1" ht="15.95" customHeight="1" x14ac:dyDescent="0.25">
      <c r="A31" s="15" t="s">
        <v>0</v>
      </c>
      <c r="B31" s="16">
        <f>B30-B7</f>
        <v>0</v>
      </c>
      <c r="C31" s="13"/>
      <c r="D31" s="28"/>
    </row>
    <row r="32" spans="1:7" s="11" customFormat="1" ht="15.95" customHeight="1" x14ac:dyDescent="0.25">
      <c r="B32" s="12"/>
      <c r="C32" s="13"/>
      <c r="D32" s="28"/>
    </row>
    <row r="33" spans="1:9" s="11" customFormat="1" ht="20.100000000000001" customHeight="1" x14ac:dyDescent="0.3">
      <c r="A33" s="1"/>
      <c r="B33" s="3"/>
      <c r="C33" s="13"/>
      <c r="D33" s="28"/>
    </row>
    <row r="34" spans="1:9" s="11" customFormat="1" ht="20.100000000000001" customHeight="1" x14ac:dyDescent="0.3">
      <c r="A34" s="1"/>
      <c r="B34" s="3"/>
      <c r="C34" s="13"/>
      <c r="D34" s="28"/>
    </row>
    <row r="35" spans="1:9" s="11" customFormat="1" ht="20.100000000000001" customHeight="1" x14ac:dyDescent="0.3">
      <c r="A35" s="1"/>
      <c r="B35" s="3"/>
      <c r="C35" s="13"/>
      <c r="D35" s="28"/>
    </row>
    <row r="36" spans="1:9" s="11" customFormat="1" ht="20.100000000000001" customHeight="1" x14ac:dyDescent="0.3">
      <c r="A36" s="1"/>
      <c r="B36" s="3"/>
      <c r="C36" s="13"/>
      <c r="D36" s="28"/>
    </row>
    <row r="37" spans="1:9" s="11" customFormat="1" ht="20.100000000000001" customHeight="1" x14ac:dyDescent="0.3">
      <c r="A37" s="1"/>
      <c r="B37" s="3"/>
      <c r="C37" s="13"/>
      <c r="D37" s="28"/>
    </row>
    <row r="38" spans="1:9" s="13" customFormat="1" ht="20.100000000000001" customHeight="1" x14ac:dyDescent="0.3">
      <c r="A38" s="1"/>
      <c r="B38" s="3"/>
      <c r="D38" s="28"/>
      <c r="E38" s="11"/>
      <c r="F38" s="11"/>
      <c r="G38" s="11"/>
      <c r="H38" s="11"/>
      <c r="I38" s="11"/>
    </row>
    <row r="39" spans="1:9" s="13" customFormat="1" ht="20.100000000000001" customHeight="1" x14ac:dyDescent="0.3">
      <c r="A39" s="1"/>
      <c r="B39" s="3"/>
      <c r="D39" s="28"/>
      <c r="E39" s="11"/>
      <c r="F39" s="11"/>
      <c r="G39" s="11"/>
      <c r="H39" s="11"/>
      <c r="I39" s="11"/>
    </row>
    <row r="40" spans="1:9" s="13" customFormat="1" ht="20.100000000000001" customHeight="1" x14ac:dyDescent="0.3">
      <c r="A40" s="1"/>
      <c r="B40" s="3"/>
      <c r="D40" s="28"/>
      <c r="E40" s="11"/>
      <c r="F40" s="11"/>
      <c r="G40" s="11"/>
      <c r="H40" s="11"/>
      <c r="I40" s="11"/>
    </row>
    <row r="41" spans="1:9" ht="20.100000000000001" customHeight="1" x14ac:dyDescent="0.3"/>
    <row r="42" spans="1:9" ht="20.100000000000001" customHeight="1" x14ac:dyDescent="0.3"/>
    <row r="43" spans="1:9" ht="20.100000000000001" customHeight="1" x14ac:dyDescent="0.3"/>
    <row r="44" spans="1:9" ht="20.100000000000001" customHeight="1" x14ac:dyDescent="0.3"/>
  </sheetData>
  <pageMargins left="0.7" right="0.7" top="0.75" bottom="0.75" header="0.3" footer="0.3"/>
  <pageSetup fitToHeight="0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I42"/>
  <sheetViews>
    <sheetView workbookViewId="0">
      <selection activeCell="D10" sqref="D10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18" style="6" customWidth="1"/>
    <col min="4" max="4" width="19.7109375" style="6" customWidth="1"/>
    <col min="5" max="7" width="9.140625" style="1"/>
    <col min="8" max="8" width="17.7109375" style="1" customWidth="1"/>
    <col min="9" max="16384" width="9.140625" style="1"/>
  </cols>
  <sheetData>
    <row r="1" spans="1:8" s="11" customFormat="1" ht="20.100000000000001" customHeight="1" x14ac:dyDescent="0.25">
      <c r="A1" s="11" t="s">
        <v>304</v>
      </c>
      <c r="B1" s="12"/>
      <c r="C1" s="13"/>
      <c r="D1" s="13"/>
    </row>
    <row r="2" spans="1:8" s="11" customFormat="1" ht="20.100000000000001" customHeight="1" x14ac:dyDescent="0.25">
      <c r="A2" s="14">
        <v>43830</v>
      </c>
      <c r="B2" s="12"/>
      <c r="C2" s="13"/>
      <c r="D2" s="13"/>
    </row>
    <row r="3" spans="1:8" s="11" customFormat="1" ht="20.100000000000001" customHeight="1" x14ac:dyDescent="0.25">
      <c r="A3" s="11" t="s">
        <v>311</v>
      </c>
      <c r="B3" s="12">
        <v>10357427</v>
      </c>
      <c r="C3" s="13"/>
      <c r="D3" s="13"/>
    </row>
    <row r="4" spans="1:8" s="11" customFormat="1" ht="20.100000000000001" customHeight="1" x14ac:dyDescent="0.25">
      <c r="A4" s="11" t="s">
        <v>6</v>
      </c>
      <c r="B4" s="12"/>
      <c r="C4" s="13"/>
      <c r="D4" s="13"/>
    </row>
    <row r="5" spans="1:8" s="11" customFormat="1" ht="20.100000000000001" customHeight="1" x14ac:dyDescent="0.25">
      <c r="A5" s="11">
        <v>2100</v>
      </c>
      <c r="B5" s="12">
        <v>-10394225</v>
      </c>
      <c r="C5" s="13"/>
      <c r="D5" s="13"/>
    </row>
    <row r="6" spans="1:8" s="11" customFormat="1" ht="20.100000000000001" customHeight="1" x14ac:dyDescent="0.25">
      <c r="A6" s="11" t="s">
        <v>5</v>
      </c>
      <c r="B6" s="12">
        <f>SUM(B5)</f>
        <v>-10394225</v>
      </c>
      <c r="C6" s="13"/>
      <c r="D6" s="13"/>
    </row>
    <row r="7" spans="1:8" s="11" customFormat="1" ht="20.100000000000001" customHeight="1" x14ac:dyDescent="0.25">
      <c r="A7" s="15" t="s">
        <v>4</v>
      </c>
      <c r="B7" s="16">
        <f>B6+B3</f>
        <v>-36798</v>
      </c>
      <c r="C7" s="13"/>
      <c r="D7" s="13"/>
    </row>
    <row r="8" spans="1:8" s="11" customFormat="1" ht="15.95" customHeight="1" x14ac:dyDescent="0.25">
      <c r="A8" s="11" t="s">
        <v>3</v>
      </c>
      <c r="B8" s="12"/>
      <c r="C8" s="44" t="s">
        <v>628</v>
      </c>
      <c r="D8" s="52" t="s">
        <v>626</v>
      </c>
    </row>
    <row r="9" spans="1:8" s="11" customFormat="1" ht="15.95" customHeight="1" x14ac:dyDescent="0.25">
      <c r="A9" s="11" t="s">
        <v>724</v>
      </c>
      <c r="B9" s="24">
        <v>-36798</v>
      </c>
      <c r="C9" s="50">
        <v>43829</v>
      </c>
      <c r="D9" s="51">
        <v>43840</v>
      </c>
      <c r="E9" s="47"/>
      <c r="F9" s="47"/>
      <c r="G9" s="47"/>
      <c r="H9" s="47"/>
    </row>
    <row r="10" spans="1:8" s="11" customFormat="1" ht="15.95" customHeight="1" x14ac:dyDescent="0.25">
      <c r="B10" s="24"/>
      <c r="C10" s="42"/>
      <c r="D10" s="53"/>
      <c r="E10" s="38"/>
    </row>
    <row r="11" spans="1:8" s="11" customFormat="1" ht="15.95" customHeight="1" x14ac:dyDescent="0.25">
      <c r="B11" s="24"/>
      <c r="C11" s="42"/>
      <c r="D11" s="53"/>
      <c r="E11" s="38"/>
    </row>
    <row r="12" spans="1:8" s="11" customFormat="1" ht="15.95" customHeight="1" x14ac:dyDescent="0.25">
      <c r="B12" s="24"/>
      <c r="C12" s="42"/>
      <c r="D12" s="53"/>
      <c r="E12" s="38"/>
    </row>
    <row r="13" spans="1:8" s="11" customFormat="1" ht="15.95" customHeight="1" x14ac:dyDescent="0.25">
      <c r="B13" s="24"/>
      <c r="C13" s="42"/>
      <c r="D13" s="53"/>
      <c r="E13" s="38"/>
    </row>
    <row r="14" spans="1:8" s="11" customFormat="1" ht="15.95" customHeight="1" x14ac:dyDescent="0.25">
      <c r="B14" s="24"/>
      <c r="C14" s="42"/>
      <c r="D14" s="53"/>
      <c r="E14" s="38"/>
    </row>
    <row r="15" spans="1:8" s="11" customFormat="1" ht="15.95" customHeight="1" x14ac:dyDescent="0.25">
      <c r="B15" s="24"/>
      <c r="C15" s="42"/>
      <c r="D15" s="53"/>
      <c r="E15" s="38"/>
    </row>
    <row r="16" spans="1:8" s="11" customFormat="1" ht="15.95" customHeight="1" x14ac:dyDescent="0.25">
      <c r="B16" s="24"/>
      <c r="C16" s="42"/>
      <c r="D16" s="53"/>
      <c r="E16" s="38"/>
    </row>
    <row r="17" spans="1:7" s="11" customFormat="1" ht="15.75" customHeight="1" x14ac:dyDescent="0.25">
      <c r="B17" s="24"/>
      <c r="C17" s="42"/>
      <c r="D17" s="53"/>
      <c r="E17" s="38"/>
    </row>
    <row r="18" spans="1:7" s="11" customFormat="1" ht="15.95" customHeight="1" x14ac:dyDescent="0.25">
      <c r="B18" s="24"/>
      <c r="C18" s="36"/>
      <c r="D18" s="53"/>
      <c r="E18" s="18"/>
      <c r="F18" s="18"/>
      <c r="G18" s="18"/>
    </row>
    <row r="19" spans="1:7" s="11" customFormat="1" ht="15.95" customHeight="1" x14ac:dyDescent="0.25">
      <c r="B19" s="24">
        <f>SUM(B9:B18)</f>
        <v>-36798</v>
      </c>
      <c r="C19" s="18"/>
      <c r="D19" s="53"/>
      <c r="E19" s="18"/>
      <c r="F19" s="18"/>
      <c r="G19" s="18"/>
    </row>
    <row r="20" spans="1:7" s="11" customFormat="1" ht="15.95" customHeight="1" x14ac:dyDescent="0.25">
      <c r="A20" s="11" t="s">
        <v>2</v>
      </c>
      <c r="B20" s="24"/>
      <c r="C20" s="30" t="s">
        <v>702</v>
      </c>
      <c r="D20" s="52" t="s">
        <v>628</v>
      </c>
    </row>
    <row r="21" spans="1:7" s="11" customFormat="1" ht="15.95" customHeight="1" x14ac:dyDescent="0.25">
      <c r="A21" s="39"/>
      <c r="B21" s="46"/>
      <c r="C21" s="42"/>
      <c r="D21" s="29"/>
      <c r="E21" s="39"/>
      <c r="F21" s="39"/>
    </row>
    <row r="22" spans="1:7" s="11" customFormat="1" ht="15.95" customHeight="1" x14ac:dyDescent="0.25">
      <c r="A22" s="39"/>
      <c r="B22" s="46"/>
      <c r="C22" s="42"/>
      <c r="D22" s="29"/>
      <c r="E22" s="39"/>
      <c r="F22" s="39"/>
    </row>
    <row r="23" spans="1:7" s="11" customFormat="1" ht="15.95" customHeight="1" x14ac:dyDescent="0.25">
      <c r="B23" s="24"/>
      <c r="C23" s="42"/>
      <c r="D23" s="29"/>
    </row>
    <row r="24" spans="1:7" s="11" customFormat="1" ht="15.95" customHeight="1" x14ac:dyDescent="0.25">
      <c r="B24" s="24"/>
      <c r="C24" s="49"/>
      <c r="D24" s="29"/>
    </row>
    <row r="25" spans="1:7" s="11" customFormat="1" ht="15.95" customHeight="1" x14ac:dyDescent="0.25">
      <c r="B25" s="24"/>
      <c r="C25" s="49"/>
      <c r="D25" s="29"/>
    </row>
    <row r="26" spans="1:7" s="11" customFormat="1" ht="15.95" customHeight="1" x14ac:dyDescent="0.25">
      <c r="B26" s="24"/>
      <c r="C26" s="31"/>
      <c r="D26" s="13"/>
    </row>
    <row r="27" spans="1:7" s="11" customFormat="1" ht="15.95" customHeight="1" x14ac:dyDescent="0.25">
      <c r="B27" s="24">
        <f>SUM(B21:B26)</f>
        <v>0</v>
      </c>
      <c r="C27" s="13"/>
      <c r="D27" s="13"/>
    </row>
    <row r="28" spans="1:7" s="11" customFormat="1" ht="15.95" customHeight="1" x14ac:dyDescent="0.25">
      <c r="A28" s="11" t="s">
        <v>1</v>
      </c>
      <c r="B28" s="12">
        <f>B27+B19</f>
        <v>-36798</v>
      </c>
      <c r="C28" s="13"/>
      <c r="D28" s="13"/>
    </row>
    <row r="29" spans="1:7" s="11" customFormat="1" ht="15.95" customHeight="1" x14ac:dyDescent="0.25">
      <c r="A29" s="15" t="s">
        <v>0</v>
      </c>
      <c r="B29" s="16">
        <f>B28-B7</f>
        <v>0</v>
      </c>
      <c r="C29" s="13"/>
      <c r="D29" s="13"/>
    </row>
    <row r="30" spans="1:7" s="11" customFormat="1" ht="15.95" customHeight="1" x14ac:dyDescent="0.25">
      <c r="B30" s="12"/>
      <c r="C30" s="13"/>
      <c r="D30" s="13"/>
    </row>
    <row r="31" spans="1:7" s="11" customFormat="1" ht="20.100000000000001" customHeight="1" x14ac:dyDescent="0.3">
      <c r="A31" s="1"/>
      <c r="B31" s="3"/>
      <c r="C31" s="13"/>
      <c r="D31" s="13"/>
    </row>
    <row r="32" spans="1:7" s="11" customFormat="1" ht="20.100000000000001" customHeight="1" x14ac:dyDescent="0.3">
      <c r="A32" s="1"/>
      <c r="B32" s="3"/>
      <c r="C32" s="13"/>
      <c r="D32" s="13"/>
    </row>
    <row r="33" spans="1:9" s="11" customFormat="1" ht="20.100000000000001" customHeight="1" x14ac:dyDescent="0.3">
      <c r="A33" s="1"/>
      <c r="B33" s="3"/>
      <c r="C33" s="13"/>
      <c r="D33" s="13"/>
    </row>
    <row r="34" spans="1:9" s="11" customFormat="1" ht="20.100000000000001" customHeight="1" x14ac:dyDescent="0.3">
      <c r="A34" s="1"/>
      <c r="B34" s="3"/>
      <c r="C34" s="13"/>
      <c r="D34" s="13"/>
    </row>
    <row r="35" spans="1:9" s="11" customFormat="1" ht="20.100000000000001" customHeight="1" x14ac:dyDescent="0.3">
      <c r="A35" s="1"/>
      <c r="B35" s="3"/>
      <c r="C35" s="13"/>
      <c r="D35" s="13"/>
    </row>
    <row r="36" spans="1:9" s="13" customFormat="1" ht="20.100000000000001" customHeight="1" x14ac:dyDescent="0.3">
      <c r="A36" s="1"/>
      <c r="B36" s="3"/>
      <c r="E36" s="11"/>
      <c r="F36" s="11"/>
      <c r="G36" s="11"/>
      <c r="H36" s="11"/>
      <c r="I36" s="11"/>
    </row>
    <row r="37" spans="1:9" s="13" customFormat="1" ht="20.100000000000001" customHeight="1" x14ac:dyDescent="0.3">
      <c r="A37" s="1"/>
      <c r="B37" s="3"/>
      <c r="E37" s="11"/>
      <c r="F37" s="11"/>
      <c r="G37" s="11"/>
      <c r="H37" s="11"/>
      <c r="I37" s="11"/>
    </row>
    <row r="38" spans="1:9" s="13" customFormat="1" ht="20.100000000000001" customHeight="1" x14ac:dyDescent="0.3">
      <c r="A38" s="1"/>
      <c r="B38" s="3"/>
      <c r="E38" s="11"/>
      <c r="F38" s="11"/>
      <c r="G38" s="11"/>
      <c r="H38" s="11"/>
      <c r="I38" s="11"/>
    </row>
    <row r="39" spans="1:9" ht="20.100000000000001" customHeight="1" x14ac:dyDescent="0.3"/>
    <row r="40" spans="1:9" ht="20.100000000000001" customHeight="1" x14ac:dyDescent="0.3"/>
    <row r="41" spans="1:9" ht="20.100000000000001" customHeight="1" x14ac:dyDescent="0.3"/>
    <row r="42" spans="1:9" ht="20.100000000000001" customHeight="1" x14ac:dyDescent="0.3"/>
  </sheetData>
  <pageMargins left="0.7" right="0.7" top="0.75" bottom="0.75" header="0.3" footer="0.3"/>
  <pageSetup fitToHeight="0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I47"/>
  <sheetViews>
    <sheetView workbookViewId="0">
      <selection activeCell="C31" sqref="C31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18" style="6" customWidth="1"/>
    <col min="4" max="4" width="19.7109375" style="6" customWidth="1"/>
    <col min="5" max="7" width="9.140625" style="1"/>
    <col min="8" max="8" width="17.7109375" style="1" customWidth="1"/>
    <col min="9" max="16384" width="9.140625" style="1"/>
  </cols>
  <sheetData>
    <row r="1" spans="1:8" s="11" customFormat="1" ht="20.100000000000001" customHeight="1" x14ac:dyDescent="0.25">
      <c r="A1" s="11" t="s">
        <v>304</v>
      </c>
      <c r="B1" s="12"/>
      <c r="C1" s="13"/>
      <c r="D1" s="13"/>
    </row>
    <row r="2" spans="1:8" s="11" customFormat="1" ht="20.100000000000001" customHeight="1" x14ac:dyDescent="0.25">
      <c r="A2" s="14">
        <v>43861</v>
      </c>
      <c r="B2" s="12"/>
      <c r="C2" s="13"/>
      <c r="D2" s="13"/>
    </row>
    <row r="3" spans="1:8" s="11" customFormat="1" ht="20.100000000000001" customHeight="1" x14ac:dyDescent="0.25">
      <c r="A3" s="11" t="s">
        <v>311</v>
      </c>
      <c r="B3" s="12">
        <v>9258656</v>
      </c>
      <c r="C3" s="13"/>
      <c r="D3" s="13"/>
    </row>
    <row r="4" spans="1:8" s="11" customFormat="1" ht="20.100000000000001" customHeight="1" x14ac:dyDescent="0.25">
      <c r="A4" s="11" t="s">
        <v>6</v>
      </c>
      <c r="B4" s="12"/>
      <c r="C4" s="13"/>
      <c r="D4" s="13"/>
    </row>
    <row r="5" spans="1:8" s="11" customFormat="1" ht="20.100000000000001" customHeight="1" x14ac:dyDescent="0.25">
      <c r="A5" s="11">
        <v>2100</v>
      </c>
      <c r="B5" s="12">
        <v>-9774389</v>
      </c>
      <c r="C5" s="13"/>
      <c r="D5" s="13"/>
    </row>
    <row r="6" spans="1:8" s="11" customFormat="1" ht="20.100000000000001" customHeight="1" x14ac:dyDescent="0.25">
      <c r="A6" s="11" t="s">
        <v>5</v>
      </c>
      <c r="B6" s="12">
        <f>SUM(B5)</f>
        <v>-9774389</v>
      </c>
      <c r="C6" s="13"/>
      <c r="D6" s="13"/>
    </row>
    <row r="7" spans="1:8" s="11" customFormat="1" ht="20.100000000000001" customHeight="1" x14ac:dyDescent="0.25">
      <c r="A7" s="15" t="s">
        <v>4</v>
      </c>
      <c r="B7" s="16">
        <f>B6+B3</f>
        <v>-515733</v>
      </c>
      <c r="C7" s="13"/>
      <c r="D7" s="13"/>
    </row>
    <row r="8" spans="1:8" s="11" customFormat="1" ht="15.95" customHeight="1" x14ac:dyDescent="0.25">
      <c r="A8" s="11" t="s">
        <v>3</v>
      </c>
      <c r="B8" s="12"/>
      <c r="C8" s="44" t="s">
        <v>628</v>
      </c>
      <c r="D8" s="52" t="s">
        <v>626</v>
      </c>
    </row>
    <row r="9" spans="1:8" s="11" customFormat="1" ht="15.95" customHeight="1" x14ac:dyDescent="0.25">
      <c r="A9" s="11" t="s">
        <v>725</v>
      </c>
      <c r="B9" s="24">
        <v>-23843</v>
      </c>
      <c r="C9" s="50">
        <v>43859</v>
      </c>
      <c r="D9" s="51">
        <v>43864</v>
      </c>
      <c r="E9" s="47"/>
      <c r="F9" s="47"/>
      <c r="G9" s="47"/>
      <c r="H9" s="47"/>
    </row>
    <row r="10" spans="1:8" s="11" customFormat="1" ht="15.95" customHeight="1" x14ac:dyDescent="0.25">
      <c r="A10" s="11" t="s">
        <v>726</v>
      </c>
      <c r="B10" s="24">
        <v>-24097</v>
      </c>
      <c r="C10" s="42">
        <v>43860</v>
      </c>
      <c r="D10" s="53">
        <v>43864</v>
      </c>
      <c r="E10" s="38"/>
    </row>
    <row r="11" spans="1:8" s="11" customFormat="1" ht="15.95" customHeight="1" x14ac:dyDescent="0.25">
      <c r="A11" s="11" t="s">
        <v>727</v>
      </c>
      <c r="B11" s="24">
        <v>-25530</v>
      </c>
      <c r="C11" s="42">
        <v>43861</v>
      </c>
      <c r="D11" s="53">
        <v>43864</v>
      </c>
      <c r="E11" s="38"/>
    </row>
    <row r="12" spans="1:8" s="11" customFormat="1" ht="15.95" customHeight="1" x14ac:dyDescent="0.25">
      <c r="A12" s="11" t="s">
        <v>728</v>
      </c>
      <c r="B12" s="24">
        <v>-26758</v>
      </c>
      <c r="C12" s="42">
        <v>43859</v>
      </c>
      <c r="D12" s="53">
        <v>43864</v>
      </c>
      <c r="E12" s="38"/>
    </row>
    <row r="13" spans="1:8" s="11" customFormat="1" ht="15.95" customHeight="1" x14ac:dyDescent="0.25">
      <c r="A13" s="11" t="s">
        <v>729</v>
      </c>
      <c r="B13" s="24">
        <v>-27019</v>
      </c>
      <c r="C13" s="42">
        <v>43859</v>
      </c>
      <c r="D13" s="53">
        <v>43864</v>
      </c>
      <c r="E13" s="38"/>
    </row>
    <row r="14" spans="1:8" s="11" customFormat="1" ht="15.95" customHeight="1" x14ac:dyDescent="0.25">
      <c r="A14" s="11" t="s">
        <v>730</v>
      </c>
      <c r="B14" s="24">
        <v>-27218</v>
      </c>
      <c r="C14" s="42">
        <v>43860</v>
      </c>
      <c r="D14" s="53">
        <v>43864</v>
      </c>
      <c r="E14" s="38"/>
    </row>
    <row r="15" spans="1:8" s="11" customFormat="1" ht="15.95" customHeight="1" x14ac:dyDescent="0.25">
      <c r="A15" s="11" t="s">
        <v>731</v>
      </c>
      <c r="B15" s="24">
        <v>-27692</v>
      </c>
      <c r="C15" s="42">
        <v>43861</v>
      </c>
      <c r="D15" s="53">
        <v>43865</v>
      </c>
      <c r="E15" s="38"/>
    </row>
    <row r="16" spans="1:8" s="11" customFormat="1" ht="15.95" customHeight="1" x14ac:dyDescent="0.25">
      <c r="A16" s="11" t="s">
        <v>732</v>
      </c>
      <c r="B16" s="24">
        <v>-27730</v>
      </c>
      <c r="C16" s="42">
        <v>43860</v>
      </c>
      <c r="D16" s="53">
        <v>43864</v>
      </c>
      <c r="E16" s="38"/>
    </row>
    <row r="17" spans="1:7" s="11" customFormat="1" ht="15.95" customHeight="1" x14ac:dyDescent="0.25">
      <c r="A17" s="11" t="s">
        <v>733</v>
      </c>
      <c r="B17" s="24">
        <v>-28649</v>
      </c>
      <c r="C17" s="42">
        <v>43861</v>
      </c>
      <c r="D17" s="53">
        <v>43865</v>
      </c>
      <c r="E17" s="38"/>
    </row>
    <row r="18" spans="1:7" s="11" customFormat="1" ht="15.95" customHeight="1" x14ac:dyDescent="0.25">
      <c r="A18" s="11" t="s">
        <v>734</v>
      </c>
      <c r="B18" s="24">
        <v>-28827</v>
      </c>
      <c r="C18" s="42">
        <v>43861</v>
      </c>
      <c r="D18" s="53">
        <v>43864</v>
      </c>
      <c r="E18" s="38"/>
    </row>
    <row r="19" spans="1:7" s="11" customFormat="1" ht="15.95" customHeight="1" x14ac:dyDescent="0.25">
      <c r="A19" s="11" t="s">
        <v>735</v>
      </c>
      <c r="B19" s="24">
        <v>-28960</v>
      </c>
      <c r="C19" s="42">
        <v>43859</v>
      </c>
      <c r="D19" s="53">
        <v>43864</v>
      </c>
      <c r="E19" s="38"/>
    </row>
    <row r="20" spans="1:7" s="11" customFormat="1" ht="15.95" customHeight="1" x14ac:dyDescent="0.25">
      <c r="A20" s="11" t="s">
        <v>736</v>
      </c>
      <c r="B20" s="24">
        <v>-30501</v>
      </c>
      <c r="C20" s="42">
        <v>43860</v>
      </c>
      <c r="D20" s="53">
        <v>43864</v>
      </c>
      <c r="E20" s="38"/>
    </row>
    <row r="21" spans="1:7" s="11" customFormat="1" ht="15.95" customHeight="1" x14ac:dyDescent="0.25">
      <c r="A21" s="11" t="s">
        <v>743</v>
      </c>
      <c r="B21" s="24">
        <v>-30501</v>
      </c>
      <c r="C21" s="42">
        <v>43861</v>
      </c>
      <c r="D21" s="53">
        <v>43864</v>
      </c>
      <c r="E21" s="38"/>
    </row>
    <row r="22" spans="1:7" s="11" customFormat="1" ht="15.95" customHeight="1" x14ac:dyDescent="0.25">
      <c r="A22" s="11" t="s">
        <v>737</v>
      </c>
      <c r="B22" s="24">
        <v>-30768</v>
      </c>
      <c r="C22" s="42">
        <v>43861</v>
      </c>
      <c r="D22" s="53">
        <v>43865</v>
      </c>
      <c r="E22" s="38"/>
    </row>
    <row r="23" spans="1:7" s="11" customFormat="1" ht="15.95" customHeight="1" x14ac:dyDescent="0.25">
      <c r="A23" s="11" t="s">
        <v>738</v>
      </c>
      <c r="B23" s="24">
        <v>-35554</v>
      </c>
      <c r="C23" s="42">
        <v>43859</v>
      </c>
      <c r="D23" s="53">
        <v>43864</v>
      </c>
      <c r="E23" s="38"/>
    </row>
    <row r="24" spans="1:7" s="11" customFormat="1" ht="15.95" customHeight="1" x14ac:dyDescent="0.25">
      <c r="A24" s="11" t="s">
        <v>739</v>
      </c>
      <c r="B24" s="24">
        <v>-35821</v>
      </c>
      <c r="C24" s="42">
        <v>43861</v>
      </c>
      <c r="D24" s="53">
        <v>43865</v>
      </c>
      <c r="E24" s="38"/>
    </row>
    <row r="25" spans="1:7" s="11" customFormat="1" ht="15.95" customHeight="1" x14ac:dyDescent="0.25">
      <c r="A25" s="11" t="s">
        <v>740</v>
      </c>
      <c r="B25" s="24">
        <v>-40717</v>
      </c>
      <c r="C25" s="42">
        <v>43860</v>
      </c>
      <c r="D25" s="53">
        <v>43864</v>
      </c>
      <c r="E25" s="38"/>
    </row>
    <row r="26" spans="1:7" s="11" customFormat="1" ht="15.95" customHeight="1" x14ac:dyDescent="0.25">
      <c r="A26" s="11" t="s">
        <v>741</v>
      </c>
      <c r="B26" s="24">
        <v>-40975</v>
      </c>
      <c r="C26" s="42">
        <v>43861</v>
      </c>
      <c r="D26" s="53">
        <v>43864</v>
      </c>
      <c r="E26" s="38"/>
    </row>
    <row r="27" spans="1:7" s="11" customFormat="1" ht="15.95" customHeight="1" x14ac:dyDescent="0.25">
      <c r="B27" s="24"/>
      <c r="C27" s="42"/>
      <c r="D27" s="53"/>
      <c r="E27" s="38"/>
    </row>
    <row r="28" spans="1:7" s="11" customFormat="1" ht="15.95" customHeight="1" x14ac:dyDescent="0.25">
      <c r="B28" s="24">
        <f>SUM(B9:B27)</f>
        <v>-541160</v>
      </c>
      <c r="C28" s="18"/>
      <c r="D28" s="53"/>
      <c r="E28" s="18"/>
      <c r="F28" s="18"/>
      <c r="G28" s="18"/>
    </row>
    <row r="29" spans="1:7" s="11" customFormat="1" ht="15.95" customHeight="1" x14ac:dyDescent="0.25">
      <c r="A29" s="11" t="s">
        <v>2</v>
      </c>
      <c r="B29" s="24"/>
      <c r="C29" s="30" t="s">
        <v>702</v>
      </c>
      <c r="D29" s="52" t="s">
        <v>628</v>
      </c>
    </row>
    <row r="30" spans="1:7" s="11" customFormat="1" ht="15.95" customHeight="1" x14ac:dyDescent="0.25">
      <c r="A30" s="39" t="s">
        <v>742</v>
      </c>
      <c r="B30" s="46">
        <v>25427</v>
      </c>
      <c r="C30" s="42" t="s">
        <v>745</v>
      </c>
      <c r="D30" s="29" t="s">
        <v>744</v>
      </c>
      <c r="E30" s="39"/>
      <c r="F30" s="39"/>
    </row>
    <row r="31" spans="1:7" s="11" customFormat="1" ht="15.95" customHeight="1" x14ac:dyDescent="0.25">
      <c r="A31" s="39"/>
      <c r="B31" s="46"/>
      <c r="C31" s="42"/>
      <c r="D31" s="29"/>
      <c r="E31" s="39"/>
      <c r="F31" s="39"/>
    </row>
    <row r="32" spans="1:7" s="11" customFormat="1" ht="15.95" customHeight="1" x14ac:dyDescent="0.25">
      <c r="B32" s="24">
        <f>SUM(B30:B31)</f>
        <v>25427</v>
      </c>
      <c r="C32" s="13"/>
      <c r="D32" s="13"/>
    </row>
    <row r="33" spans="1:9" s="11" customFormat="1" ht="15.95" customHeight="1" x14ac:dyDescent="0.25">
      <c r="A33" s="11" t="s">
        <v>1</v>
      </c>
      <c r="B33" s="12">
        <f>B32+B28</f>
        <v>-515733</v>
      </c>
      <c r="C33" s="13"/>
      <c r="D33" s="13"/>
    </row>
    <row r="34" spans="1:9" s="11" customFormat="1" ht="15.95" customHeight="1" x14ac:dyDescent="0.25">
      <c r="A34" s="15" t="s">
        <v>0</v>
      </c>
      <c r="B34" s="16">
        <f>B33-B7</f>
        <v>0</v>
      </c>
      <c r="C34" s="13"/>
      <c r="D34" s="13"/>
    </row>
    <row r="35" spans="1:9" s="11" customFormat="1" ht="15.95" customHeight="1" x14ac:dyDescent="0.25">
      <c r="B35" s="12"/>
      <c r="C35" s="13"/>
      <c r="D35" s="13"/>
    </row>
    <row r="36" spans="1:9" s="11" customFormat="1" ht="20.100000000000001" customHeight="1" x14ac:dyDescent="0.3">
      <c r="A36" s="1"/>
      <c r="B36" s="3"/>
      <c r="C36" s="13"/>
      <c r="D36" s="13"/>
    </row>
    <row r="37" spans="1:9" s="11" customFormat="1" ht="20.100000000000001" customHeight="1" x14ac:dyDescent="0.3">
      <c r="A37" s="1"/>
      <c r="B37" s="3"/>
      <c r="C37" s="13"/>
      <c r="D37" s="13"/>
    </row>
    <row r="38" spans="1:9" s="11" customFormat="1" ht="20.100000000000001" customHeight="1" x14ac:dyDescent="0.3">
      <c r="A38" s="1"/>
      <c r="B38" s="3"/>
      <c r="C38" s="13"/>
      <c r="D38" s="13"/>
    </row>
    <row r="39" spans="1:9" s="11" customFormat="1" ht="20.100000000000001" customHeight="1" x14ac:dyDescent="0.3">
      <c r="A39" s="1"/>
      <c r="B39" s="3"/>
      <c r="C39" s="13"/>
      <c r="D39" s="13"/>
    </row>
    <row r="40" spans="1:9" s="11" customFormat="1" ht="20.100000000000001" customHeight="1" x14ac:dyDescent="0.3">
      <c r="A40" s="1"/>
      <c r="B40" s="3"/>
      <c r="C40" s="13"/>
      <c r="D40" s="13"/>
    </row>
    <row r="41" spans="1:9" s="13" customFormat="1" ht="20.100000000000001" customHeight="1" x14ac:dyDescent="0.3">
      <c r="A41" s="1"/>
      <c r="B41" s="3"/>
      <c r="E41" s="11"/>
      <c r="F41" s="11"/>
      <c r="G41" s="11"/>
      <c r="H41" s="11"/>
      <c r="I41" s="11"/>
    </row>
    <row r="42" spans="1:9" s="13" customFormat="1" ht="20.100000000000001" customHeight="1" x14ac:dyDescent="0.3">
      <c r="A42" s="1"/>
      <c r="B42" s="3"/>
      <c r="E42" s="11"/>
      <c r="F42" s="11"/>
      <c r="G42" s="11"/>
      <c r="H42" s="11"/>
      <c r="I42" s="11"/>
    </row>
    <row r="43" spans="1:9" s="13" customFormat="1" ht="20.100000000000001" customHeight="1" x14ac:dyDescent="0.3">
      <c r="A43" s="1"/>
      <c r="B43" s="3"/>
      <c r="E43" s="11"/>
      <c r="F43" s="11"/>
      <c r="G43" s="11"/>
      <c r="H43" s="11"/>
      <c r="I43" s="11"/>
    </row>
    <row r="44" spans="1:9" ht="20.100000000000001" customHeight="1" x14ac:dyDescent="0.3"/>
    <row r="45" spans="1:9" ht="20.100000000000001" customHeight="1" x14ac:dyDescent="0.3"/>
    <row r="46" spans="1:9" ht="20.100000000000001" customHeight="1" x14ac:dyDescent="0.3"/>
    <row r="47" spans="1:9" ht="20.100000000000001" customHeight="1" x14ac:dyDescent="0.3"/>
  </sheetData>
  <pageMargins left="0.7" right="0.7" top="0.75" bottom="0.75" header="0.3" footer="0.3"/>
  <pageSetup fitToHeight="0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47"/>
  <sheetViews>
    <sheetView workbookViewId="0">
      <selection activeCell="D10" sqref="D10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18" style="6" customWidth="1"/>
    <col min="4" max="4" width="19.7109375" style="6" customWidth="1"/>
    <col min="5" max="7" width="9.140625" style="1"/>
    <col min="8" max="8" width="17.7109375" style="1" customWidth="1"/>
    <col min="9" max="16384" width="9.140625" style="1"/>
  </cols>
  <sheetData>
    <row r="1" spans="1:8" s="11" customFormat="1" ht="20.100000000000001" customHeight="1" x14ac:dyDescent="0.25">
      <c r="A1" s="11" t="s">
        <v>304</v>
      </c>
      <c r="B1" s="12"/>
      <c r="C1" s="13"/>
      <c r="D1" s="13"/>
    </row>
    <row r="2" spans="1:8" s="11" customFormat="1" ht="20.100000000000001" customHeight="1" x14ac:dyDescent="0.25">
      <c r="A2" s="14">
        <v>43890</v>
      </c>
      <c r="B2" s="12"/>
      <c r="C2" s="13"/>
      <c r="D2" s="13"/>
    </row>
    <row r="3" spans="1:8" s="11" customFormat="1" ht="20.100000000000001" customHeight="1" x14ac:dyDescent="0.25">
      <c r="A3" s="11" t="s">
        <v>311</v>
      </c>
      <c r="B3" s="12">
        <v>9287398</v>
      </c>
      <c r="C3" s="13"/>
      <c r="D3" s="13"/>
    </row>
    <row r="4" spans="1:8" s="11" customFormat="1" ht="20.100000000000001" customHeight="1" x14ac:dyDescent="0.25">
      <c r="A4" s="11" t="s">
        <v>6</v>
      </c>
      <c r="B4" s="12"/>
      <c r="C4" s="13"/>
      <c r="D4" s="13"/>
    </row>
    <row r="5" spans="1:8" s="11" customFormat="1" ht="20.100000000000001" customHeight="1" x14ac:dyDescent="0.25">
      <c r="A5" s="11">
        <v>2100</v>
      </c>
      <c r="B5" s="12">
        <v>-9592986</v>
      </c>
      <c r="C5" s="13"/>
      <c r="D5" s="13"/>
    </row>
    <row r="6" spans="1:8" s="11" customFormat="1" ht="20.100000000000001" customHeight="1" x14ac:dyDescent="0.25">
      <c r="A6" s="11" t="s">
        <v>5</v>
      </c>
      <c r="B6" s="12">
        <f>SUM(B5)</f>
        <v>-9592986</v>
      </c>
      <c r="C6" s="13"/>
      <c r="D6" s="13"/>
    </row>
    <row r="7" spans="1:8" s="11" customFormat="1" ht="20.100000000000001" customHeight="1" x14ac:dyDescent="0.25">
      <c r="A7" s="15" t="s">
        <v>4</v>
      </c>
      <c r="B7" s="16">
        <f>B6+B3</f>
        <v>-305588</v>
      </c>
      <c r="C7" s="13"/>
      <c r="D7" s="13"/>
    </row>
    <row r="8" spans="1:8" s="11" customFormat="1" ht="15.95" customHeight="1" x14ac:dyDescent="0.25">
      <c r="A8" s="11" t="s">
        <v>3</v>
      </c>
      <c r="B8" s="12"/>
      <c r="C8" s="44" t="s">
        <v>628</v>
      </c>
      <c r="D8" s="52" t="s">
        <v>626</v>
      </c>
    </row>
    <row r="9" spans="1:8" s="11" customFormat="1" ht="15.95" customHeight="1" x14ac:dyDescent="0.25">
      <c r="A9" s="11" t="s">
        <v>746</v>
      </c>
      <c r="B9" s="24">
        <v>-27157</v>
      </c>
      <c r="C9" s="50">
        <v>43889</v>
      </c>
      <c r="D9" s="51">
        <v>43893</v>
      </c>
      <c r="E9" s="47"/>
      <c r="F9" s="47"/>
      <c r="G9" s="47"/>
      <c r="H9" s="47"/>
    </row>
    <row r="10" spans="1:8" s="11" customFormat="1" ht="15.95" customHeight="1" x14ac:dyDescent="0.25">
      <c r="A10" s="11" t="s">
        <v>747</v>
      </c>
      <c r="B10" s="24">
        <v>-28381</v>
      </c>
      <c r="C10" s="42">
        <v>43889</v>
      </c>
      <c r="D10" s="53">
        <v>43893</v>
      </c>
      <c r="E10" s="38"/>
    </row>
    <row r="11" spans="1:8" s="11" customFormat="1" ht="15.95" customHeight="1" x14ac:dyDescent="0.25">
      <c r="A11" s="11" t="s">
        <v>748</v>
      </c>
      <c r="B11" s="24">
        <v>-28926</v>
      </c>
      <c r="C11" s="42">
        <v>43889</v>
      </c>
      <c r="D11" s="53">
        <v>43893</v>
      </c>
      <c r="E11" s="38"/>
    </row>
    <row r="12" spans="1:8" s="11" customFormat="1" ht="15.95" customHeight="1" x14ac:dyDescent="0.25">
      <c r="A12" s="11" t="s">
        <v>749</v>
      </c>
      <c r="B12" s="24">
        <v>-30500</v>
      </c>
      <c r="C12" s="42">
        <v>43889</v>
      </c>
      <c r="D12" s="53">
        <v>43893</v>
      </c>
      <c r="E12" s="38"/>
    </row>
    <row r="13" spans="1:8" s="11" customFormat="1" ht="15.95" customHeight="1" x14ac:dyDescent="0.25">
      <c r="A13" s="11" t="s">
        <v>750</v>
      </c>
      <c r="B13" s="24">
        <v>-30910</v>
      </c>
      <c r="C13" s="42">
        <v>43890</v>
      </c>
      <c r="D13" s="53">
        <v>43893</v>
      </c>
      <c r="E13" s="38"/>
    </row>
    <row r="14" spans="1:8" s="11" customFormat="1" ht="15.95" customHeight="1" x14ac:dyDescent="0.25">
      <c r="A14" s="11" t="s">
        <v>751</v>
      </c>
      <c r="B14" s="24">
        <v>-32209</v>
      </c>
      <c r="C14" s="42">
        <v>43889</v>
      </c>
      <c r="D14" s="53">
        <v>43893</v>
      </c>
      <c r="E14" s="38"/>
    </row>
    <row r="15" spans="1:8" s="11" customFormat="1" ht="15.95" customHeight="1" x14ac:dyDescent="0.25">
      <c r="A15" s="11" t="s">
        <v>752</v>
      </c>
      <c r="B15" s="24">
        <v>-41320</v>
      </c>
      <c r="C15" s="42">
        <v>43889</v>
      </c>
      <c r="D15" s="53">
        <v>43893</v>
      </c>
      <c r="E15" s="38"/>
    </row>
    <row r="16" spans="1:8" s="11" customFormat="1" ht="15.95" customHeight="1" x14ac:dyDescent="0.25">
      <c r="A16" s="11" t="s">
        <v>753</v>
      </c>
      <c r="B16" s="24">
        <v>-42909</v>
      </c>
      <c r="C16" s="42">
        <v>43889</v>
      </c>
      <c r="D16" s="53">
        <v>43893</v>
      </c>
      <c r="E16" s="38"/>
    </row>
    <row r="17" spans="1:7" s="11" customFormat="1" ht="15.95" customHeight="1" x14ac:dyDescent="0.25">
      <c r="A17" s="11" t="s">
        <v>754</v>
      </c>
      <c r="B17" s="24">
        <v>-43276</v>
      </c>
      <c r="C17" s="42">
        <v>43889</v>
      </c>
      <c r="D17" s="53">
        <v>43893</v>
      </c>
      <c r="E17" s="38"/>
    </row>
    <row r="18" spans="1:7" s="11" customFormat="1" ht="15.95" customHeight="1" x14ac:dyDescent="0.25">
      <c r="B18" s="24"/>
      <c r="C18" s="42"/>
      <c r="D18" s="53"/>
      <c r="E18" s="38"/>
    </row>
    <row r="19" spans="1:7" s="11" customFormat="1" ht="15.95" customHeight="1" x14ac:dyDescent="0.25">
      <c r="B19" s="24"/>
      <c r="C19" s="42"/>
      <c r="D19" s="53"/>
      <c r="E19" s="38"/>
    </row>
    <row r="20" spans="1:7" s="11" customFormat="1" ht="15.95" customHeight="1" x14ac:dyDescent="0.25">
      <c r="B20" s="24"/>
      <c r="C20" s="42"/>
      <c r="D20" s="53"/>
      <c r="E20" s="38"/>
    </row>
    <row r="21" spans="1:7" s="11" customFormat="1" ht="15.95" customHeight="1" x14ac:dyDescent="0.25">
      <c r="B21" s="24"/>
      <c r="C21" s="42"/>
      <c r="D21" s="53"/>
      <c r="E21" s="38"/>
    </row>
    <row r="22" spans="1:7" s="11" customFormat="1" ht="15.95" customHeight="1" x14ac:dyDescent="0.25">
      <c r="B22" s="24"/>
      <c r="C22" s="42"/>
      <c r="D22" s="53"/>
      <c r="E22" s="38"/>
    </row>
    <row r="23" spans="1:7" s="11" customFormat="1" ht="15.95" customHeight="1" x14ac:dyDescent="0.25">
      <c r="B23" s="24"/>
      <c r="C23" s="42"/>
      <c r="D23" s="53"/>
      <c r="E23" s="38"/>
    </row>
    <row r="24" spans="1:7" s="11" customFormat="1" ht="15.95" customHeight="1" x14ac:dyDescent="0.25">
      <c r="B24" s="24"/>
      <c r="C24" s="42"/>
      <c r="D24" s="53"/>
      <c r="E24" s="38"/>
    </row>
    <row r="25" spans="1:7" s="11" customFormat="1" ht="15.95" customHeight="1" x14ac:dyDescent="0.25">
      <c r="B25" s="24"/>
      <c r="C25" s="42"/>
      <c r="D25" s="53"/>
      <c r="E25" s="38"/>
    </row>
    <row r="26" spans="1:7" s="11" customFormat="1" ht="15.95" customHeight="1" x14ac:dyDescent="0.25">
      <c r="B26" s="24"/>
      <c r="C26" s="42"/>
      <c r="D26" s="53"/>
      <c r="E26" s="38"/>
    </row>
    <row r="27" spans="1:7" s="11" customFormat="1" ht="15.95" customHeight="1" x14ac:dyDescent="0.25">
      <c r="B27" s="24"/>
      <c r="C27" s="42"/>
      <c r="D27" s="53"/>
      <c r="E27" s="38"/>
    </row>
    <row r="28" spans="1:7" s="11" customFormat="1" ht="15.95" customHeight="1" x14ac:dyDescent="0.25">
      <c r="B28" s="24">
        <f>SUM(B9:B27)</f>
        <v>-305588</v>
      </c>
      <c r="C28" s="18"/>
      <c r="D28" s="53"/>
      <c r="E28" s="18"/>
      <c r="F28" s="18"/>
      <c r="G28" s="18"/>
    </row>
    <row r="29" spans="1:7" s="11" customFormat="1" ht="15.95" customHeight="1" x14ac:dyDescent="0.25">
      <c r="A29" s="11" t="s">
        <v>2</v>
      </c>
      <c r="B29" s="24"/>
      <c r="C29" s="30" t="s">
        <v>702</v>
      </c>
      <c r="D29" s="52" t="s">
        <v>628</v>
      </c>
    </row>
    <row r="30" spans="1:7" s="11" customFormat="1" ht="15.95" customHeight="1" x14ac:dyDescent="0.25">
      <c r="A30" s="39"/>
      <c r="B30" s="46"/>
      <c r="C30" s="42"/>
      <c r="D30" s="29"/>
      <c r="E30" s="39"/>
      <c r="F30" s="39"/>
    </row>
    <row r="31" spans="1:7" s="11" customFormat="1" ht="15.95" customHeight="1" x14ac:dyDescent="0.25">
      <c r="A31" s="39"/>
      <c r="B31" s="46"/>
      <c r="C31" s="42"/>
      <c r="D31" s="29"/>
      <c r="E31" s="39"/>
      <c r="F31" s="39"/>
    </row>
    <row r="32" spans="1:7" s="11" customFormat="1" ht="15.95" customHeight="1" x14ac:dyDescent="0.25">
      <c r="B32" s="24">
        <f>SUM(B30:B31)</f>
        <v>0</v>
      </c>
      <c r="C32" s="13"/>
      <c r="D32" s="13"/>
    </row>
    <row r="33" spans="1:9" s="11" customFormat="1" ht="15.95" customHeight="1" x14ac:dyDescent="0.25">
      <c r="A33" s="11" t="s">
        <v>1</v>
      </c>
      <c r="B33" s="12">
        <f>B32+B28</f>
        <v>-305588</v>
      </c>
      <c r="C33" s="13"/>
      <c r="D33" s="13"/>
    </row>
    <row r="34" spans="1:9" s="11" customFormat="1" ht="15.95" customHeight="1" x14ac:dyDescent="0.25">
      <c r="A34" s="15" t="s">
        <v>0</v>
      </c>
      <c r="B34" s="16">
        <f>B33-B7</f>
        <v>0</v>
      </c>
      <c r="C34" s="13"/>
      <c r="D34" s="13"/>
    </row>
    <row r="35" spans="1:9" s="11" customFormat="1" ht="15.95" customHeight="1" x14ac:dyDescent="0.25">
      <c r="B35" s="12"/>
      <c r="C35" s="13"/>
      <c r="D35" s="13"/>
    </row>
    <row r="36" spans="1:9" s="11" customFormat="1" ht="20.100000000000001" customHeight="1" x14ac:dyDescent="0.3">
      <c r="A36" s="1"/>
      <c r="B36" s="3"/>
      <c r="C36" s="13"/>
      <c r="D36" s="13"/>
    </row>
    <row r="37" spans="1:9" s="11" customFormat="1" ht="20.100000000000001" customHeight="1" x14ac:dyDescent="0.3">
      <c r="A37" s="1"/>
      <c r="B37" s="3"/>
      <c r="C37" s="13"/>
      <c r="D37" s="13"/>
    </row>
    <row r="38" spans="1:9" s="11" customFormat="1" ht="20.100000000000001" customHeight="1" x14ac:dyDescent="0.3">
      <c r="A38" s="1"/>
      <c r="B38" s="3"/>
      <c r="C38" s="13"/>
      <c r="D38" s="13"/>
    </row>
    <row r="39" spans="1:9" s="11" customFormat="1" ht="20.100000000000001" customHeight="1" x14ac:dyDescent="0.3">
      <c r="A39" s="1"/>
      <c r="B39" s="3"/>
      <c r="C39" s="13"/>
      <c r="D39" s="13"/>
    </row>
    <row r="40" spans="1:9" s="11" customFormat="1" ht="20.100000000000001" customHeight="1" x14ac:dyDescent="0.3">
      <c r="A40" s="1"/>
      <c r="B40" s="3"/>
      <c r="C40" s="13"/>
      <c r="D40" s="13"/>
    </row>
    <row r="41" spans="1:9" s="13" customFormat="1" ht="20.100000000000001" customHeight="1" x14ac:dyDescent="0.3">
      <c r="A41" s="1"/>
      <c r="B41" s="3"/>
      <c r="E41" s="11"/>
      <c r="F41" s="11"/>
      <c r="G41" s="11"/>
      <c r="H41" s="11"/>
      <c r="I41" s="11"/>
    </row>
    <row r="42" spans="1:9" s="13" customFormat="1" ht="20.100000000000001" customHeight="1" x14ac:dyDescent="0.3">
      <c r="A42" s="1"/>
      <c r="B42" s="3"/>
      <c r="E42" s="11"/>
      <c r="F42" s="11"/>
      <c r="G42" s="11"/>
      <c r="H42" s="11"/>
      <c r="I42" s="11"/>
    </row>
    <row r="43" spans="1:9" s="13" customFormat="1" ht="20.100000000000001" customHeight="1" x14ac:dyDescent="0.3">
      <c r="A43" s="1"/>
      <c r="B43" s="3"/>
      <c r="E43" s="11"/>
      <c r="F43" s="11"/>
      <c r="G43" s="11"/>
      <c r="H43" s="11"/>
      <c r="I43" s="11"/>
    </row>
    <row r="44" spans="1:9" ht="20.100000000000001" customHeight="1" x14ac:dyDescent="0.3"/>
    <row r="45" spans="1:9" ht="20.100000000000001" customHeight="1" x14ac:dyDescent="0.3"/>
    <row r="46" spans="1:9" ht="20.100000000000001" customHeight="1" x14ac:dyDescent="0.3"/>
    <row r="47" spans="1:9" ht="20.100000000000001" customHeight="1" x14ac:dyDescent="0.3"/>
  </sheetData>
  <pageMargins left="0.7" right="0.7" top="0.75" bottom="0.75" header="0.3" footer="0.3"/>
  <pageSetup fitToHeight="0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I31"/>
  <sheetViews>
    <sheetView workbookViewId="0">
      <selection activeCell="G13" sqref="G12:G13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18" style="6" customWidth="1"/>
    <col min="4" max="4" width="19.7109375" style="6" customWidth="1"/>
    <col min="5" max="7" width="9.140625" style="1"/>
    <col min="8" max="8" width="17.7109375" style="1" customWidth="1"/>
    <col min="9" max="16384" width="9.140625" style="1"/>
  </cols>
  <sheetData>
    <row r="1" spans="1:8" s="11" customFormat="1" ht="20.100000000000001" customHeight="1" x14ac:dyDescent="0.25">
      <c r="A1" s="11" t="s">
        <v>304</v>
      </c>
      <c r="B1" s="12"/>
      <c r="C1" s="13"/>
      <c r="D1" s="13"/>
    </row>
    <row r="2" spans="1:8" s="11" customFormat="1" ht="20.100000000000001" customHeight="1" x14ac:dyDescent="0.25">
      <c r="A2" s="14">
        <v>43921</v>
      </c>
      <c r="B2" s="12"/>
      <c r="C2" s="13"/>
      <c r="D2" s="13"/>
    </row>
    <row r="3" spans="1:8" s="11" customFormat="1" ht="20.100000000000001" customHeight="1" x14ac:dyDescent="0.25">
      <c r="A3" s="11" t="s">
        <v>311</v>
      </c>
      <c r="B3" s="12">
        <v>10894693</v>
      </c>
      <c r="C3" s="13"/>
      <c r="D3" s="13"/>
    </row>
    <row r="4" spans="1:8" s="11" customFormat="1" ht="20.100000000000001" customHeight="1" x14ac:dyDescent="0.25">
      <c r="A4" s="11" t="s">
        <v>6</v>
      </c>
      <c r="B4" s="12"/>
      <c r="C4" s="13"/>
      <c r="D4" s="13"/>
    </row>
    <row r="5" spans="1:8" s="11" customFormat="1" ht="20.100000000000001" customHeight="1" x14ac:dyDescent="0.25">
      <c r="A5" s="11">
        <v>2100</v>
      </c>
      <c r="B5" s="12">
        <v>-10935053</v>
      </c>
      <c r="C5" s="13"/>
      <c r="D5" s="13"/>
    </row>
    <row r="6" spans="1:8" s="11" customFormat="1" ht="20.100000000000001" customHeight="1" x14ac:dyDescent="0.25">
      <c r="A6" s="11" t="s">
        <v>5</v>
      </c>
      <c r="B6" s="12">
        <f>SUM(B5)</f>
        <v>-10935053</v>
      </c>
      <c r="C6" s="13"/>
      <c r="D6" s="13"/>
    </row>
    <row r="7" spans="1:8" s="11" customFormat="1" ht="20.100000000000001" customHeight="1" x14ac:dyDescent="0.25">
      <c r="A7" s="15" t="s">
        <v>4</v>
      </c>
      <c r="B7" s="16">
        <f>B6+B3</f>
        <v>-40360</v>
      </c>
      <c r="C7" s="13"/>
      <c r="D7" s="13"/>
    </row>
    <row r="8" spans="1:8" s="11" customFormat="1" ht="15.95" customHeight="1" x14ac:dyDescent="0.25">
      <c r="A8" s="11" t="s">
        <v>3</v>
      </c>
      <c r="B8" s="12"/>
      <c r="C8" s="44" t="s">
        <v>628</v>
      </c>
      <c r="D8" s="52" t="s">
        <v>626</v>
      </c>
    </row>
    <row r="9" spans="1:8" s="11" customFormat="1" ht="15.95" customHeight="1" x14ac:dyDescent="0.25">
      <c r="A9" s="11" t="s">
        <v>755</v>
      </c>
      <c r="B9" s="24">
        <v>-40360</v>
      </c>
      <c r="C9" s="50">
        <v>43773</v>
      </c>
      <c r="D9" s="51" t="s">
        <v>756</v>
      </c>
      <c r="E9" s="212" t="s">
        <v>757</v>
      </c>
      <c r="F9" s="212"/>
      <c r="G9" s="212"/>
      <c r="H9" s="47"/>
    </row>
    <row r="10" spans="1:8" s="11" customFormat="1" ht="15.75" customHeight="1" x14ac:dyDescent="0.25">
      <c r="B10" s="24"/>
      <c r="C10" s="42"/>
      <c r="D10" s="53"/>
      <c r="E10" s="212"/>
      <c r="F10" s="212"/>
      <c r="G10" s="212"/>
      <c r="H10" s="47"/>
    </row>
    <row r="11" spans="1:8" s="11" customFormat="1" ht="15.95" customHeight="1" x14ac:dyDescent="0.25">
      <c r="B11" s="24"/>
      <c r="C11" s="42"/>
      <c r="D11" s="53"/>
      <c r="E11" s="38"/>
    </row>
    <row r="12" spans="1:8" s="11" customFormat="1" ht="15.95" customHeight="1" x14ac:dyDescent="0.25">
      <c r="B12" s="24">
        <f>SUM(B9:B11)</f>
        <v>-40360</v>
      </c>
      <c r="C12" s="18"/>
      <c r="D12" s="53"/>
      <c r="E12" s="18"/>
      <c r="F12" s="18"/>
      <c r="G12" s="18"/>
    </row>
    <row r="13" spans="1:8" s="11" customFormat="1" ht="15.95" customHeight="1" x14ac:dyDescent="0.25">
      <c r="A13" s="11" t="s">
        <v>2</v>
      </c>
      <c r="B13" s="24"/>
      <c r="C13" s="30" t="s">
        <v>702</v>
      </c>
      <c r="D13" s="52" t="s">
        <v>628</v>
      </c>
    </row>
    <row r="14" spans="1:8" s="11" customFormat="1" ht="15.95" customHeight="1" x14ac:dyDescent="0.25">
      <c r="A14" s="39"/>
      <c r="B14" s="46"/>
      <c r="C14" s="42"/>
      <c r="D14" s="29"/>
      <c r="E14" s="39"/>
      <c r="F14" s="39"/>
    </row>
    <row r="15" spans="1:8" s="11" customFormat="1" ht="15.95" customHeight="1" x14ac:dyDescent="0.25">
      <c r="A15" s="39"/>
      <c r="B15" s="46"/>
      <c r="C15" s="42"/>
      <c r="D15" s="29"/>
      <c r="E15" s="39"/>
      <c r="F15" s="39"/>
    </row>
    <row r="16" spans="1:8" s="11" customFormat="1" ht="15.95" customHeight="1" x14ac:dyDescent="0.25">
      <c r="B16" s="24">
        <f>SUM(B14:B15)</f>
        <v>0</v>
      </c>
      <c r="C16" s="13"/>
      <c r="D16" s="13"/>
    </row>
    <row r="17" spans="1:9" s="11" customFormat="1" ht="15.95" customHeight="1" x14ac:dyDescent="0.25">
      <c r="A17" s="11" t="s">
        <v>1</v>
      </c>
      <c r="B17" s="12">
        <f>B16+B12</f>
        <v>-40360</v>
      </c>
      <c r="C17" s="13"/>
      <c r="D17" s="13"/>
    </row>
    <row r="18" spans="1:9" s="11" customFormat="1" ht="15.95" customHeight="1" x14ac:dyDescent="0.25">
      <c r="A18" s="15" t="s">
        <v>0</v>
      </c>
      <c r="B18" s="16">
        <f>B17-B7</f>
        <v>0</v>
      </c>
      <c r="C18" s="13"/>
      <c r="D18" s="13"/>
    </row>
    <row r="19" spans="1:9" s="11" customFormat="1" ht="15.95" customHeight="1" x14ac:dyDescent="0.25">
      <c r="B19" s="12"/>
      <c r="C19" s="13"/>
      <c r="D19" s="13"/>
    </row>
    <row r="20" spans="1:9" s="11" customFormat="1" ht="20.100000000000001" customHeight="1" x14ac:dyDescent="0.3">
      <c r="A20" s="1"/>
      <c r="B20" s="3"/>
      <c r="C20" s="13"/>
      <c r="D20" s="13"/>
    </row>
    <row r="21" spans="1:9" s="11" customFormat="1" ht="20.100000000000001" customHeight="1" x14ac:dyDescent="0.3">
      <c r="A21" s="1"/>
      <c r="B21" s="3"/>
      <c r="C21" s="13"/>
      <c r="D21" s="13"/>
    </row>
    <row r="22" spans="1:9" s="11" customFormat="1" ht="20.100000000000001" customHeight="1" x14ac:dyDescent="0.3">
      <c r="A22" s="1"/>
      <c r="B22" s="3"/>
      <c r="C22" s="13"/>
      <c r="D22" s="13"/>
    </row>
    <row r="23" spans="1:9" s="11" customFormat="1" ht="20.100000000000001" customHeight="1" x14ac:dyDescent="0.3">
      <c r="A23" s="1"/>
      <c r="B23" s="3"/>
      <c r="C23" s="13"/>
      <c r="D23" s="13"/>
    </row>
    <row r="24" spans="1:9" s="11" customFormat="1" ht="20.100000000000001" customHeight="1" x14ac:dyDescent="0.3">
      <c r="A24" s="1"/>
      <c r="B24" s="3"/>
      <c r="C24" s="13"/>
      <c r="D24" s="13"/>
    </row>
    <row r="25" spans="1:9" s="13" customFormat="1" ht="20.100000000000001" customHeight="1" x14ac:dyDescent="0.3">
      <c r="A25" s="1"/>
      <c r="B25" s="3"/>
      <c r="E25" s="11"/>
      <c r="F25" s="11"/>
      <c r="G25" s="11"/>
      <c r="H25" s="11"/>
      <c r="I25" s="11"/>
    </row>
    <row r="26" spans="1:9" s="13" customFormat="1" ht="20.100000000000001" customHeight="1" x14ac:dyDescent="0.3">
      <c r="A26" s="1"/>
      <c r="B26" s="3"/>
      <c r="E26" s="11"/>
      <c r="F26" s="11"/>
      <c r="G26" s="11"/>
      <c r="H26" s="11"/>
      <c r="I26" s="11"/>
    </row>
    <row r="27" spans="1:9" s="13" customFormat="1" ht="20.100000000000001" customHeight="1" x14ac:dyDescent="0.3">
      <c r="A27" s="1"/>
      <c r="B27" s="3"/>
      <c r="E27" s="11"/>
      <c r="F27" s="11"/>
      <c r="G27" s="11"/>
      <c r="H27" s="11"/>
      <c r="I27" s="11"/>
    </row>
    <row r="28" spans="1:9" ht="20.100000000000001" customHeight="1" x14ac:dyDescent="0.3"/>
    <row r="29" spans="1:9" ht="20.100000000000001" customHeight="1" x14ac:dyDescent="0.3"/>
    <row r="30" spans="1:9" ht="20.100000000000001" customHeight="1" x14ac:dyDescent="0.3"/>
    <row r="31" spans="1:9" ht="20.100000000000001" customHeight="1" x14ac:dyDescent="0.3"/>
  </sheetData>
  <mergeCells count="1">
    <mergeCell ref="E9:G10"/>
  </mergeCells>
  <pageMargins left="0.7" right="0.7" top="0.75" bottom="0.75" header="0.3" footer="0.3"/>
  <pageSetup scale="89" fitToHeight="0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34"/>
  <sheetViews>
    <sheetView workbookViewId="0">
      <selection activeCell="D14" sqref="D14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18" style="6" customWidth="1"/>
    <col min="4" max="4" width="19.7109375" style="6" customWidth="1"/>
    <col min="5" max="7" width="9.140625" style="1"/>
    <col min="8" max="8" width="17.7109375" style="1" customWidth="1"/>
    <col min="9" max="16384" width="9.140625" style="1"/>
  </cols>
  <sheetData>
    <row r="1" spans="1:8" s="11" customFormat="1" ht="20.100000000000001" customHeight="1" x14ac:dyDescent="0.25">
      <c r="A1" s="11" t="s">
        <v>304</v>
      </c>
      <c r="B1" s="12"/>
      <c r="C1" s="13"/>
      <c r="D1" s="13"/>
    </row>
    <row r="2" spans="1:8" s="11" customFormat="1" ht="20.100000000000001" customHeight="1" x14ac:dyDescent="0.25">
      <c r="A2" s="14">
        <v>43951</v>
      </c>
      <c r="B2" s="12"/>
      <c r="C2" s="13"/>
      <c r="D2" s="13"/>
    </row>
    <row r="3" spans="1:8" s="11" customFormat="1" ht="20.100000000000001" customHeight="1" x14ac:dyDescent="0.25">
      <c r="A3" s="11" t="s">
        <v>311</v>
      </c>
      <c r="B3" s="12">
        <v>8613137</v>
      </c>
      <c r="C3" s="13"/>
      <c r="D3" s="13"/>
    </row>
    <row r="4" spans="1:8" s="11" customFormat="1" ht="20.100000000000001" customHeight="1" x14ac:dyDescent="0.25">
      <c r="A4" s="11" t="s">
        <v>6</v>
      </c>
      <c r="B4" s="12"/>
      <c r="C4" s="13"/>
      <c r="D4" s="13"/>
    </row>
    <row r="5" spans="1:8" s="11" customFormat="1" ht="20.100000000000001" customHeight="1" x14ac:dyDescent="0.25">
      <c r="A5" s="11">
        <v>2100</v>
      </c>
      <c r="B5" s="12">
        <v>-8834512</v>
      </c>
      <c r="C5" s="13"/>
      <c r="D5" s="13"/>
    </row>
    <row r="6" spans="1:8" s="11" customFormat="1" ht="20.100000000000001" customHeight="1" x14ac:dyDescent="0.25">
      <c r="A6" s="11" t="s">
        <v>5</v>
      </c>
      <c r="B6" s="12">
        <f>SUM(B5)</f>
        <v>-8834512</v>
      </c>
      <c r="C6" s="13"/>
      <c r="D6" s="13"/>
    </row>
    <row r="7" spans="1:8" s="11" customFormat="1" ht="20.100000000000001" customHeight="1" x14ac:dyDescent="0.25">
      <c r="A7" s="15" t="s">
        <v>4</v>
      </c>
      <c r="B7" s="16">
        <f>B6+B3</f>
        <v>-221375</v>
      </c>
      <c r="C7" s="13"/>
      <c r="D7" s="13"/>
    </row>
    <row r="8" spans="1:8" s="11" customFormat="1" ht="15.95" customHeight="1" x14ac:dyDescent="0.25">
      <c r="A8" s="11" t="s">
        <v>3</v>
      </c>
      <c r="B8" s="12"/>
      <c r="C8" s="44" t="s">
        <v>628</v>
      </c>
      <c r="D8" s="52" t="s">
        <v>626</v>
      </c>
    </row>
    <row r="9" spans="1:8" s="11" customFormat="1" ht="15.95" customHeight="1" x14ac:dyDescent="0.25">
      <c r="A9" s="11" t="s">
        <v>758</v>
      </c>
      <c r="B9" s="24">
        <v>-30907</v>
      </c>
      <c r="C9" s="50" t="s">
        <v>763</v>
      </c>
      <c r="D9" s="51" t="s">
        <v>636</v>
      </c>
      <c r="E9" s="212"/>
      <c r="F9" s="212"/>
      <c r="G9" s="212"/>
      <c r="H9" s="47"/>
    </row>
    <row r="10" spans="1:8" s="11" customFormat="1" ht="15.75" customHeight="1" x14ac:dyDescent="0.25">
      <c r="A10" s="11" t="s">
        <v>759</v>
      </c>
      <c r="B10" s="24">
        <v>-34168</v>
      </c>
      <c r="C10" s="42" t="s">
        <v>763</v>
      </c>
      <c r="D10" s="53" t="s">
        <v>764</v>
      </c>
      <c r="E10" s="212"/>
      <c r="F10" s="212"/>
      <c r="G10" s="212"/>
      <c r="H10" s="47"/>
    </row>
    <row r="11" spans="1:8" s="11" customFormat="1" ht="15.75" customHeight="1" x14ac:dyDescent="0.25">
      <c r="A11" s="11" t="s">
        <v>760</v>
      </c>
      <c r="B11" s="24">
        <v>-41362</v>
      </c>
      <c r="C11" s="42" t="s">
        <v>763</v>
      </c>
      <c r="D11" s="53" t="s">
        <v>636</v>
      </c>
      <c r="E11" s="54"/>
      <c r="F11" s="54"/>
      <c r="G11" s="54"/>
      <c r="H11" s="47"/>
    </row>
    <row r="12" spans="1:8" s="11" customFormat="1" ht="15.75" customHeight="1" x14ac:dyDescent="0.25">
      <c r="A12" s="11" t="s">
        <v>761</v>
      </c>
      <c r="B12" s="24">
        <v>-49287</v>
      </c>
      <c r="C12" s="42" t="s">
        <v>763</v>
      </c>
      <c r="D12" s="53" t="s">
        <v>636</v>
      </c>
      <c r="E12" s="54"/>
      <c r="F12" s="54"/>
      <c r="G12" s="54"/>
      <c r="H12" s="47"/>
    </row>
    <row r="13" spans="1:8" s="11" customFormat="1" ht="15.75" customHeight="1" x14ac:dyDescent="0.25">
      <c r="A13" s="11" t="s">
        <v>762</v>
      </c>
      <c r="B13" s="24">
        <v>-65651</v>
      </c>
      <c r="C13" s="42" t="s">
        <v>637</v>
      </c>
      <c r="D13" s="53" t="s">
        <v>636</v>
      </c>
      <c r="E13" s="54"/>
      <c r="F13" s="54"/>
      <c r="G13" s="54"/>
      <c r="H13" s="47"/>
    </row>
    <row r="14" spans="1:8" s="11" customFormat="1" ht="15.95" customHeight="1" x14ac:dyDescent="0.25">
      <c r="B14" s="24"/>
      <c r="C14" s="42"/>
      <c r="D14" s="53"/>
      <c r="E14" s="38"/>
    </row>
    <row r="15" spans="1:8" s="11" customFormat="1" ht="15.95" customHeight="1" x14ac:dyDescent="0.25">
      <c r="B15" s="24">
        <f>SUM(B9:B14)</f>
        <v>-221375</v>
      </c>
      <c r="C15" s="18"/>
      <c r="D15" s="53"/>
      <c r="E15" s="18"/>
      <c r="F15" s="18"/>
      <c r="G15" s="18"/>
    </row>
    <row r="16" spans="1:8" s="11" customFormat="1" ht="15.95" customHeight="1" x14ac:dyDescent="0.25">
      <c r="A16" s="11" t="s">
        <v>2</v>
      </c>
      <c r="B16" s="24"/>
      <c r="C16" s="30" t="s">
        <v>702</v>
      </c>
      <c r="D16" s="52" t="s">
        <v>628</v>
      </c>
    </row>
    <row r="17" spans="1:9" s="11" customFormat="1" ht="15.95" customHeight="1" x14ac:dyDescent="0.25">
      <c r="A17" s="39"/>
      <c r="B17" s="46"/>
      <c r="C17" s="42"/>
      <c r="D17" s="29"/>
      <c r="E17" s="39"/>
      <c r="F17" s="39"/>
    </row>
    <row r="18" spans="1:9" s="11" customFormat="1" ht="15.95" customHeight="1" x14ac:dyDescent="0.25">
      <c r="A18" s="39"/>
      <c r="B18" s="46"/>
      <c r="C18" s="42"/>
      <c r="D18" s="29"/>
      <c r="E18" s="39"/>
      <c r="F18" s="39"/>
    </row>
    <row r="19" spans="1:9" s="11" customFormat="1" ht="15.95" customHeight="1" x14ac:dyDescent="0.25">
      <c r="B19" s="24">
        <f>SUM(B17:B18)</f>
        <v>0</v>
      </c>
      <c r="C19" s="13"/>
      <c r="D19" s="13"/>
    </row>
    <row r="20" spans="1:9" s="11" customFormat="1" ht="15.95" customHeight="1" x14ac:dyDescent="0.25">
      <c r="A20" s="11" t="s">
        <v>1</v>
      </c>
      <c r="B20" s="12">
        <f>B19+B15</f>
        <v>-221375</v>
      </c>
      <c r="C20" s="13"/>
      <c r="D20" s="13"/>
    </row>
    <row r="21" spans="1:9" s="11" customFormat="1" ht="15.95" customHeight="1" x14ac:dyDescent="0.25">
      <c r="A21" s="15" t="s">
        <v>0</v>
      </c>
      <c r="B21" s="16">
        <f>B20-B7</f>
        <v>0</v>
      </c>
      <c r="C21" s="13"/>
      <c r="D21" s="13"/>
    </row>
    <row r="22" spans="1:9" s="11" customFormat="1" ht="15.95" customHeight="1" x14ac:dyDescent="0.25">
      <c r="B22" s="12"/>
      <c r="C22" s="13"/>
      <c r="D22" s="13"/>
    </row>
    <row r="23" spans="1:9" s="11" customFormat="1" ht="20.100000000000001" customHeight="1" x14ac:dyDescent="0.3">
      <c r="A23" s="1"/>
      <c r="B23" s="3"/>
      <c r="C23" s="13"/>
      <c r="D23" s="13"/>
    </row>
    <row r="24" spans="1:9" s="11" customFormat="1" ht="20.100000000000001" customHeight="1" x14ac:dyDescent="0.3">
      <c r="A24" s="1"/>
      <c r="B24" s="3"/>
      <c r="C24" s="13"/>
      <c r="D24" s="13"/>
    </row>
    <row r="25" spans="1:9" s="11" customFormat="1" ht="20.100000000000001" customHeight="1" x14ac:dyDescent="0.3">
      <c r="A25" s="1"/>
      <c r="B25" s="3"/>
      <c r="C25" s="13"/>
      <c r="D25" s="13"/>
    </row>
    <row r="26" spans="1:9" s="11" customFormat="1" ht="20.100000000000001" customHeight="1" x14ac:dyDescent="0.3">
      <c r="A26" s="1"/>
      <c r="B26" s="3"/>
      <c r="C26" s="13"/>
      <c r="D26" s="13"/>
    </row>
    <row r="27" spans="1:9" s="11" customFormat="1" ht="20.100000000000001" customHeight="1" x14ac:dyDescent="0.3">
      <c r="A27" s="1"/>
      <c r="B27" s="3"/>
      <c r="C27" s="13"/>
      <c r="D27" s="13"/>
    </row>
    <row r="28" spans="1:9" s="13" customFormat="1" ht="20.100000000000001" customHeight="1" x14ac:dyDescent="0.3">
      <c r="A28" s="1"/>
      <c r="B28" s="3"/>
      <c r="E28" s="11"/>
      <c r="F28" s="11"/>
      <c r="G28" s="11"/>
      <c r="H28" s="11"/>
      <c r="I28" s="11"/>
    </row>
    <row r="29" spans="1:9" s="13" customFormat="1" ht="20.100000000000001" customHeight="1" x14ac:dyDescent="0.3">
      <c r="A29" s="1"/>
      <c r="B29" s="3"/>
      <c r="E29" s="11"/>
      <c r="F29" s="11"/>
      <c r="G29" s="11"/>
      <c r="H29" s="11"/>
      <c r="I29" s="11"/>
    </row>
    <row r="30" spans="1:9" s="13" customFormat="1" ht="20.100000000000001" customHeight="1" x14ac:dyDescent="0.3">
      <c r="A30" s="1"/>
      <c r="B30" s="3"/>
      <c r="E30" s="11"/>
      <c r="F30" s="11"/>
      <c r="G30" s="11"/>
      <c r="H30" s="11"/>
      <c r="I30" s="11"/>
    </row>
    <row r="31" spans="1:9" ht="20.100000000000001" customHeight="1" x14ac:dyDescent="0.3"/>
    <row r="32" spans="1:9" ht="20.100000000000001" customHeight="1" x14ac:dyDescent="0.3"/>
    <row r="33" ht="20.100000000000001" customHeight="1" x14ac:dyDescent="0.3"/>
    <row r="34" ht="20.100000000000001" customHeight="1" x14ac:dyDescent="0.3"/>
  </sheetData>
  <mergeCells count="1">
    <mergeCell ref="E9:G10"/>
  </mergeCells>
  <pageMargins left="0.7" right="0.7" top="0.75" bottom="0.75" header="0.3" footer="0.3"/>
  <pageSetup scale="89" fitToHeight="0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I34"/>
  <sheetViews>
    <sheetView workbookViewId="0">
      <selection activeCell="G23" sqref="G23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18" style="6" customWidth="1"/>
    <col min="4" max="4" width="19.7109375" style="6" customWidth="1"/>
    <col min="5" max="7" width="9.140625" style="1"/>
    <col min="8" max="8" width="17.7109375" style="1" customWidth="1"/>
    <col min="9" max="16384" width="9.140625" style="1"/>
  </cols>
  <sheetData>
    <row r="1" spans="1:8" s="11" customFormat="1" ht="20.100000000000001" customHeight="1" x14ac:dyDescent="0.25">
      <c r="A1" s="11" t="s">
        <v>304</v>
      </c>
      <c r="B1" s="12"/>
      <c r="C1" s="13"/>
      <c r="D1" s="13"/>
    </row>
    <row r="2" spans="1:8" s="11" customFormat="1" ht="20.100000000000001" customHeight="1" x14ac:dyDescent="0.25">
      <c r="A2" s="14">
        <v>43982</v>
      </c>
      <c r="B2" s="12"/>
      <c r="C2" s="13"/>
      <c r="D2" s="13"/>
    </row>
    <row r="3" spans="1:8" s="11" customFormat="1" ht="20.100000000000001" customHeight="1" x14ac:dyDescent="0.25">
      <c r="A3" s="11" t="s">
        <v>311</v>
      </c>
      <c r="B3" s="12">
        <v>8203403</v>
      </c>
      <c r="C3" s="13"/>
      <c r="D3" s="13"/>
    </row>
    <row r="4" spans="1:8" s="11" customFormat="1" ht="20.100000000000001" customHeight="1" x14ac:dyDescent="0.25">
      <c r="A4" s="11" t="s">
        <v>6</v>
      </c>
      <c r="B4" s="12"/>
      <c r="C4" s="13"/>
      <c r="D4" s="13"/>
    </row>
    <row r="5" spans="1:8" s="11" customFormat="1" ht="20.100000000000001" customHeight="1" x14ac:dyDescent="0.25">
      <c r="A5" s="11">
        <v>2100</v>
      </c>
      <c r="B5" s="12">
        <v>-8330584</v>
      </c>
      <c r="C5" s="13"/>
      <c r="D5" s="13"/>
    </row>
    <row r="6" spans="1:8" s="11" customFormat="1" ht="20.100000000000001" customHeight="1" x14ac:dyDescent="0.25">
      <c r="A6" s="11" t="s">
        <v>5</v>
      </c>
      <c r="B6" s="12">
        <f>SUM(B5)</f>
        <v>-8330584</v>
      </c>
      <c r="C6" s="13"/>
      <c r="D6" s="13"/>
    </row>
    <row r="7" spans="1:8" s="11" customFormat="1" ht="20.100000000000001" customHeight="1" x14ac:dyDescent="0.25">
      <c r="A7" s="15" t="s">
        <v>4</v>
      </c>
      <c r="B7" s="16">
        <f>B6+B3</f>
        <v>-127181</v>
      </c>
      <c r="C7" s="13"/>
      <c r="D7" s="13"/>
    </row>
    <row r="8" spans="1:8" s="11" customFormat="1" ht="15.95" customHeight="1" x14ac:dyDescent="0.25">
      <c r="A8" s="11" t="s">
        <v>3</v>
      </c>
      <c r="B8" s="12"/>
      <c r="C8" s="44" t="s">
        <v>628</v>
      </c>
      <c r="D8" s="52" t="s">
        <v>626</v>
      </c>
    </row>
    <row r="9" spans="1:8" s="11" customFormat="1" ht="15.95" customHeight="1" x14ac:dyDescent="0.25">
      <c r="A9" s="11" t="s">
        <v>765</v>
      </c>
      <c r="B9" s="24">
        <v>-22656</v>
      </c>
      <c r="C9" s="50">
        <v>43977</v>
      </c>
      <c r="D9" s="51">
        <v>43983</v>
      </c>
      <c r="E9" s="55"/>
      <c r="F9" s="55"/>
      <c r="G9" s="55"/>
      <c r="H9" s="47"/>
    </row>
    <row r="10" spans="1:8" s="11" customFormat="1" ht="15.75" customHeight="1" x14ac:dyDescent="0.25">
      <c r="A10" s="11" t="s">
        <v>766</v>
      </c>
      <c r="B10" s="24">
        <v>-22656</v>
      </c>
      <c r="C10" s="42">
        <v>43977</v>
      </c>
      <c r="D10" s="53">
        <v>43983</v>
      </c>
      <c r="E10" s="55"/>
      <c r="F10" s="55"/>
      <c r="G10" s="55"/>
      <c r="H10" s="47"/>
    </row>
    <row r="11" spans="1:8" s="11" customFormat="1" ht="15.75" customHeight="1" x14ac:dyDescent="0.25">
      <c r="A11" s="11" t="s">
        <v>767</v>
      </c>
      <c r="B11" s="24">
        <v>-23168</v>
      </c>
      <c r="C11" s="42">
        <v>43977</v>
      </c>
      <c r="D11" s="53">
        <v>43983</v>
      </c>
      <c r="E11" s="54"/>
      <c r="F11" s="54"/>
      <c r="G11" s="54"/>
      <c r="H11" s="47"/>
    </row>
    <row r="12" spans="1:8" s="11" customFormat="1" ht="15.75" customHeight="1" x14ac:dyDescent="0.25">
      <c r="A12" s="11" t="s">
        <v>768</v>
      </c>
      <c r="B12" s="24">
        <v>-26536</v>
      </c>
      <c r="C12" s="42">
        <v>43977</v>
      </c>
      <c r="D12" s="53">
        <v>43983</v>
      </c>
      <c r="E12" s="54"/>
      <c r="F12" s="54"/>
      <c r="G12" s="54"/>
      <c r="H12" s="47"/>
    </row>
    <row r="13" spans="1:8" s="11" customFormat="1" ht="15.75" customHeight="1" x14ac:dyDescent="0.25">
      <c r="A13" s="11" t="s">
        <v>769</v>
      </c>
      <c r="B13" s="24">
        <v>-31694</v>
      </c>
      <c r="C13" s="42">
        <v>43977</v>
      </c>
      <c r="D13" s="53">
        <v>43983</v>
      </c>
      <c r="E13" s="54"/>
      <c r="F13" s="54"/>
      <c r="G13" s="54"/>
      <c r="H13" s="47"/>
    </row>
    <row r="14" spans="1:8" s="11" customFormat="1" ht="15.95" customHeight="1" x14ac:dyDescent="0.25">
      <c r="A14" s="11" t="s">
        <v>770</v>
      </c>
      <c r="B14" s="24">
        <v>-69631</v>
      </c>
      <c r="C14" s="42">
        <v>43962</v>
      </c>
      <c r="D14" s="19" t="s">
        <v>772</v>
      </c>
      <c r="E14" s="19"/>
      <c r="F14" s="19"/>
      <c r="G14" s="19"/>
    </row>
    <row r="15" spans="1:8" s="11" customFormat="1" ht="15.95" customHeight="1" x14ac:dyDescent="0.25">
      <c r="B15" s="24">
        <f>SUM(B9:B14)</f>
        <v>-196341</v>
      </c>
      <c r="C15" s="18"/>
      <c r="D15" s="19"/>
      <c r="E15" s="19"/>
      <c r="F15" s="19"/>
      <c r="G15" s="19"/>
    </row>
    <row r="16" spans="1:8" s="11" customFormat="1" ht="15.95" customHeight="1" x14ac:dyDescent="0.25">
      <c r="A16" s="11" t="s">
        <v>2</v>
      </c>
      <c r="B16" s="24"/>
      <c r="C16" s="30" t="s">
        <v>702</v>
      </c>
      <c r="D16" s="52" t="s">
        <v>628</v>
      </c>
    </row>
    <row r="17" spans="1:9" s="11" customFormat="1" ht="15.95" customHeight="1" x14ac:dyDescent="0.25">
      <c r="A17" s="39" t="s">
        <v>771</v>
      </c>
      <c r="B17" s="46">
        <v>69160</v>
      </c>
      <c r="C17" s="42">
        <v>43965</v>
      </c>
      <c r="D17" s="29" t="s">
        <v>772</v>
      </c>
      <c r="E17" s="39"/>
      <c r="F17" s="39"/>
    </row>
    <row r="18" spans="1:9" s="11" customFormat="1" ht="15.95" customHeight="1" x14ac:dyDescent="0.25">
      <c r="A18" s="39"/>
      <c r="B18" s="46"/>
      <c r="C18" s="42"/>
      <c r="D18" s="29"/>
      <c r="E18" s="39"/>
      <c r="F18" s="39"/>
    </row>
    <row r="19" spans="1:9" s="11" customFormat="1" ht="15.95" customHeight="1" x14ac:dyDescent="0.25">
      <c r="B19" s="24">
        <f>SUM(B17:B18)</f>
        <v>69160</v>
      </c>
      <c r="C19" s="13"/>
      <c r="D19" s="13"/>
    </row>
    <row r="20" spans="1:9" s="11" customFormat="1" ht="15.95" customHeight="1" x14ac:dyDescent="0.25">
      <c r="A20" s="11" t="s">
        <v>1</v>
      </c>
      <c r="B20" s="12">
        <f>B19+B15</f>
        <v>-127181</v>
      </c>
      <c r="C20" s="13"/>
      <c r="D20" s="13"/>
    </row>
    <row r="21" spans="1:9" s="11" customFormat="1" ht="15.95" customHeight="1" x14ac:dyDescent="0.25">
      <c r="A21" s="15" t="s">
        <v>0</v>
      </c>
      <c r="B21" s="16">
        <f>B20-B7</f>
        <v>0</v>
      </c>
      <c r="C21" s="13"/>
      <c r="D21" s="13"/>
    </row>
    <row r="22" spans="1:9" s="11" customFormat="1" ht="15.95" customHeight="1" x14ac:dyDescent="0.25">
      <c r="B22" s="12"/>
      <c r="C22" s="13"/>
      <c r="D22" s="13"/>
    </row>
    <row r="23" spans="1:9" s="11" customFormat="1" ht="20.100000000000001" customHeight="1" x14ac:dyDescent="0.3">
      <c r="A23" s="1"/>
      <c r="B23" s="3"/>
      <c r="C23" s="13"/>
      <c r="D23" s="13"/>
    </row>
    <row r="24" spans="1:9" s="11" customFormat="1" ht="20.100000000000001" customHeight="1" x14ac:dyDescent="0.3">
      <c r="A24" s="1"/>
      <c r="B24" s="3"/>
      <c r="C24" s="13"/>
      <c r="D24" s="13"/>
    </row>
    <row r="25" spans="1:9" s="11" customFormat="1" ht="20.100000000000001" customHeight="1" x14ac:dyDescent="0.3">
      <c r="A25" s="1"/>
      <c r="B25" s="3"/>
      <c r="C25" s="13"/>
      <c r="D25" s="13"/>
    </row>
    <row r="26" spans="1:9" s="11" customFormat="1" ht="20.100000000000001" customHeight="1" x14ac:dyDescent="0.3">
      <c r="A26" s="1"/>
      <c r="B26" s="3"/>
      <c r="C26" s="13"/>
      <c r="D26" s="13"/>
    </row>
    <row r="27" spans="1:9" s="11" customFormat="1" ht="20.100000000000001" customHeight="1" x14ac:dyDescent="0.3">
      <c r="A27" s="1"/>
      <c r="B27" s="3"/>
      <c r="C27" s="13"/>
      <c r="D27" s="13"/>
    </row>
    <row r="28" spans="1:9" s="13" customFormat="1" ht="20.100000000000001" customHeight="1" x14ac:dyDescent="0.3">
      <c r="A28" s="1"/>
      <c r="B28" s="3"/>
      <c r="E28" s="11"/>
      <c r="F28" s="11"/>
      <c r="G28" s="11"/>
      <c r="H28" s="11"/>
      <c r="I28" s="11"/>
    </row>
    <row r="29" spans="1:9" s="13" customFormat="1" ht="20.100000000000001" customHeight="1" x14ac:dyDescent="0.3">
      <c r="A29" s="1"/>
      <c r="B29" s="3"/>
      <c r="E29" s="11"/>
      <c r="F29" s="11"/>
      <c r="G29" s="11"/>
      <c r="H29" s="11"/>
      <c r="I29" s="11"/>
    </row>
    <row r="30" spans="1:9" s="13" customFormat="1" ht="20.100000000000001" customHeight="1" x14ac:dyDescent="0.3">
      <c r="A30" s="1"/>
      <c r="B30" s="3"/>
      <c r="E30" s="11"/>
      <c r="F30" s="11"/>
      <c r="G30" s="11"/>
      <c r="H30" s="11"/>
      <c r="I30" s="11"/>
    </row>
    <row r="31" spans="1:9" ht="20.100000000000001" customHeight="1" x14ac:dyDescent="0.3"/>
    <row r="32" spans="1:9" ht="20.100000000000001" customHeight="1" x14ac:dyDescent="0.3"/>
    <row r="33" ht="20.100000000000001" customHeight="1" x14ac:dyDescent="0.3"/>
    <row r="34" ht="20.100000000000001" customHeight="1" x14ac:dyDescent="0.3"/>
  </sheetData>
  <pageMargins left="0.7" right="0.7" top="0.75" bottom="0.75" header="0.3" footer="0.3"/>
  <pageSetup scale="89" fitToHeight="0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I43"/>
  <sheetViews>
    <sheetView topLeftCell="A7" workbookViewId="0">
      <selection activeCell="D20" sqref="D20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18" style="6" customWidth="1"/>
    <col min="4" max="4" width="19.7109375" style="6" customWidth="1"/>
    <col min="5" max="7" width="9.140625" style="1"/>
    <col min="8" max="8" width="17.7109375" style="1" customWidth="1"/>
    <col min="9" max="16384" width="9.140625" style="1"/>
  </cols>
  <sheetData>
    <row r="1" spans="1:8" s="11" customFormat="1" ht="20.100000000000001" customHeight="1" x14ac:dyDescent="0.25">
      <c r="A1" s="11" t="s">
        <v>304</v>
      </c>
      <c r="B1" s="12"/>
      <c r="C1" s="13"/>
      <c r="D1" s="13"/>
    </row>
    <row r="2" spans="1:8" s="11" customFormat="1" ht="20.100000000000001" customHeight="1" x14ac:dyDescent="0.25">
      <c r="A2" s="14">
        <v>44012</v>
      </c>
      <c r="B2" s="12"/>
      <c r="C2" s="13"/>
      <c r="D2" s="13"/>
    </row>
    <row r="3" spans="1:8" s="11" customFormat="1" ht="20.100000000000001" customHeight="1" x14ac:dyDescent="0.25">
      <c r="A3" s="11" t="s">
        <v>311</v>
      </c>
      <c r="B3" s="12">
        <v>6373599</v>
      </c>
      <c r="C3" s="13"/>
      <c r="D3" s="13"/>
    </row>
    <row r="4" spans="1:8" s="11" customFormat="1" ht="20.100000000000001" customHeight="1" x14ac:dyDescent="0.25">
      <c r="A4" s="11" t="s">
        <v>6</v>
      </c>
      <c r="B4" s="12"/>
      <c r="C4" s="13"/>
      <c r="D4" s="13"/>
    </row>
    <row r="5" spans="1:8" s="11" customFormat="1" ht="20.100000000000001" customHeight="1" x14ac:dyDescent="0.25">
      <c r="A5" s="11">
        <v>2100</v>
      </c>
      <c r="B5" s="12">
        <v>-6572316</v>
      </c>
      <c r="C5" s="13"/>
      <c r="D5" s="13"/>
    </row>
    <row r="6" spans="1:8" s="11" customFormat="1" ht="20.100000000000001" customHeight="1" x14ac:dyDescent="0.25">
      <c r="A6" s="11" t="s">
        <v>5</v>
      </c>
      <c r="B6" s="12">
        <f>SUM(B5)</f>
        <v>-6572316</v>
      </c>
      <c r="C6" s="13"/>
      <c r="D6" s="13"/>
    </row>
    <row r="7" spans="1:8" s="11" customFormat="1" ht="20.100000000000001" customHeight="1" x14ac:dyDescent="0.25">
      <c r="A7" s="15" t="s">
        <v>4</v>
      </c>
      <c r="B7" s="16">
        <f>B6+B3</f>
        <v>-198717</v>
      </c>
      <c r="C7" s="13"/>
      <c r="D7" s="13"/>
    </row>
    <row r="8" spans="1:8" s="11" customFormat="1" ht="15.95" customHeight="1" x14ac:dyDescent="0.25">
      <c r="A8" s="11" t="s">
        <v>3</v>
      </c>
      <c r="B8" s="12"/>
      <c r="C8" s="44" t="s">
        <v>628</v>
      </c>
      <c r="D8" s="52" t="s">
        <v>626</v>
      </c>
    </row>
    <row r="9" spans="1:8" s="11" customFormat="1" ht="15.95" customHeight="1" x14ac:dyDescent="0.25">
      <c r="A9" s="11" t="s">
        <v>773</v>
      </c>
      <c r="B9" s="24">
        <v>-30416</v>
      </c>
      <c r="C9" s="50">
        <v>44011</v>
      </c>
      <c r="D9" s="51">
        <v>44013</v>
      </c>
      <c r="E9" s="55"/>
      <c r="F9" s="55"/>
      <c r="G9" s="55"/>
      <c r="H9" s="47"/>
    </row>
    <row r="10" spans="1:8" s="11" customFormat="1" ht="15.75" customHeight="1" x14ac:dyDescent="0.25">
      <c r="A10" s="11" t="s">
        <v>774</v>
      </c>
      <c r="B10" s="24">
        <v>-31577</v>
      </c>
      <c r="C10" s="42">
        <v>44011</v>
      </c>
      <c r="D10" s="53">
        <v>44013</v>
      </c>
      <c r="E10" s="55"/>
      <c r="F10" s="55"/>
      <c r="G10" s="55"/>
      <c r="H10" s="47"/>
    </row>
    <row r="11" spans="1:8" s="11" customFormat="1" ht="15.75" customHeight="1" x14ac:dyDescent="0.25">
      <c r="A11" s="11" t="s">
        <v>775</v>
      </c>
      <c r="B11" s="24">
        <v>-31577</v>
      </c>
      <c r="C11" s="42">
        <v>44011</v>
      </c>
      <c r="D11" s="53">
        <v>44013</v>
      </c>
      <c r="E11" s="54"/>
      <c r="F11" s="54"/>
      <c r="G11" s="54"/>
      <c r="H11" s="47"/>
    </row>
    <row r="12" spans="1:8" s="11" customFormat="1" ht="15.75" customHeight="1" x14ac:dyDescent="0.25">
      <c r="A12" s="11" t="s">
        <v>776</v>
      </c>
      <c r="B12" s="24">
        <v>-31656</v>
      </c>
      <c r="C12" s="42">
        <v>44012</v>
      </c>
      <c r="D12" s="53">
        <v>44013</v>
      </c>
      <c r="E12" s="54"/>
      <c r="F12" s="54"/>
      <c r="G12" s="54"/>
      <c r="H12" s="47"/>
    </row>
    <row r="13" spans="1:8" s="11" customFormat="1" ht="15.75" customHeight="1" x14ac:dyDescent="0.25">
      <c r="A13" s="11" t="s">
        <v>777</v>
      </c>
      <c r="B13" s="24">
        <v>-33480</v>
      </c>
      <c r="C13" s="42">
        <v>44012</v>
      </c>
      <c r="D13" s="53">
        <v>44013</v>
      </c>
      <c r="E13" s="54"/>
      <c r="F13" s="54"/>
      <c r="G13" s="54"/>
      <c r="H13" s="47"/>
    </row>
    <row r="14" spans="1:8" s="11" customFormat="1" ht="15.75" customHeight="1" x14ac:dyDescent="0.25">
      <c r="A14" s="11" t="s">
        <v>778</v>
      </c>
      <c r="B14" s="24">
        <v>-33671</v>
      </c>
      <c r="C14" s="42">
        <v>44011</v>
      </c>
      <c r="D14" s="53">
        <v>44013</v>
      </c>
      <c r="E14" s="54"/>
      <c r="F14" s="54"/>
      <c r="G14" s="54"/>
      <c r="H14" s="47"/>
    </row>
    <row r="15" spans="1:8" s="11" customFormat="1" ht="15.75" customHeight="1" x14ac:dyDescent="0.25">
      <c r="A15" s="11" t="s">
        <v>779</v>
      </c>
      <c r="B15" s="24">
        <v>-33924</v>
      </c>
      <c r="C15" s="42">
        <v>44011</v>
      </c>
      <c r="D15" s="53">
        <v>44013</v>
      </c>
      <c r="E15" s="54"/>
      <c r="F15" s="54"/>
      <c r="G15" s="54"/>
      <c r="H15" s="47"/>
    </row>
    <row r="16" spans="1:8" s="11" customFormat="1" ht="15.75" customHeight="1" x14ac:dyDescent="0.25">
      <c r="A16" s="11" t="s">
        <v>780</v>
      </c>
      <c r="B16" s="24">
        <v>-42484</v>
      </c>
      <c r="C16" s="42">
        <v>44012</v>
      </c>
      <c r="D16" s="53">
        <v>44013</v>
      </c>
      <c r="E16" s="54"/>
      <c r="F16" s="54"/>
      <c r="G16" s="54"/>
      <c r="H16" s="47"/>
    </row>
    <row r="17" spans="1:8" s="11" customFormat="1" ht="15.75" customHeight="1" x14ac:dyDescent="0.25">
      <c r="A17" s="11" t="s">
        <v>781</v>
      </c>
      <c r="B17" s="24">
        <v>-45074</v>
      </c>
      <c r="C17" s="42">
        <v>44012</v>
      </c>
      <c r="D17" s="53">
        <v>44013</v>
      </c>
      <c r="E17" s="54"/>
      <c r="F17" s="54"/>
      <c r="G17" s="54"/>
      <c r="H17" s="47"/>
    </row>
    <row r="18" spans="1:8" s="11" customFormat="1" ht="15.75" customHeight="1" x14ac:dyDescent="0.25">
      <c r="A18" s="11" t="s">
        <v>782</v>
      </c>
      <c r="B18" s="24">
        <v>-47890</v>
      </c>
      <c r="C18" s="42">
        <v>44012</v>
      </c>
      <c r="D18" s="53">
        <v>44013</v>
      </c>
      <c r="E18" s="54"/>
      <c r="F18" s="54"/>
      <c r="G18" s="54"/>
      <c r="H18" s="47"/>
    </row>
    <row r="19" spans="1:8" s="11" customFormat="1" ht="15.95" customHeight="1" x14ac:dyDescent="0.25">
      <c r="A19" s="11" t="s">
        <v>783</v>
      </c>
      <c r="B19" s="24">
        <v>-85273</v>
      </c>
      <c r="C19" s="42" t="s">
        <v>789</v>
      </c>
      <c r="D19" s="19"/>
      <c r="E19" s="19"/>
      <c r="F19" s="19"/>
      <c r="G19" s="19"/>
    </row>
    <row r="20" spans="1:8" s="11" customFormat="1" ht="15.95" customHeight="1" x14ac:dyDescent="0.25">
      <c r="B20" s="24">
        <f>SUM(B9:B19)</f>
        <v>-447022</v>
      </c>
      <c r="C20" s="18"/>
      <c r="D20" s="19"/>
      <c r="E20" s="19"/>
      <c r="F20" s="19"/>
      <c r="G20" s="19"/>
    </row>
    <row r="21" spans="1:8" s="11" customFormat="1" ht="15.95" customHeight="1" x14ac:dyDescent="0.25">
      <c r="A21" s="11" t="s">
        <v>2</v>
      </c>
      <c r="B21" s="24"/>
      <c r="C21" s="30" t="s">
        <v>702</v>
      </c>
      <c r="D21" s="52" t="s">
        <v>628</v>
      </c>
    </row>
    <row r="22" spans="1:8" s="11" customFormat="1" ht="15.95" customHeight="1" x14ac:dyDescent="0.25">
      <c r="A22" s="39" t="s">
        <v>784</v>
      </c>
      <c r="B22" s="46">
        <v>36221</v>
      </c>
      <c r="C22" s="42">
        <v>44012</v>
      </c>
      <c r="D22" s="29">
        <v>44014</v>
      </c>
      <c r="E22" s="39"/>
      <c r="F22" s="39"/>
    </row>
    <row r="23" spans="1:8" s="11" customFormat="1" ht="15.95" customHeight="1" x14ac:dyDescent="0.25">
      <c r="A23" s="39" t="s">
        <v>785</v>
      </c>
      <c r="B23" s="46">
        <v>40070</v>
      </c>
      <c r="C23" s="42">
        <v>44012</v>
      </c>
      <c r="D23" s="29">
        <v>44014</v>
      </c>
      <c r="E23" s="39"/>
      <c r="F23" s="39"/>
    </row>
    <row r="24" spans="1:8" s="11" customFormat="1" ht="15.95" customHeight="1" x14ac:dyDescent="0.25">
      <c r="A24" s="39" t="s">
        <v>786</v>
      </c>
      <c r="B24" s="46">
        <v>56274</v>
      </c>
      <c r="C24" s="42">
        <v>44012</v>
      </c>
      <c r="D24" s="29">
        <v>44014</v>
      </c>
      <c r="E24" s="39"/>
      <c r="F24" s="39"/>
    </row>
    <row r="25" spans="1:8" s="11" customFormat="1" ht="15" customHeight="1" x14ac:dyDescent="0.25">
      <c r="A25" s="39" t="s">
        <v>787</v>
      </c>
      <c r="B25" s="46">
        <v>56834</v>
      </c>
      <c r="C25" s="42">
        <v>44012</v>
      </c>
      <c r="D25" s="29">
        <v>44014</v>
      </c>
      <c r="E25" s="39"/>
      <c r="F25" s="39"/>
    </row>
    <row r="26" spans="1:8" s="11" customFormat="1" ht="15.75" customHeight="1" x14ac:dyDescent="0.25">
      <c r="A26" s="39" t="s">
        <v>788</v>
      </c>
      <c r="B26" s="46">
        <v>58906</v>
      </c>
      <c r="C26" s="42">
        <v>44012</v>
      </c>
      <c r="D26" s="29">
        <v>44014</v>
      </c>
      <c r="E26" s="39"/>
      <c r="F26" s="39"/>
    </row>
    <row r="27" spans="1:8" s="11" customFormat="1" ht="15.75" customHeight="1" x14ac:dyDescent="0.25">
      <c r="A27" s="39"/>
      <c r="B27" s="46"/>
      <c r="C27" s="19"/>
      <c r="D27" s="29"/>
      <c r="E27" s="39"/>
      <c r="F27" s="39"/>
    </row>
    <row r="28" spans="1:8" s="11" customFormat="1" ht="15.95" customHeight="1" x14ac:dyDescent="0.25">
      <c r="B28" s="24">
        <f>SUM(B22:B27)</f>
        <v>248305</v>
      </c>
      <c r="C28" s="13"/>
      <c r="D28" s="13"/>
    </row>
    <row r="29" spans="1:8" s="11" customFormat="1" ht="15.95" customHeight="1" x14ac:dyDescent="0.25">
      <c r="A29" s="11" t="s">
        <v>1</v>
      </c>
      <c r="B29" s="12">
        <f>B28+B20</f>
        <v>-198717</v>
      </c>
      <c r="C29" s="13"/>
      <c r="D29" s="13"/>
    </row>
    <row r="30" spans="1:8" s="11" customFormat="1" ht="15.95" customHeight="1" x14ac:dyDescent="0.25">
      <c r="A30" s="15" t="s">
        <v>0</v>
      </c>
      <c r="B30" s="16">
        <f>B29-B7</f>
        <v>0</v>
      </c>
      <c r="C30" s="13"/>
      <c r="D30" s="13"/>
    </row>
    <row r="31" spans="1:8" s="11" customFormat="1" ht="15.95" customHeight="1" x14ac:dyDescent="0.25">
      <c r="B31" s="12"/>
      <c r="C31" s="13"/>
      <c r="D31" s="13"/>
    </row>
    <row r="32" spans="1:8" s="11" customFormat="1" ht="20.100000000000001" customHeight="1" x14ac:dyDescent="0.3">
      <c r="A32" s="1"/>
      <c r="B32" s="3"/>
      <c r="C32" s="13"/>
      <c r="D32" s="13"/>
    </row>
    <row r="33" spans="1:9" s="11" customFormat="1" ht="20.100000000000001" customHeight="1" x14ac:dyDescent="0.3">
      <c r="A33" s="1"/>
      <c r="B33" s="3"/>
      <c r="C33" s="13"/>
      <c r="D33" s="13"/>
    </row>
    <row r="34" spans="1:9" s="11" customFormat="1" ht="20.100000000000001" customHeight="1" x14ac:dyDescent="0.3">
      <c r="A34" s="1"/>
      <c r="B34" s="3"/>
      <c r="C34" s="13"/>
      <c r="D34" s="13"/>
    </row>
    <row r="35" spans="1:9" s="11" customFormat="1" ht="20.100000000000001" customHeight="1" x14ac:dyDescent="0.3">
      <c r="A35" s="1"/>
      <c r="B35" s="3"/>
      <c r="C35" s="13"/>
      <c r="D35" s="13"/>
    </row>
    <row r="36" spans="1:9" s="11" customFormat="1" ht="20.100000000000001" customHeight="1" x14ac:dyDescent="0.3">
      <c r="A36" s="1"/>
      <c r="B36" s="3"/>
      <c r="C36" s="13"/>
      <c r="D36" s="13"/>
    </row>
    <row r="37" spans="1:9" s="13" customFormat="1" ht="20.100000000000001" customHeight="1" x14ac:dyDescent="0.3">
      <c r="A37" s="1"/>
      <c r="B37" s="3"/>
      <c r="E37" s="11"/>
      <c r="F37" s="11"/>
      <c r="G37" s="11"/>
      <c r="H37" s="11"/>
      <c r="I37" s="11"/>
    </row>
    <row r="38" spans="1:9" s="13" customFormat="1" ht="20.100000000000001" customHeight="1" x14ac:dyDescent="0.3">
      <c r="A38" s="1"/>
      <c r="B38" s="3"/>
      <c r="E38" s="11"/>
      <c r="F38" s="11"/>
      <c r="G38" s="11"/>
      <c r="H38" s="11"/>
      <c r="I38" s="11"/>
    </row>
    <row r="39" spans="1:9" s="13" customFormat="1" ht="20.100000000000001" customHeight="1" x14ac:dyDescent="0.3">
      <c r="A39" s="1"/>
      <c r="B39" s="3"/>
      <c r="E39" s="11"/>
      <c r="F39" s="11"/>
      <c r="G39" s="11"/>
      <c r="H39" s="11"/>
      <c r="I39" s="11"/>
    </row>
    <row r="40" spans="1:9" ht="20.100000000000001" customHeight="1" x14ac:dyDescent="0.3"/>
    <row r="41" spans="1:9" ht="20.100000000000001" customHeight="1" x14ac:dyDescent="0.3"/>
    <row r="42" spans="1:9" ht="20.100000000000001" customHeight="1" x14ac:dyDescent="0.3"/>
    <row r="43" spans="1:9" ht="20.100000000000001" customHeight="1" x14ac:dyDescent="0.3"/>
  </sheetData>
  <pageMargins left="0.7" right="0.7" top="0.75" bottom="0.75" header="0.3" footer="0.3"/>
  <pageSetup fitToHeight="0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I55"/>
  <sheetViews>
    <sheetView topLeftCell="A7" workbookViewId="0">
      <selection activeCell="D32" sqref="D32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18" style="6" customWidth="1"/>
    <col min="4" max="4" width="19.7109375" style="6" customWidth="1"/>
    <col min="5" max="7" width="9.140625" style="1"/>
    <col min="8" max="8" width="17.7109375" style="1" customWidth="1"/>
    <col min="9" max="16384" width="9.140625" style="1"/>
  </cols>
  <sheetData>
    <row r="1" spans="1:8" s="11" customFormat="1" ht="20.100000000000001" customHeight="1" x14ac:dyDescent="0.25">
      <c r="A1" s="11" t="s">
        <v>304</v>
      </c>
      <c r="B1" s="12"/>
      <c r="C1" s="13"/>
      <c r="D1" s="13"/>
    </row>
    <row r="2" spans="1:8" s="11" customFormat="1" ht="20.100000000000001" customHeight="1" x14ac:dyDescent="0.25">
      <c r="A2" s="14">
        <v>44043</v>
      </c>
      <c r="B2" s="12"/>
      <c r="C2" s="13"/>
      <c r="D2" s="13"/>
    </row>
    <row r="3" spans="1:8" s="11" customFormat="1" ht="20.100000000000001" customHeight="1" x14ac:dyDescent="0.25">
      <c r="A3" s="11" t="s">
        <v>311</v>
      </c>
      <c r="B3" s="12">
        <v>7695802</v>
      </c>
      <c r="C3" s="13"/>
      <c r="D3" s="13"/>
    </row>
    <row r="4" spans="1:8" s="11" customFormat="1" ht="20.100000000000001" customHeight="1" x14ac:dyDescent="0.25">
      <c r="A4" s="11" t="s">
        <v>6</v>
      </c>
      <c r="B4" s="12"/>
      <c r="C4" s="13"/>
      <c r="D4" s="13"/>
    </row>
    <row r="5" spans="1:8" s="11" customFormat="1" ht="20.100000000000001" customHeight="1" x14ac:dyDescent="0.25">
      <c r="A5" s="11">
        <v>2100</v>
      </c>
      <c r="B5" s="12">
        <v>-8464041</v>
      </c>
      <c r="C5" s="13"/>
      <c r="D5" s="13"/>
    </row>
    <row r="6" spans="1:8" s="11" customFormat="1" ht="20.100000000000001" customHeight="1" x14ac:dyDescent="0.25">
      <c r="A6" s="11" t="s">
        <v>5</v>
      </c>
      <c r="B6" s="12">
        <f>SUM(B5)</f>
        <v>-8464041</v>
      </c>
      <c r="C6" s="13"/>
      <c r="D6" s="13"/>
    </row>
    <row r="7" spans="1:8" s="11" customFormat="1" ht="20.100000000000001" customHeight="1" x14ac:dyDescent="0.25">
      <c r="A7" s="15" t="s">
        <v>4</v>
      </c>
      <c r="B7" s="16">
        <f>B6+B3</f>
        <v>-768239</v>
      </c>
      <c r="C7" s="13"/>
      <c r="D7" s="13"/>
    </row>
    <row r="8" spans="1:8" s="11" customFormat="1" ht="15.95" customHeight="1" x14ac:dyDescent="0.25">
      <c r="A8" s="11" t="s">
        <v>3</v>
      </c>
      <c r="B8" s="12"/>
      <c r="C8" s="44" t="s">
        <v>628</v>
      </c>
      <c r="D8" s="52" t="s">
        <v>626</v>
      </c>
    </row>
    <row r="9" spans="1:8" s="11" customFormat="1" ht="15.95" customHeight="1" x14ac:dyDescent="0.25">
      <c r="A9" s="11" t="s">
        <v>790</v>
      </c>
      <c r="B9" s="24">
        <v>-25997</v>
      </c>
      <c r="C9" s="56">
        <v>44041</v>
      </c>
      <c r="D9" s="51">
        <v>44046</v>
      </c>
      <c r="E9" s="55"/>
      <c r="F9" s="55"/>
      <c r="G9" s="55"/>
      <c r="H9" s="47"/>
    </row>
    <row r="10" spans="1:8" s="11" customFormat="1" ht="15.75" customHeight="1" x14ac:dyDescent="0.25">
      <c r="A10" s="11" t="s">
        <v>791</v>
      </c>
      <c r="B10" s="24">
        <v>-27157</v>
      </c>
      <c r="C10" s="32">
        <v>44041</v>
      </c>
      <c r="D10" s="53">
        <v>44046</v>
      </c>
      <c r="E10" s="55"/>
      <c r="F10" s="55"/>
      <c r="G10" s="55"/>
      <c r="H10" s="47"/>
    </row>
    <row r="11" spans="1:8" s="11" customFormat="1" ht="15.75" customHeight="1" x14ac:dyDescent="0.25">
      <c r="A11" s="11" t="s">
        <v>792</v>
      </c>
      <c r="B11" s="24">
        <v>-27744</v>
      </c>
      <c r="C11" s="32">
        <v>44041</v>
      </c>
      <c r="D11" s="53">
        <v>44046</v>
      </c>
      <c r="E11" s="54"/>
      <c r="F11" s="54"/>
      <c r="G11" s="54"/>
      <c r="H11" s="47"/>
    </row>
    <row r="12" spans="1:8" s="11" customFormat="1" ht="15.75" customHeight="1" x14ac:dyDescent="0.25">
      <c r="A12" s="11" t="s">
        <v>793</v>
      </c>
      <c r="B12" s="24">
        <v>-28381</v>
      </c>
      <c r="C12" s="32">
        <v>44041</v>
      </c>
      <c r="D12" s="53">
        <v>44046</v>
      </c>
      <c r="E12" s="54"/>
      <c r="F12" s="54"/>
      <c r="G12" s="54"/>
      <c r="H12" s="47"/>
    </row>
    <row r="13" spans="1:8" s="11" customFormat="1" ht="15.75" customHeight="1" x14ac:dyDescent="0.25">
      <c r="A13" s="11" t="s">
        <v>794</v>
      </c>
      <c r="B13" s="24">
        <v>-28381</v>
      </c>
      <c r="C13" s="32">
        <v>44041</v>
      </c>
      <c r="D13" s="53">
        <v>44046</v>
      </c>
      <c r="E13" s="54"/>
      <c r="F13" s="54"/>
      <c r="G13" s="54"/>
      <c r="H13" s="47"/>
    </row>
    <row r="14" spans="1:8" s="11" customFormat="1" ht="15.75" customHeight="1" x14ac:dyDescent="0.25">
      <c r="A14" s="11" t="s">
        <v>795</v>
      </c>
      <c r="B14" s="24">
        <v>-28559</v>
      </c>
      <c r="C14" s="32">
        <v>44041</v>
      </c>
      <c r="D14" s="53">
        <v>44046</v>
      </c>
      <c r="E14" s="54"/>
      <c r="F14" s="54"/>
      <c r="G14" s="54"/>
      <c r="H14" s="47"/>
    </row>
    <row r="15" spans="1:8" s="11" customFormat="1" ht="15.75" customHeight="1" x14ac:dyDescent="0.25">
      <c r="A15" s="11" t="s">
        <v>796</v>
      </c>
      <c r="B15" s="24">
        <v>-28701</v>
      </c>
      <c r="C15" s="32">
        <v>44041</v>
      </c>
      <c r="D15" s="53">
        <v>44046</v>
      </c>
      <c r="E15" s="54"/>
      <c r="F15" s="54"/>
      <c r="G15" s="54"/>
      <c r="H15" s="47"/>
    </row>
    <row r="16" spans="1:8" s="11" customFormat="1" ht="15.75" customHeight="1" x14ac:dyDescent="0.25">
      <c r="A16" s="11" t="s">
        <v>797</v>
      </c>
      <c r="B16" s="24">
        <v>-28911</v>
      </c>
      <c r="C16" s="32">
        <v>44041</v>
      </c>
      <c r="D16" s="53">
        <v>44046</v>
      </c>
      <c r="E16" s="54"/>
      <c r="F16" s="54"/>
      <c r="G16" s="54"/>
      <c r="H16" s="47"/>
    </row>
    <row r="17" spans="1:8" s="11" customFormat="1" ht="15.75" customHeight="1" x14ac:dyDescent="0.25">
      <c r="A17" s="11" t="s">
        <v>798</v>
      </c>
      <c r="B17" s="24">
        <v>-28911</v>
      </c>
      <c r="C17" s="32">
        <v>44043</v>
      </c>
      <c r="D17" s="53">
        <v>44047</v>
      </c>
      <c r="E17" s="54"/>
      <c r="F17" s="54"/>
      <c r="G17" s="54"/>
      <c r="H17" s="47"/>
    </row>
    <row r="18" spans="1:8" s="11" customFormat="1" ht="15.75" customHeight="1" x14ac:dyDescent="0.25">
      <c r="A18" s="11" t="s">
        <v>799</v>
      </c>
      <c r="B18" s="24">
        <v>-30731</v>
      </c>
      <c r="C18" s="32">
        <v>44041</v>
      </c>
      <c r="D18" s="53">
        <v>44046</v>
      </c>
      <c r="E18" s="54"/>
      <c r="F18" s="54"/>
      <c r="G18" s="54"/>
      <c r="H18" s="47"/>
    </row>
    <row r="19" spans="1:8" s="11" customFormat="1" ht="15.75" customHeight="1" x14ac:dyDescent="0.25">
      <c r="A19" s="11" t="s">
        <v>800</v>
      </c>
      <c r="B19" s="24">
        <v>-30820</v>
      </c>
      <c r="C19" s="32">
        <v>44043</v>
      </c>
      <c r="D19" s="53">
        <v>44047</v>
      </c>
      <c r="E19" s="54"/>
      <c r="F19" s="54"/>
      <c r="G19" s="54"/>
      <c r="H19" s="47"/>
    </row>
    <row r="20" spans="1:8" s="11" customFormat="1" ht="15.75" customHeight="1" x14ac:dyDescent="0.25">
      <c r="A20" s="11" t="s">
        <v>801</v>
      </c>
      <c r="B20" s="24">
        <v>-31083</v>
      </c>
      <c r="C20" s="32">
        <v>44041</v>
      </c>
      <c r="D20" s="53">
        <v>44046</v>
      </c>
      <c r="E20" s="54"/>
      <c r="F20" s="54"/>
      <c r="G20" s="54"/>
      <c r="H20" s="47"/>
    </row>
    <row r="21" spans="1:8" s="11" customFormat="1" ht="15.75" customHeight="1" x14ac:dyDescent="0.25">
      <c r="A21" s="11" t="s">
        <v>802</v>
      </c>
      <c r="B21" s="24">
        <v>-31083</v>
      </c>
      <c r="C21" s="32">
        <v>44043</v>
      </c>
      <c r="D21" s="53">
        <v>44047</v>
      </c>
      <c r="E21" s="54"/>
      <c r="F21" s="54"/>
      <c r="G21" s="54"/>
      <c r="H21" s="47"/>
    </row>
    <row r="22" spans="1:8" s="11" customFormat="1" ht="15.75" customHeight="1" x14ac:dyDescent="0.25">
      <c r="A22" s="11" t="s">
        <v>803</v>
      </c>
      <c r="B22" s="24">
        <v>-32099</v>
      </c>
      <c r="C22" s="32">
        <v>44041</v>
      </c>
      <c r="D22" s="53">
        <v>44046</v>
      </c>
      <c r="E22" s="54"/>
      <c r="F22" s="54"/>
      <c r="G22" s="54"/>
      <c r="H22" s="47"/>
    </row>
    <row r="23" spans="1:8" s="11" customFormat="1" ht="15.75" customHeight="1" x14ac:dyDescent="0.25">
      <c r="A23" s="11" t="s">
        <v>804</v>
      </c>
      <c r="B23" s="24">
        <v>-32099</v>
      </c>
      <c r="C23" s="32">
        <v>44043</v>
      </c>
      <c r="D23" s="53">
        <v>44047</v>
      </c>
      <c r="E23" s="54"/>
      <c r="F23" s="54"/>
      <c r="G23" s="54"/>
      <c r="H23" s="47"/>
    </row>
    <row r="24" spans="1:8" s="11" customFormat="1" ht="15.75" customHeight="1" x14ac:dyDescent="0.25">
      <c r="A24" s="11" t="s">
        <v>805</v>
      </c>
      <c r="B24" s="24">
        <v>-32529</v>
      </c>
      <c r="C24" s="32">
        <v>44041</v>
      </c>
      <c r="D24" s="53">
        <v>44046</v>
      </c>
      <c r="E24" s="54"/>
      <c r="F24" s="54"/>
      <c r="G24" s="54"/>
      <c r="H24" s="47"/>
    </row>
    <row r="25" spans="1:8" s="11" customFormat="1" ht="15.75" customHeight="1" x14ac:dyDescent="0.25">
      <c r="A25" s="11" t="s">
        <v>806</v>
      </c>
      <c r="B25" s="24">
        <v>-35187</v>
      </c>
      <c r="C25" s="32">
        <v>44041</v>
      </c>
      <c r="D25" s="53">
        <v>44046</v>
      </c>
      <c r="E25" s="54"/>
      <c r="F25" s="54"/>
      <c r="G25" s="54"/>
      <c r="H25" s="47"/>
    </row>
    <row r="26" spans="1:8" s="11" customFormat="1" ht="15.75" customHeight="1" x14ac:dyDescent="0.25">
      <c r="A26" s="11" t="s">
        <v>807</v>
      </c>
      <c r="B26" s="24">
        <v>-40578</v>
      </c>
      <c r="C26" s="32">
        <v>44043</v>
      </c>
      <c r="D26" s="53">
        <v>44047</v>
      </c>
      <c r="E26" s="54"/>
      <c r="F26" s="54"/>
      <c r="G26" s="54"/>
      <c r="H26" s="47"/>
    </row>
    <row r="27" spans="1:8" s="11" customFormat="1" ht="15.75" customHeight="1" x14ac:dyDescent="0.25">
      <c r="A27" s="11" t="s">
        <v>808</v>
      </c>
      <c r="B27" s="24">
        <v>-40918</v>
      </c>
      <c r="C27" s="32">
        <v>44041</v>
      </c>
      <c r="D27" s="53">
        <v>44046</v>
      </c>
      <c r="E27" s="54"/>
      <c r="F27" s="54"/>
      <c r="G27" s="54"/>
      <c r="H27" s="47"/>
    </row>
    <row r="28" spans="1:8" s="11" customFormat="1" ht="15.75" customHeight="1" x14ac:dyDescent="0.25">
      <c r="A28" s="11" t="s">
        <v>809</v>
      </c>
      <c r="B28" s="24">
        <v>-41378</v>
      </c>
      <c r="C28" s="32">
        <v>44041</v>
      </c>
      <c r="D28" s="53">
        <v>44046</v>
      </c>
      <c r="E28" s="54"/>
      <c r="F28" s="54"/>
      <c r="G28" s="54"/>
      <c r="H28" s="47"/>
    </row>
    <row r="29" spans="1:8" s="11" customFormat="1" ht="15.75" customHeight="1" x14ac:dyDescent="0.25">
      <c r="A29" s="11" t="s">
        <v>810</v>
      </c>
      <c r="B29" s="24">
        <v>-42716</v>
      </c>
      <c r="C29" s="32">
        <v>44041</v>
      </c>
      <c r="D29" s="53">
        <v>44046</v>
      </c>
      <c r="E29" s="54"/>
      <c r="F29" s="54"/>
      <c r="G29" s="54"/>
      <c r="H29" s="47"/>
    </row>
    <row r="30" spans="1:8" s="11" customFormat="1" ht="15.75" customHeight="1" x14ac:dyDescent="0.25">
      <c r="A30" s="11" t="s">
        <v>811</v>
      </c>
      <c r="B30" s="24">
        <v>-45276</v>
      </c>
      <c r="C30" s="32">
        <v>44041</v>
      </c>
      <c r="D30" s="53">
        <v>44046</v>
      </c>
      <c r="E30" s="54"/>
      <c r="F30" s="54"/>
      <c r="G30" s="54"/>
      <c r="H30" s="47"/>
    </row>
    <row r="31" spans="1:8" s="11" customFormat="1" ht="15.75" customHeight="1" x14ac:dyDescent="0.25">
      <c r="A31" s="11" t="s">
        <v>812</v>
      </c>
      <c r="B31" s="24">
        <v>-49000</v>
      </c>
      <c r="C31" s="32" t="s">
        <v>813</v>
      </c>
      <c r="D31" s="29"/>
      <c r="E31" s="54"/>
      <c r="F31" s="54"/>
      <c r="G31" s="54"/>
      <c r="H31" s="47"/>
    </row>
    <row r="32" spans="1:8" s="11" customFormat="1" ht="15.75" customHeight="1" x14ac:dyDescent="0.25">
      <c r="B32" s="24"/>
      <c r="C32" s="42"/>
      <c r="D32" s="53"/>
      <c r="E32" s="54"/>
      <c r="F32" s="54"/>
      <c r="G32" s="54"/>
      <c r="H32" s="47"/>
    </row>
    <row r="33" spans="1:7" s="11" customFormat="1" ht="15.95" customHeight="1" x14ac:dyDescent="0.25">
      <c r="B33" s="24">
        <f>SUM(B9:B32)</f>
        <v>-768239</v>
      </c>
      <c r="C33" s="18"/>
      <c r="D33" s="19"/>
      <c r="E33" s="19"/>
      <c r="F33" s="19"/>
      <c r="G33" s="19"/>
    </row>
    <row r="34" spans="1:7" s="11" customFormat="1" ht="15.95" customHeight="1" x14ac:dyDescent="0.25">
      <c r="A34" s="11" t="s">
        <v>2</v>
      </c>
      <c r="B34" s="24"/>
      <c r="C34" s="30" t="s">
        <v>702</v>
      </c>
      <c r="D34" s="52" t="s">
        <v>628</v>
      </c>
    </row>
    <row r="35" spans="1:7" s="11" customFormat="1" ht="15.95" customHeight="1" x14ac:dyDescent="0.25">
      <c r="A35" s="39"/>
      <c r="B35" s="46"/>
      <c r="C35" s="42"/>
      <c r="D35" s="29"/>
      <c r="E35" s="39"/>
      <c r="F35" s="39"/>
    </row>
    <row r="36" spans="1:7" s="11" customFormat="1" ht="15.95" customHeight="1" x14ac:dyDescent="0.25">
      <c r="A36" s="39"/>
      <c r="B36" s="46"/>
      <c r="C36" s="42"/>
      <c r="D36" s="29"/>
      <c r="E36" s="39"/>
      <c r="F36" s="39"/>
    </row>
    <row r="37" spans="1:7" s="11" customFormat="1" ht="15.95" customHeight="1" x14ac:dyDescent="0.25">
      <c r="A37" s="39"/>
      <c r="B37" s="46"/>
      <c r="C37" s="42"/>
      <c r="D37" s="29"/>
      <c r="E37" s="39"/>
      <c r="F37" s="39"/>
    </row>
    <row r="38" spans="1:7" s="11" customFormat="1" ht="15.75" customHeight="1" x14ac:dyDescent="0.25">
      <c r="A38" s="39"/>
      <c r="B38" s="46"/>
      <c r="C38" s="42"/>
      <c r="D38" s="29"/>
      <c r="E38" s="39"/>
      <c r="F38" s="39"/>
    </row>
    <row r="39" spans="1:7" s="11" customFormat="1" ht="15.75" customHeight="1" x14ac:dyDescent="0.25">
      <c r="A39" s="39"/>
      <c r="B39" s="46"/>
      <c r="C39" s="19"/>
      <c r="D39" s="29"/>
      <c r="E39" s="39"/>
      <c r="F39" s="39"/>
    </row>
    <row r="40" spans="1:7" s="11" customFormat="1" ht="15.95" customHeight="1" x14ac:dyDescent="0.25">
      <c r="B40" s="24">
        <f>SUM(B35:B39)</f>
        <v>0</v>
      </c>
      <c r="C40" s="13"/>
      <c r="D40" s="13"/>
    </row>
    <row r="41" spans="1:7" s="11" customFormat="1" ht="15.95" customHeight="1" x14ac:dyDescent="0.25">
      <c r="A41" s="11" t="s">
        <v>1</v>
      </c>
      <c r="B41" s="12">
        <f>B40+B33</f>
        <v>-768239</v>
      </c>
      <c r="C41" s="13"/>
      <c r="D41" s="13"/>
    </row>
    <row r="42" spans="1:7" s="11" customFormat="1" ht="15.95" customHeight="1" x14ac:dyDescent="0.25">
      <c r="A42" s="15" t="s">
        <v>0</v>
      </c>
      <c r="B42" s="16">
        <f>B41-B7</f>
        <v>0</v>
      </c>
      <c r="C42" s="13"/>
      <c r="D42" s="13"/>
    </row>
    <row r="43" spans="1:7" s="11" customFormat="1" ht="15.95" customHeight="1" x14ac:dyDescent="0.25">
      <c r="B43" s="12"/>
      <c r="C43" s="13"/>
      <c r="D43" s="13"/>
    </row>
    <row r="44" spans="1:7" s="11" customFormat="1" ht="20.100000000000001" customHeight="1" x14ac:dyDescent="0.3">
      <c r="A44" s="1"/>
      <c r="B44" s="3"/>
      <c r="C44" s="13"/>
      <c r="D44" s="13"/>
    </row>
    <row r="45" spans="1:7" s="11" customFormat="1" ht="20.100000000000001" customHeight="1" x14ac:dyDescent="0.3">
      <c r="A45" s="1"/>
      <c r="B45" s="3"/>
      <c r="C45" s="13"/>
      <c r="D45" s="13"/>
    </row>
    <row r="46" spans="1:7" s="11" customFormat="1" ht="20.100000000000001" customHeight="1" x14ac:dyDescent="0.3">
      <c r="A46" s="1"/>
      <c r="B46" s="3"/>
      <c r="C46" s="13"/>
      <c r="D46" s="13"/>
    </row>
    <row r="47" spans="1:7" s="11" customFormat="1" ht="20.100000000000001" customHeight="1" x14ac:dyDescent="0.3">
      <c r="A47" s="1"/>
      <c r="B47" s="3"/>
      <c r="C47" s="13"/>
      <c r="D47" s="13"/>
    </row>
    <row r="48" spans="1:7" s="11" customFormat="1" ht="20.100000000000001" customHeight="1" x14ac:dyDescent="0.3">
      <c r="A48" s="1"/>
      <c r="B48" s="3"/>
      <c r="C48" s="13"/>
      <c r="D48" s="13"/>
    </row>
    <row r="49" spans="1:9" s="13" customFormat="1" ht="20.100000000000001" customHeight="1" x14ac:dyDescent="0.3">
      <c r="A49" s="1"/>
      <c r="B49" s="3"/>
      <c r="E49" s="11"/>
      <c r="F49" s="11"/>
      <c r="G49" s="11"/>
      <c r="H49" s="11"/>
      <c r="I49" s="11"/>
    </row>
    <row r="50" spans="1:9" s="13" customFormat="1" ht="20.100000000000001" customHeight="1" x14ac:dyDescent="0.3">
      <c r="A50" s="1"/>
      <c r="B50" s="3"/>
      <c r="E50" s="11"/>
      <c r="F50" s="11"/>
      <c r="G50" s="11"/>
      <c r="H50" s="11"/>
      <c r="I50" s="11"/>
    </row>
    <row r="51" spans="1:9" s="13" customFormat="1" ht="20.100000000000001" customHeight="1" x14ac:dyDescent="0.3">
      <c r="A51" s="1"/>
      <c r="B51" s="3"/>
      <c r="E51" s="11"/>
      <c r="F51" s="11"/>
      <c r="G51" s="11"/>
      <c r="H51" s="11"/>
      <c r="I51" s="11"/>
    </row>
    <row r="52" spans="1:9" ht="20.100000000000001" customHeight="1" x14ac:dyDescent="0.3"/>
    <row r="53" spans="1:9" ht="20.100000000000001" customHeight="1" x14ac:dyDescent="0.3"/>
    <row r="54" spans="1:9" ht="20.100000000000001" customHeight="1" x14ac:dyDescent="0.3"/>
    <row r="55" spans="1:9" ht="20.100000000000001" customHeight="1" x14ac:dyDescent="0.3"/>
  </sheetData>
  <pageMargins left="0.7" right="0.7" top="0.75" bottom="0.75" header="0.3" footer="0.3"/>
  <pageSetup scale="89" fitToHeight="0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I41"/>
  <sheetViews>
    <sheetView workbookViewId="0">
      <selection activeCell="D13" sqref="D13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18" style="6" customWidth="1"/>
    <col min="4" max="4" width="19.7109375" style="6" customWidth="1"/>
    <col min="5" max="7" width="9.140625" style="1"/>
    <col min="8" max="8" width="17.7109375" style="1" customWidth="1"/>
    <col min="9" max="16384" width="9.140625" style="1"/>
  </cols>
  <sheetData>
    <row r="1" spans="1:8" s="11" customFormat="1" ht="20.100000000000001" customHeight="1" x14ac:dyDescent="0.25">
      <c r="A1" s="11" t="s">
        <v>304</v>
      </c>
      <c r="B1" s="12"/>
      <c r="C1" s="13"/>
      <c r="D1" s="13"/>
    </row>
    <row r="2" spans="1:8" s="11" customFormat="1" ht="20.100000000000001" customHeight="1" x14ac:dyDescent="0.25">
      <c r="A2" s="14">
        <v>44074</v>
      </c>
      <c r="B2" s="12"/>
      <c r="C2" s="13"/>
      <c r="D2" s="13"/>
    </row>
    <row r="3" spans="1:8" s="11" customFormat="1" ht="20.100000000000001" customHeight="1" x14ac:dyDescent="0.25">
      <c r="A3" s="11" t="s">
        <v>311</v>
      </c>
      <c r="B3" s="12">
        <v>7510381</v>
      </c>
      <c r="C3" s="13"/>
      <c r="D3" s="13"/>
    </row>
    <row r="4" spans="1:8" s="11" customFormat="1" ht="20.100000000000001" customHeight="1" x14ac:dyDescent="0.25">
      <c r="A4" s="11" t="s">
        <v>6</v>
      </c>
      <c r="B4" s="12"/>
      <c r="C4" s="13"/>
      <c r="D4" s="13"/>
    </row>
    <row r="5" spans="1:8" s="11" customFormat="1" ht="20.100000000000001" customHeight="1" x14ac:dyDescent="0.25">
      <c r="A5" s="11">
        <v>2100</v>
      </c>
      <c r="B5" s="12">
        <v>-7633925</v>
      </c>
      <c r="C5" s="13"/>
      <c r="D5" s="13"/>
    </row>
    <row r="6" spans="1:8" s="11" customFormat="1" ht="20.100000000000001" customHeight="1" x14ac:dyDescent="0.25">
      <c r="A6" s="11" t="s">
        <v>5</v>
      </c>
      <c r="B6" s="12">
        <f>SUM(B5)</f>
        <v>-7633925</v>
      </c>
      <c r="C6" s="13"/>
      <c r="D6" s="13"/>
    </row>
    <row r="7" spans="1:8" s="11" customFormat="1" ht="20.100000000000001" customHeight="1" x14ac:dyDescent="0.25">
      <c r="A7" s="15" t="s">
        <v>4</v>
      </c>
      <c r="B7" s="16">
        <f>B6+B3</f>
        <v>-123544</v>
      </c>
      <c r="C7" s="13"/>
      <c r="D7" s="13"/>
    </row>
    <row r="8" spans="1:8" s="11" customFormat="1" ht="15.95" customHeight="1" x14ac:dyDescent="0.25">
      <c r="A8" s="11" t="s">
        <v>3</v>
      </c>
      <c r="B8" s="12"/>
      <c r="C8" s="44" t="s">
        <v>628</v>
      </c>
      <c r="D8" s="52" t="s">
        <v>626</v>
      </c>
    </row>
    <row r="9" spans="1:8" s="11" customFormat="1" ht="15.95" customHeight="1" x14ac:dyDescent="0.25">
      <c r="A9" s="11" t="s">
        <v>814</v>
      </c>
      <c r="B9" s="24">
        <v>-30763</v>
      </c>
      <c r="C9" s="56">
        <v>44074</v>
      </c>
      <c r="D9" s="51">
        <v>44076</v>
      </c>
      <c r="E9" s="55"/>
      <c r="F9" s="55"/>
      <c r="G9" s="55"/>
      <c r="H9" s="47"/>
    </row>
    <row r="10" spans="1:8" s="11" customFormat="1" ht="15.75" customHeight="1" x14ac:dyDescent="0.25">
      <c r="A10" s="11" t="s">
        <v>815</v>
      </c>
      <c r="B10" s="24">
        <v>-30820</v>
      </c>
      <c r="C10" s="32">
        <v>44074</v>
      </c>
      <c r="D10" s="53">
        <v>44076</v>
      </c>
      <c r="E10" s="55"/>
      <c r="F10" s="55"/>
      <c r="G10" s="55"/>
      <c r="H10" s="47"/>
    </row>
    <row r="11" spans="1:8" s="11" customFormat="1" ht="15.75" customHeight="1" x14ac:dyDescent="0.25">
      <c r="A11" s="11" t="s">
        <v>816</v>
      </c>
      <c r="B11" s="24">
        <v>-30878</v>
      </c>
      <c r="C11" s="32">
        <v>44074</v>
      </c>
      <c r="D11" s="53">
        <v>44076</v>
      </c>
      <c r="E11" s="54"/>
      <c r="F11" s="54"/>
      <c r="G11" s="54"/>
      <c r="H11" s="47"/>
    </row>
    <row r="12" spans="1:8" s="11" customFormat="1" ht="15.75" customHeight="1" x14ac:dyDescent="0.25">
      <c r="A12" s="11" t="s">
        <v>817</v>
      </c>
      <c r="B12" s="24">
        <v>-31083</v>
      </c>
      <c r="C12" s="32">
        <v>44074</v>
      </c>
      <c r="D12" s="53">
        <v>44076</v>
      </c>
      <c r="E12" s="54"/>
      <c r="F12" s="54"/>
      <c r="G12" s="54"/>
      <c r="H12" s="47"/>
    </row>
    <row r="13" spans="1:8" s="11" customFormat="1" ht="15.75" customHeight="1" x14ac:dyDescent="0.25">
      <c r="B13" s="24"/>
      <c r="C13" s="32"/>
      <c r="D13" s="53"/>
      <c r="E13" s="54"/>
      <c r="F13" s="54"/>
      <c r="G13" s="54"/>
      <c r="H13" s="47"/>
    </row>
    <row r="14" spans="1:8" s="11" customFormat="1" ht="15.75" customHeight="1" x14ac:dyDescent="0.25">
      <c r="B14" s="24"/>
      <c r="C14" s="32"/>
      <c r="D14" s="53"/>
      <c r="E14" s="54"/>
      <c r="F14" s="54"/>
      <c r="G14" s="54"/>
      <c r="H14" s="47"/>
    </row>
    <row r="15" spans="1:8" s="11" customFormat="1" ht="15.75" customHeight="1" x14ac:dyDescent="0.25">
      <c r="B15" s="24"/>
      <c r="C15" s="32"/>
      <c r="D15" s="53"/>
      <c r="E15" s="54"/>
      <c r="F15" s="54"/>
      <c r="G15" s="54"/>
      <c r="H15" s="47"/>
    </row>
    <row r="16" spans="1:8" s="11" customFormat="1" ht="15.75" customHeight="1" x14ac:dyDescent="0.25">
      <c r="B16" s="24"/>
      <c r="C16" s="32"/>
      <c r="D16" s="53"/>
      <c r="E16" s="54"/>
      <c r="F16" s="54"/>
      <c r="G16" s="54"/>
      <c r="H16" s="47"/>
    </row>
    <row r="17" spans="1:8" s="11" customFormat="1" ht="15.75" customHeight="1" x14ac:dyDescent="0.25">
      <c r="B17" s="24"/>
      <c r="C17" s="32"/>
      <c r="D17" s="29"/>
      <c r="E17" s="54"/>
      <c r="F17" s="54"/>
      <c r="G17" s="54"/>
      <c r="H17" s="47"/>
    </row>
    <row r="18" spans="1:8" s="11" customFormat="1" ht="15.75" customHeight="1" x14ac:dyDescent="0.25">
      <c r="B18" s="24"/>
      <c r="C18" s="42"/>
      <c r="D18" s="53"/>
      <c r="E18" s="54"/>
      <c r="F18" s="54"/>
      <c r="G18" s="54"/>
      <c r="H18" s="47"/>
    </row>
    <row r="19" spans="1:8" s="11" customFormat="1" ht="15.95" customHeight="1" x14ac:dyDescent="0.25">
      <c r="B19" s="24">
        <f>SUM(B9:B18)</f>
        <v>-123544</v>
      </c>
      <c r="C19" s="18"/>
      <c r="D19" s="19"/>
      <c r="E19" s="19"/>
      <c r="F19" s="19"/>
      <c r="G19" s="19"/>
    </row>
    <row r="20" spans="1:8" s="11" customFormat="1" ht="15.95" customHeight="1" x14ac:dyDescent="0.25">
      <c r="A20" s="11" t="s">
        <v>2</v>
      </c>
      <c r="B20" s="24"/>
      <c r="C20" s="30" t="s">
        <v>702</v>
      </c>
      <c r="D20" s="52" t="s">
        <v>628</v>
      </c>
    </row>
    <row r="21" spans="1:8" s="11" customFormat="1" ht="15.95" customHeight="1" x14ac:dyDescent="0.25">
      <c r="A21" s="39"/>
      <c r="B21" s="46"/>
      <c r="C21" s="42"/>
      <c r="D21" s="29"/>
      <c r="E21" s="39"/>
      <c r="F21" s="39"/>
    </row>
    <row r="22" spans="1:8" s="11" customFormat="1" ht="15.95" customHeight="1" x14ac:dyDescent="0.25">
      <c r="A22" s="39"/>
      <c r="B22" s="46"/>
      <c r="C22" s="42"/>
      <c r="D22" s="29"/>
      <c r="E22" s="39"/>
      <c r="F22" s="39"/>
    </row>
    <row r="23" spans="1:8" s="11" customFormat="1" ht="15.95" customHeight="1" x14ac:dyDescent="0.25">
      <c r="A23" s="39"/>
      <c r="B23" s="46"/>
      <c r="C23" s="42"/>
      <c r="D23" s="29"/>
      <c r="E23" s="39"/>
      <c r="F23" s="39"/>
    </row>
    <row r="24" spans="1:8" s="11" customFormat="1" ht="15.75" customHeight="1" x14ac:dyDescent="0.25">
      <c r="A24" s="39"/>
      <c r="B24" s="46"/>
      <c r="C24" s="42"/>
      <c r="D24" s="29"/>
      <c r="E24" s="39"/>
      <c r="F24" s="39"/>
    </row>
    <row r="25" spans="1:8" s="11" customFormat="1" ht="15.75" customHeight="1" x14ac:dyDescent="0.25">
      <c r="A25" s="39"/>
      <c r="B25" s="46"/>
      <c r="C25" s="19"/>
      <c r="D25" s="29"/>
      <c r="E25" s="39"/>
      <c r="F25" s="39"/>
    </row>
    <row r="26" spans="1:8" s="11" customFormat="1" ht="15.95" customHeight="1" x14ac:dyDescent="0.25">
      <c r="B26" s="24">
        <f>SUM(B21:B25)</f>
        <v>0</v>
      </c>
      <c r="C26" s="13"/>
      <c r="D26" s="13"/>
    </row>
    <row r="27" spans="1:8" s="11" customFormat="1" ht="15.95" customHeight="1" x14ac:dyDescent="0.25">
      <c r="A27" s="11" t="s">
        <v>1</v>
      </c>
      <c r="B27" s="12">
        <f>B26+B19</f>
        <v>-123544</v>
      </c>
      <c r="C27" s="13"/>
      <c r="D27" s="13"/>
    </row>
    <row r="28" spans="1:8" s="11" customFormat="1" ht="15.95" customHeight="1" x14ac:dyDescent="0.25">
      <c r="A28" s="15" t="s">
        <v>0</v>
      </c>
      <c r="B28" s="16">
        <f>B27-B7</f>
        <v>0</v>
      </c>
      <c r="C28" s="13"/>
      <c r="D28" s="13"/>
    </row>
    <row r="29" spans="1:8" s="11" customFormat="1" ht="15.95" customHeight="1" x14ac:dyDescent="0.25">
      <c r="B29" s="12"/>
      <c r="C29" s="13"/>
      <c r="D29" s="13"/>
    </row>
    <row r="30" spans="1:8" s="11" customFormat="1" ht="20.100000000000001" customHeight="1" x14ac:dyDescent="0.3">
      <c r="A30" s="1"/>
      <c r="B30" s="3"/>
      <c r="C30" s="13"/>
      <c r="D30" s="13"/>
    </row>
    <row r="31" spans="1:8" s="11" customFormat="1" ht="20.100000000000001" customHeight="1" x14ac:dyDescent="0.3">
      <c r="A31" s="1"/>
      <c r="B31" s="3"/>
      <c r="C31" s="13"/>
      <c r="D31" s="13"/>
    </row>
    <row r="32" spans="1:8" s="11" customFormat="1" ht="20.100000000000001" customHeight="1" x14ac:dyDescent="0.3">
      <c r="A32" s="1"/>
      <c r="B32" s="3"/>
      <c r="C32" s="13"/>
      <c r="D32" s="13"/>
    </row>
    <row r="33" spans="1:9" s="11" customFormat="1" ht="20.100000000000001" customHeight="1" x14ac:dyDescent="0.3">
      <c r="A33" s="1"/>
      <c r="B33" s="3"/>
      <c r="C33" s="13"/>
      <c r="D33" s="13"/>
    </row>
    <row r="34" spans="1:9" s="11" customFormat="1" ht="20.100000000000001" customHeight="1" x14ac:dyDescent="0.3">
      <c r="A34" s="1"/>
      <c r="B34" s="3"/>
      <c r="C34" s="13"/>
      <c r="D34" s="13"/>
    </row>
    <row r="35" spans="1:9" s="13" customFormat="1" ht="20.100000000000001" customHeight="1" x14ac:dyDescent="0.3">
      <c r="A35" s="1"/>
      <c r="B35" s="3"/>
      <c r="E35" s="11"/>
      <c r="F35" s="11"/>
      <c r="G35" s="11"/>
      <c r="H35" s="11"/>
      <c r="I35" s="11"/>
    </row>
    <row r="36" spans="1:9" s="13" customFormat="1" ht="20.100000000000001" customHeight="1" x14ac:dyDescent="0.3">
      <c r="A36" s="1"/>
      <c r="B36" s="3"/>
      <c r="E36" s="11"/>
      <c r="F36" s="11"/>
      <c r="G36" s="11"/>
      <c r="H36" s="11"/>
      <c r="I36" s="11"/>
    </row>
    <row r="37" spans="1:9" s="13" customFormat="1" ht="20.100000000000001" customHeight="1" x14ac:dyDescent="0.3">
      <c r="A37" s="1"/>
      <c r="B37" s="3"/>
      <c r="E37" s="11"/>
      <c r="F37" s="11"/>
      <c r="G37" s="11"/>
      <c r="H37" s="11"/>
      <c r="I37" s="11"/>
    </row>
    <row r="38" spans="1:9" ht="20.100000000000001" customHeight="1" x14ac:dyDescent="0.3"/>
    <row r="39" spans="1:9" ht="20.100000000000001" customHeight="1" x14ac:dyDescent="0.3"/>
    <row r="40" spans="1:9" ht="20.100000000000001" customHeight="1" x14ac:dyDescent="0.3"/>
    <row r="41" spans="1:9" ht="20.100000000000001" customHeight="1" x14ac:dyDescent="0.3"/>
  </sheetData>
  <pageMargins left="0.7" right="0.7" top="0.75" bottom="0.75" header="0.3" footer="0.3"/>
  <pageSetup scale="89" fitToHeight="0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I41"/>
  <sheetViews>
    <sheetView workbookViewId="0">
      <selection activeCell="D16" sqref="D16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18" style="6" customWidth="1"/>
    <col min="4" max="4" width="19.7109375" style="6" customWidth="1"/>
    <col min="5" max="7" width="9.140625" style="1"/>
    <col min="8" max="8" width="17.7109375" style="1" customWidth="1"/>
    <col min="9" max="16384" width="9.140625" style="1"/>
  </cols>
  <sheetData>
    <row r="1" spans="1:8" s="11" customFormat="1" ht="20.100000000000001" customHeight="1" x14ac:dyDescent="0.25">
      <c r="A1" s="11" t="s">
        <v>304</v>
      </c>
      <c r="B1" s="12"/>
      <c r="C1" s="13"/>
      <c r="D1" s="13"/>
    </row>
    <row r="2" spans="1:8" s="11" customFormat="1" ht="20.100000000000001" customHeight="1" x14ac:dyDescent="0.25">
      <c r="A2" s="14">
        <v>44104</v>
      </c>
      <c r="B2" s="12"/>
      <c r="C2" s="13"/>
      <c r="D2" s="13"/>
    </row>
    <row r="3" spans="1:8" s="11" customFormat="1" ht="20.100000000000001" customHeight="1" x14ac:dyDescent="0.25">
      <c r="A3" s="11" t="s">
        <v>311</v>
      </c>
      <c r="B3" s="12">
        <v>9589893</v>
      </c>
      <c r="C3" s="13"/>
      <c r="D3" s="13"/>
    </row>
    <row r="4" spans="1:8" s="11" customFormat="1" ht="20.100000000000001" customHeight="1" x14ac:dyDescent="0.25">
      <c r="A4" s="11" t="s">
        <v>6</v>
      </c>
      <c r="B4" s="12"/>
      <c r="C4" s="13"/>
      <c r="D4" s="13"/>
    </row>
    <row r="5" spans="1:8" s="11" customFormat="1" ht="20.100000000000001" customHeight="1" x14ac:dyDescent="0.25">
      <c r="A5" s="11">
        <v>2100</v>
      </c>
      <c r="B5" s="12">
        <v>-9837071</v>
      </c>
      <c r="C5" s="13"/>
      <c r="D5" s="13"/>
    </row>
    <row r="6" spans="1:8" s="11" customFormat="1" ht="20.100000000000001" customHeight="1" x14ac:dyDescent="0.25">
      <c r="A6" s="11" t="s">
        <v>5</v>
      </c>
      <c r="B6" s="12">
        <f>SUM(B5)</f>
        <v>-9837071</v>
      </c>
      <c r="C6" s="13"/>
      <c r="D6" s="13"/>
    </row>
    <row r="7" spans="1:8" s="11" customFormat="1" ht="20.100000000000001" customHeight="1" x14ac:dyDescent="0.25">
      <c r="A7" s="15" t="s">
        <v>4</v>
      </c>
      <c r="B7" s="16">
        <f>B6+B3</f>
        <v>-247178</v>
      </c>
      <c r="C7" s="13"/>
      <c r="D7" s="13"/>
    </row>
    <row r="8" spans="1:8" s="11" customFormat="1" ht="15.95" customHeight="1" x14ac:dyDescent="0.25">
      <c r="A8" s="11" t="s">
        <v>3</v>
      </c>
      <c r="B8" s="12"/>
      <c r="C8" s="44" t="s">
        <v>628</v>
      </c>
      <c r="D8" s="52" t="s">
        <v>626</v>
      </c>
    </row>
    <row r="9" spans="1:8" s="11" customFormat="1" ht="15.95" customHeight="1" x14ac:dyDescent="0.25">
      <c r="A9" s="11" t="s">
        <v>818</v>
      </c>
      <c r="B9" s="24">
        <v>-20840</v>
      </c>
      <c r="C9" s="56">
        <v>44104</v>
      </c>
      <c r="D9" s="51">
        <v>44105</v>
      </c>
      <c r="E9" s="55"/>
      <c r="F9" s="55"/>
      <c r="G9" s="55"/>
      <c r="H9" s="47"/>
    </row>
    <row r="10" spans="1:8" s="11" customFormat="1" ht="15.75" customHeight="1" x14ac:dyDescent="0.25">
      <c r="A10" s="11" t="s">
        <v>819</v>
      </c>
      <c r="B10" s="24">
        <v>-22656</v>
      </c>
      <c r="C10" s="32">
        <v>44104</v>
      </c>
      <c r="D10" s="53">
        <v>44105</v>
      </c>
      <c r="E10" s="55"/>
      <c r="F10" s="55"/>
      <c r="G10" s="55"/>
      <c r="H10" s="47"/>
    </row>
    <row r="11" spans="1:8" s="11" customFormat="1" ht="15.75" customHeight="1" x14ac:dyDescent="0.25">
      <c r="A11" s="11" t="s">
        <v>820</v>
      </c>
      <c r="B11" s="24">
        <v>-25700</v>
      </c>
      <c r="C11" s="32">
        <v>44104</v>
      </c>
      <c r="D11" s="53">
        <v>44105</v>
      </c>
      <c r="E11" s="54"/>
      <c r="F11" s="54"/>
      <c r="G11" s="54"/>
      <c r="H11" s="47"/>
    </row>
    <row r="12" spans="1:8" s="11" customFormat="1" ht="15.75" customHeight="1" x14ac:dyDescent="0.25">
      <c r="A12" s="11" t="s">
        <v>821</v>
      </c>
      <c r="B12" s="24">
        <v>-31700</v>
      </c>
      <c r="C12" s="32">
        <v>44104</v>
      </c>
      <c r="D12" s="53">
        <v>44105</v>
      </c>
      <c r="E12" s="54"/>
      <c r="F12" s="54"/>
      <c r="G12" s="54"/>
      <c r="H12" s="47"/>
    </row>
    <row r="13" spans="1:8" s="11" customFormat="1" ht="15.75" customHeight="1" x14ac:dyDescent="0.25">
      <c r="A13" s="11" t="s">
        <v>822</v>
      </c>
      <c r="B13" s="24">
        <v>-35434</v>
      </c>
      <c r="C13" s="32">
        <v>44104</v>
      </c>
      <c r="D13" s="53">
        <v>44105</v>
      </c>
      <c r="E13" s="54"/>
      <c r="F13" s="54"/>
      <c r="G13" s="54"/>
      <c r="H13" s="47"/>
    </row>
    <row r="14" spans="1:8" s="11" customFormat="1" ht="15.75" customHeight="1" x14ac:dyDescent="0.25">
      <c r="A14" s="11" t="s">
        <v>823</v>
      </c>
      <c r="B14" s="24">
        <v>-36694</v>
      </c>
      <c r="C14" s="32">
        <v>44104</v>
      </c>
      <c r="D14" s="53">
        <v>44105</v>
      </c>
      <c r="E14" s="54"/>
      <c r="F14" s="54"/>
      <c r="G14" s="54"/>
      <c r="H14" s="47"/>
    </row>
    <row r="15" spans="1:8" s="11" customFormat="1" ht="15.75" customHeight="1" x14ac:dyDescent="0.25">
      <c r="A15" s="11" t="s">
        <v>824</v>
      </c>
      <c r="B15" s="24">
        <v>-37034</v>
      </c>
      <c r="C15" s="32">
        <v>44104</v>
      </c>
      <c r="D15" s="53">
        <v>44105</v>
      </c>
      <c r="E15" s="54"/>
      <c r="F15" s="54"/>
      <c r="G15" s="54"/>
      <c r="H15" s="47"/>
    </row>
    <row r="16" spans="1:8" s="11" customFormat="1" ht="15.75" customHeight="1" x14ac:dyDescent="0.25">
      <c r="A16" s="11" t="s">
        <v>825</v>
      </c>
      <c r="B16" s="24">
        <v>-37120</v>
      </c>
      <c r="C16" s="32">
        <v>44104</v>
      </c>
      <c r="D16" s="53">
        <v>44105</v>
      </c>
      <c r="E16" s="54"/>
      <c r="F16" s="54"/>
      <c r="G16" s="54"/>
      <c r="H16" s="47"/>
    </row>
    <row r="17" spans="1:8" s="11" customFormat="1" ht="15.75" customHeight="1" x14ac:dyDescent="0.25">
      <c r="B17" s="24"/>
      <c r="C17" s="32"/>
      <c r="D17" s="29"/>
      <c r="E17" s="54"/>
      <c r="F17" s="54"/>
      <c r="G17" s="54"/>
      <c r="H17" s="47"/>
    </row>
    <row r="18" spans="1:8" s="11" customFormat="1" ht="15.75" customHeight="1" x14ac:dyDescent="0.25">
      <c r="B18" s="24"/>
      <c r="C18" s="42"/>
      <c r="D18" s="53"/>
      <c r="E18" s="54"/>
      <c r="F18" s="54"/>
      <c r="G18" s="54"/>
      <c r="H18" s="47"/>
    </row>
    <row r="19" spans="1:8" s="11" customFormat="1" ht="15.95" customHeight="1" x14ac:dyDescent="0.25">
      <c r="B19" s="24">
        <f>SUM(B9:B18)</f>
        <v>-247178</v>
      </c>
      <c r="C19" s="18"/>
      <c r="D19" s="19"/>
      <c r="E19" s="19"/>
      <c r="F19" s="19"/>
      <c r="G19" s="19"/>
    </row>
    <row r="20" spans="1:8" s="11" customFormat="1" ht="15.95" customHeight="1" x14ac:dyDescent="0.25">
      <c r="A20" s="11" t="s">
        <v>2</v>
      </c>
      <c r="B20" s="24"/>
      <c r="C20" s="30" t="s">
        <v>702</v>
      </c>
      <c r="D20" s="52" t="s">
        <v>628</v>
      </c>
    </row>
    <row r="21" spans="1:8" s="11" customFormat="1" ht="15.95" customHeight="1" x14ac:dyDescent="0.25">
      <c r="A21" s="39"/>
      <c r="B21" s="46"/>
      <c r="C21" s="42"/>
      <c r="D21" s="29"/>
      <c r="E21" s="39"/>
      <c r="F21" s="39"/>
    </row>
    <row r="22" spans="1:8" s="11" customFormat="1" ht="15.95" customHeight="1" x14ac:dyDescent="0.25">
      <c r="A22" s="39"/>
      <c r="B22" s="46"/>
      <c r="C22" s="42"/>
      <c r="D22" s="29"/>
      <c r="E22" s="39"/>
      <c r="F22" s="39"/>
    </row>
    <row r="23" spans="1:8" s="11" customFormat="1" ht="15.95" customHeight="1" x14ac:dyDescent="0.25">
      <c r="A23" s="39"/>
      <c r="B23" s="46"/>
      <c r="C23" s="42"/>
      <c r="D23" s="29"/>
      <c r="E23" s="39"/>
      <c r="F23" s="39"/>
    </row>
    <row r="24" spans="1:8" s="11" customFormat="1" ht="15.75" customHeight="1" x14ac:dyDescent="0.25">
      <c r="A24" s="39"/>
      <c r="B24" s="46"/>
      <c r="C24" s="42"/>
      <c r="D24" s="29"/>
      <c r="E24" s="39"/>
      <c r="F24" s="39"/>
    </row>
    <row r="25" spans="1:8" s="11" customFormat="1" ht="15.75" customHeight="1" x14ac:dyDescent="0.25">
      <c r="A25" s="39"/>
      <c r="B25" s="46"/>
      <c r="C25" s="19"/>
      <c r="D25" s="29"/>
      <c r="E25" s="39"/>
      <c r="F25" s="39"/>
    </row>
    <row r="26" spans="1:8" s="11" customFormat="1" ht="15.95" customHeight="1" x14ac:dyDescent="0.25">
      <c r="B26" s="24">
        <f>SUM(B21:B25)</f>
        <v>0</v>
      </c>
      <c r="C26" s="13"/>
      <c r="D26" s="13"/>
    </row>
    <row r="27" spans="1:8" s="11" customFormat="1" ht="15.95" customHeight="1" x14ac:dyDescent="0.25">
      <c r="A27" s="11" t="s">
        <v>1</v>
      </c>
      <c r="B27" s="12">
        <f>B26+B19</f>
        <v>-247178</v>
      </c>
      <c r="C27" s="13"/>
      <c r="D27" s="13"/>
    </row>
    <row r="28" spans="1:8" s="11" customFormat="1" ht="15.95" customHeight="1" x14ac:dyDescent="0.25">
      <c r="A28" s="15" t="s">
        <v>0</v>
      </c>
      <c r="B28" s="16">
        <f>B27-B7</f>
        <v>0</v>
      </c>
      <c r="C28" s="13"/>
      <c r="D28" s="13"/>
    </row>
    <row r="29" spans="1:8" s="11" customFormat="1" ht="15.95" customHeight="1" x14ac:dyDescent="0.25">
      <c r="B29" s="12"/>
      <c r="C29" s="13"/>
      <c r="D29" s="13"/>
    </row>
    <row r="30" spans="1:8" s="11" customFormat="1" ht="20.100000000000001" customHeight="1" x14ac:dyDescent="0.3">
      <c r="A30" s="1"/>
      <c r="B30" s="3"/>
      <c r="C30" s="13"/>
      <c r="D30" s="13"/>
    </row>
    <row r="31" spans="1:8" s="11" customFormat="1" ht="20.100000000000001" customHeight="1" x14ac:dyDescent="0.3">
      <c r="A31" s="1"/>
      <c r="B31" s="3"/>
      <c r="C31" s="13"/>
      <c r="D31" s="13"/>
    </row>
    <row r="32" spans="1:8" s="11" customFormat="1" ht="20.100000000000001" customHeight="1" x14ac:dyDescent="0.3">
      <c r="A32" s="1"/>
      <c r="B32" s="3"/>
      <c r="C32" s="13"/>
      <c r="D32" s="13"/>
    </row>
    <row r="33" spans="1:9" s="11" customFormat="1" ht="20.100000000000001" customHeight="1" x14ac:dyDescent="0.3">
      <c r="A33" s="1"/>
      <c r="B33" s="3"/>
      <c r="C33" s="13"/>
      <c r="D33" s="13"/>
    </row>
    <row r="34" spans="1:9" s="11" customFormat="1" ht="20.100000000000001" customHeight="1" x14ac:dyDescent="0.3">
      <c r="A34" s="1"/>
      <c r="B34" s="3"/>
      <c r="C34" s="13"/>
      <c r="D34" s="13"/>
    </row>
    <row r="35" spans="1:9" s="13" customFormat="1" ht="20.100000000000001" customHeight="1" x14ac:dyDescent="0.3">
      <c r="A35" s="1"/>
      <c r="B35" s="3"/>
      <c r="E35" s="11"/>
      <c r="F35" s="11"/>
      <c r="G35" s="11"/>
      <c r="H35" s="11"/>
      <c r="I35" s="11"/>
    </row>
    <row r="36" spans="1:9" s="13" customFormat="1" ht="20.100000000000001" customHeight="1" x14ac:dyDescent="0.3">
      <c r="A36" s="1"/>
      <c r="B36" s="3"/>
      <c r="E36" s="11"/>
      <c r="F36" s="11"/>
      <c r="G36" s="11"/>
      <c r="H36" s="11"/>
      <c r="I36" s="11"/>
    </row>
    <row r="37" spans="1:9" s="13" customFormat="1" ht="20.100000000000001" customHeight="1" x14ac:dyDescent="0.3">
      <c r="A37" s="1"/>
      <c r="B37" s="3"/>
      <c r="E37" s="11"/>
      <c r="F37" s="11"/>
      <c r="G37" s="11"/>
      <c r="H37" s="11"/>
      <c r="I37" s="11"/>
    </row>
    <row r="38" spans="1:9" ht="20.100000000000001" customHeight="1" x14ac:dyDescent="0.3"/>
    <row r="39" spans="1:9" ht="20.100000000000001" customHeight="1" x14ac:dyDescent="0.3"/>
    <row r="40" spans="1:9" ht="20.100000000000001" customHeight="1" x14ac:dyDescent="0.3"/>
    <row r="41" spans="1:9" ht="20.100000000000001" customHeight="1" x14ac:dyDescent="0.3"/>
  </sheetData>
  <pageMargins left="0.7" right="0.7" top="0.75" bottom="0.75" header="0.3" footer="0.3"/>
  <pageSetup fitToHeight="0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A1:I47"/>
  <sheetViews>
    <sheetView topLeftCell="A16" workbookViewId="0">
      <selection activeCell="A12" sqref="A12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18.7109375" style="6" customWidth="1"/>
    <col min="4" max="4" width="19.7109375" style="6" customWidth="1"/>
    <col min="5" max="7" width="9.140625" style="1"/>
    <col min="8" max="8" width="17.7109375" style="1" customWidth="1"/>
    <col min="9" max="16384" width="9.140625" style="1"/>
  </cols>
  <sheetData>
    <row r="1" spans="1:8" s="11" customFormat="1" ht="20.100000000000001" customHeight="1" x14ac:dyDescent="0.25">
      <c r="A1" s="11" t="s">
        <v>304</v>
      </c>
      <c r="B1" s="12"/>
      <c r="C1" s="13"/>
      <c r="D1" s="13"/>
    </row>
    <row r="2" spans="1:8" s="11" customFormat="1" ht="20.100000000000001" customHeight="1" x14ac:dyDescent="0.25">
      <c r="A2" s="14">
        <v>44135</v>
      </c>
      <c r="B2" s="12"/>
      <c r="C2" s="13"/>
      <c r="D2" s="13"/>
    </row>
    <row r="3" spans="1:8" s="11" customFormat="1" ht="20.100000000000001" customHeight="1" x14ac:dyDescent="0.25">
      <c r="A3" s="11" t="s">
        <v>311</v>
      </c>
      <c r="B3" s="12">
        <v>10802097</v>
      </c>
      <c r="C3" s="13"/>
      <c r="D3" s="13"/>
    </row>
    <row r="4" spans="1:8" s="11" customFormat="1" ht="20.100000000000001" customHeight="1" x14ac:dyDescent="0.25">
      <c r="A4" s="11" t="s">
        <v>6</v>
      </c>
      <c r="B4" s="12"/>
      <c r="C4" s="13"/>
      <c r="D4" s="13"/>
    </row>
    <row r="5" spans="1:8" s="11" customFormat="1" ht="20.100000000000001" customHeight="1" x14ac:dyDescent="0.25">
      <c r="A5" s="11">
        <v>2100</v>
      </c>
      <c r="B5" s="12">
        <v>-10980656</v>
      </c>
      <c r="C5" s="13"/>
      <c r="D5" s="13"/>
    </row>
    <row r="6" spans="1:8" s="11" customFormat="1" ht="20.100000000000001" customHeight="1" x14ac:dyDescent="0.25">
      <c r="A6" s="11" t="s">
        <v>5</v>
      </c>
      <c r="B6" s="12">
        <f>SUM(B5)</f>
        <v>-10980656</v>
      </c>
      <c r="C6" s="13"/>
      <c r="D6" s="13"/>
    </row>
    <row r="7" spans="1:8" s="11" customFormat="1" ht="20.100000000000001" customHeight="1" x14ac:dyDescent="0.25">
      <c r="A7" s="15" t="s">
        <v>4</v>
      </c>
      <c r="B7" s="16">
        <f>B6+B3</f>
        <v>-178559</v>
      </c>
      <c r="C7" s="13"/>
      <c r="D7" s="13"/>
    </row>
    <row r="8" spans="1:8" s="11" customFormat="1" ht="15.95" customHeight="1" x14ac:dyDescent="0.25">
      <c r="A8" s="11" t="s">
        <v>3</v>
      </c>
      <c r="B8" s="12"/>
      <c r="C8" s="44" t="s">
        <v>628</v>
      </c>
      <c r="D8" s="52" t="s">
        <v>626</v>
      </c>
    </row>
    <row r="9" spans="1:8" s="11" customFormat="1" ht="15.95" customHeight="1" x14ac:dyDescent="0.25">
      <c r="A9" s="11" t="s">
        <v>831</v>
      </c>
      <c r="B9" s="12">
        <v>-21352</v>
      </c>
      <c r="C9" s="33" t="s">
        <v>838</v>
      </c>
      <c r="D9" s="13" t="s">
        <v>839</v>
      </c>
    </row>
    <row r="10" spans="1:8" s="11" customFormat="1" ht="15.95" customHeight="1" x14ac:dyDescent="0.25">
      <c r="A10" s="11" t="s">
        <v>832</v>
      </c>
      <c r="B10" s="12">
        <v>-21352</v>
      </c>
      <c r="C10" s="33" t="s">
        <v>838</v>
      </c>
      <c r="D10" s="13" t="s">
        <v>839</v>
      </c>
    </row>
    <row r="11" spans="1:8" s="11" customFormat="1" ht="15.95" customHeight="1" x14ac:dyDescent="0.25">
      <c r="A11" s="11" t="s">
        <v>843</v>
      </c>
      <c r="B11" s="24">
        <v>-28139</v>
      </c>
      <c r="C11" s="57">
        <v>44133</v>
      </c>
      <c r="D11" s="51">
        <v>44137</v>
      </c>
      <c r="E11" s="55"/>
      <c r="F11" s="55"/>
      <c r="G11" s="55"/>
      <c r="H11" s="47"/>
    </row>
    <row r="12" spans="1:8" s="11" customFormat="1" ht="15.75" customHeight="1" x14ac:dyDescent="0.25">
      <c r="A12" s="11" t="s">
        <v>826</v>
      </c>
      <c r="B12" s="24">
        <v>-28829</v>
      </c>
      <c r="C12" s="32">
        <v>44133</v>
      </c>
      <c r="D12" s="53">
        <v>44137</v>
      </c>
      <c r="E12" s="55"/>
      <c r="F12" s="55"/>
      <c r="G12" s="55"/>
      <c r="H12" s="47"/>
    </row>
    <row r="13" spans="1:8" s="11" customFormat="1" ht="15.75" customHeight="1" x14ac:dyDescent="0.25">
      <c r="A13" s="11" t="s">
        <v>827</v>
      </c>
      <c r="B13" s="24">
        <v>-30852</v>
      </c>
      <c r="C13" s="32">
        <v>44133</v>
      </c>
      <c r="D13" s="53">
        <v>44137</v>
      </c>
      <c r="E13" s="54"/>
      <c r="F13" s="54"/>
      <c r="G13" s="54"/>
      <c r="H13" s="47"/>
    </row>
    <row r="14" spans="1:8" s="11" customFormat="1" ht="15.75" customHeight="1" x14ac:dyDescent="0.25">
      <c r="A14" s="11" t="s">
        <v>835</v>
      </c>
      <c r="B14" s="24">
        <v>-31183</v>
      </c>
      <c r="C14" s="32" t="s">
        <v>842</v>
      </c>
      <c r="D14" s="53">
        <v>44131</v>
      </c>
      <c r="E14" s="54"/>
      <c r="F14" s="54"/>
      <c r="G14" s="54"/>
      <c r="H14" s="47"/>
    </row>
    <row r="15" spans="1:8" s="11" customFormat="1" ht="15.75" customHeight="1" x14ac:dyDescent="0.25">
      <c r="A15" s="11" t="s">
        <v>828</v>
      </c>
      <c r="B15" s="24">
        <v>-33711</v>
      </c>
      <c r="C15" s="32">
        <v>44134</v>
      </c>
      <c r="D15" s="53">
        <v>44137</v>
      </c>
      <c r="E15" s="54"/>
      <c r="F15" s="54"/>
      <c r="G15" s="54"/>
      <c r="H15" s="47"/>
    </row>
    <row r="16" spans="1:8" s="11" customFormat="1" ht="15.75" customHeight="1" x14ac:dyDescent="0.25">
      <c r="A16" s="11" t="s">
        <v>829</v>
      </c>
      <c r="B16" s="24">
        <v>-37206</v>
      </c>
      <c r="C16" s="32">
        <v>44133</v>
      </c>
      <c r="D16" s="53">
        <v>44137</v>
      </c>
      <c r="E16" s="54"/>
      <c r="F16" s="54"/>
      <c r="G16" s="54"/>
      <c r="H16" s="47"/>
    </row>
    <row r="17" spans="1:8" s="11" customFormat="1" ht="15.75" customHeight="1" x14ac:dyDescent="0.25">
      <c r="A17" s="11" t="s">
        <v>830</v>
      </c>
      <c r="B17" s="24">
        <v>-41201</v>
      </c>
      <c r="C17" s="32">
        <v>44133</v>
      </c>
      <c r="D17" s="53">
        <v>44137</v>
      </c>
      <c r="E17" s="54"/>
      <c r="F17" s="54"/>
      <c r="G17" s="54"/>
      <c r="H17" s="47"/>
    </row>
    <row r="18" spans="1:8" s="11" customFormat="1" ht="15.75" customHeight="1" x14ac:dyDescent="0.25">
      <c r="B18" s="24"/>
      <c r="C18" s="32"/>
      <c r="D18" s="53"/>
      <c r="E18" s="54"/>
      <c r="F18" s="54"/>
      <c r="G18" s="54"/>
      <c r="H18" s="47"/>
    </row>
    <row r="19" spans="1:8" s="11" customFormat="1" ht="15.75" customHeight="1" x14ac:dyDescent="0.25">
      <c r="B19" s="24"/>
      <c r="C19" s="32"/>
      <c r="D19" s="53"/>
      <c r="E19" s="54"/>
      <c r="F19" s="54"/>
      <c r="G19" s="54"/>
      <c r="H19" s="47"/>
    </row>
    <row r="20" spans="1:8" s="11" customFormat="1" ht="15.75" customHeight="1" x14ac:dyDescent="0.25">
      <c r="B20" s="24"/>
      <c r="C20" s="32"/>
      <c r="D20" s="29"/>
      <c r="E20" s="54"/>
      <c r="F20" s="54"/>
      <c r="G20" s="54"/>
      <c r="H20" s="47"/>
    </row>
    <row r="21" spans="1:8" s="11" customFormat="1" ht="15.75" customHeight="1" x14ac:dyDescent="0.25">
      <c r="B21" s="24"/>
      <c r="C21" s="42"/>
      <c r="D21" s="53"/>
      <c r="E21" s="54"/>
      <c r="F21" s="54"/>
      <c r="G21" s="54"/>
      <c r="H21" s="47"/>
    </row>
    <row r="22" spans="1:8" s="11" customFormat="1" ht="15.95" customHeight="1" x14ac:dyDescent="0.25">
      <c r="B22" s="24">
        <f>SUM(B9:B21)</f>
        <v>-273825</v>
      </c>
      <c r="C22" s="18"/>
      <c r="D22" s="19"/>
      <c r="E22" s="19"/>
      <c r="F22" s="19"/>
      <c r="G22" s="19"/>
    </row>
    <row r="23" spans="1:8" s="11" customFormat="1" ht="15.95" customHeight="1" x14ac:dyDescent="0.25">
      <c r="A23" s="11" t="s">
        <v>2</v>
      </c>
      <c r="B23" s="24"/>
      <c r="C23" s="30" t="s">
        <v>702</v>
      </c>
      <c r="D23" s="52" t="s">
        <v>628</v>
      </c>
    </row>
    <row r="24" spans="1:8" s="11" customFormat="1" ht="15.95" customHeight="1" x14ac:dyDescent="0.25">
      <c r="A24" s="39" t="s">
        <v>837</v>
      </c>
      <c r="B24" s="46">
        <v>20674</v>
      </c>
      <c r="C24" s="42">
        <v>44126</v>
      </c>
      <c r="D24" s="29">
        <v>44144</v>
      </c>
      <c r="E24" s="39"/>
      <c r="F24" s="39"/>
    </row>
    <row r="25" spans="1:8" s="11" customFormat="1" ht="15.95" customHeight="1" x14ac:dyDescent="0.25">
      <c r="A25" s="39" t="s">
        <v>833</v>
      </c>
      <c r="B25" s="46">
        <v>21677</v>
      </c>
      <c r="C25" s="33" t="s">
        <v>838</v>
      </c>
      <c r="D25" s="29" t="s">
        <v>840</v>
      </c>
      <c r="E25" s="39"/>
      <c r="F25" s="39"/>
    </row>
    <row r="26" spans="1:8" s="11" customFormat="1" ht="15.95" customHeight="1" x14ac:dyDescent="0.25">
      <c r="A26" s="39" t="s">
        <v>834</v>
      </c>
      <c r="B26" s="46">
        <v>21677</v>
      </c>
      <c r="C26" s="33" t="s">
        <v>838</v>
      </c>
      <c r="D26" s="29" t="s">
        <v>840</v>
      </c>
      <c r="E26" s="39"/>
      <c r="F26" s="39"/>
    </row>
    <row r="27" spans="1:8" s="11" customFormat="1" ht="15.95" customHeight="1" x14ac:dyDescent="0.25">
      <c r="A27" s="39" t="s">
        <v>836</v>
      </c>
      <c r="B27" s="46">
        <v>31238</v>
      </c>
      <c r="C27" s="42">
        <v>44131</v>
      </c>
      <c r="D27" s="29" t="s">
        <v>841</v>
      </c>
      <c r="E27" s="39"/>
      <c r="F27" s="39"/>
    </row>
    <row r="28" spans="1:8" s="11" customFormat="1" ht="15.95" customHeight="1" x14ac:dyDescent="0.25">
      <c r="A28" s="39"/>
      <c r="B28" s="46"/>
      <c r="C28" s="42"/>
      <c r="D28" s="29"/>
      <c r="E28" s="39"/>
      <c r="F28" s="39"/>
    </row>
    <row r="29" spans="1:8" s="11" customFormat="1" ht="15.95" customHeight="1" x14ac:dyDescent="0.25">
      <c r="A29" s="39"/>
      <c r="B29" s="46"/>
      <c r="C29" s="42"/>
      <c r="D29" s="29"/>
      <c r="E29" s="39"/>
      <c r="F29" s="39"/>
    </row>
    <row r="30" spans="1:8" s="11" customFormat="1" ht="15.75" customHeight="1" x14ac:dyDescent="0.25">
      <c r="A30" s="39"/>
      <c r="B30" s="46"/>
      <c r="C30" s="42"/>
      <c r="D30" s="29"/>
      <c r="E30" s="39"/>
      <c r="F30" s="39"/>
    </row>
    <row r="31" spans="1:8" s="11" customFormat="1" ht="15.75" customHeight="1" x14ac:dyDescent="0.25">
      <c r="A31" s="39"/>
      <c r="B31" s="46"/>
      <c r="C31" s="19"/>
      <c r="D31" s="29"/>
      <c r="E31" s="39"/>
      <c r="F31" s="39"/>
    </row>
    <row r="32" spans="1:8" s="11" customFormat="1" ht="15.95" customHeight="1" x14ac:dyDescent="0.25">
      <c r="B32" s="24">
        <f>SUM(B24:B31)</f>
        <v>95266</v>
      </c>
      <c r="C32" s="13"/>
      <c r="D32" s="13"/>
    </row>
    <row r="33" spans="1:9" s="11" customFormat="1" ht="15.95" customHeight="1" x14ac:dyDescent="0.25">
      <c r="A33" s="11" t="s">
        <v>1</v>
      </c>
      <c r="B33" s="12">
        <f>B32+B22</f>
        <v>-178559</v>
      </c>
      <c r="C33" s="13"/>
      <c r="D33" s="13"/>
    </row>
    <row r="34" spans="1:9" s="11" customFormat="1" ht="15.95" customHeight="1" x14ac:dyDescent="0.25">
      <c r="A34" s="15" t="s">
        <v>0</v>
      </c>
      <c r="B34" s="16">
        <f>B33-B7</f>
        <v>0</v>
      </c>
      <c r="C34" s="13"/>
      <c r="D34" s="13"/>
    </row>
    <row r="35" spans="1:9" s="11" customFormat="1" ht="15.95" customHeight="1" x14ac:dyDescent="0.25">
      <c r="B35" s="12"/>
      <c r="C35" s="13"/>
      <c r="D35" s="13"/>
    </row>
    <row r="36" spans="1:9" s="11" customFormat="1" ht="20.100000000000001" customHeight="1" x14ac:dyDescent="0.3">
      <c r="A36" s="1"/>
      <c r="B36" s="3"/>
      <c r="C36" s="13"/>
      <c r="D36" s="13"/>
    </row>
    <row r="37" spans="1:9" s="11" customFormat="1" ht="20.100000000000001" customHeight="1" x14ac:dyDescent="0.3">
      <c r="A37" s="1"/>
      <c r="B37" s="3"/>
      <c r="C37" s="13"/>
      <c r="D37" s="13"/>
    </row>
    <row r="38" spans="1:9" s="11" customFormat="1" ht="20.100000000000001" customHeight="1" x14ac:dyDescent="0.3">
      <c r="A38" s="1"/>
      <c r="B38" s="3"/>
      <c r="C38" s="13"/>
      <c r="D38" s="13"/>
    </row>
    <row r="39" spans="1:9" s="11" customFormat="1" ht="20.100000000000001" customHeight="1" x14ac:dyDescent="0.3">
      <c r="A39" s="1"/>
      <c r="B39" s="3"/>
      <c r="C39" s="13"/>
      <c r="D39" s="13"/>
    </row>
    <row r="40" spans="1:9" s="11" customFormat="1" ht="20.100000000000001" customHeight="1" x14ac:dyDescent="0.3">
      <c r="A40" s="1"/>
      <c r="B40" s="3"/>
      <c r="C40" s="13"/>
      <c r="D40" s="13"/>
    </row>
    <row r="41" spans="1:9" s="13" customFormat="1" ht="20.100000000000001" customHeight="1" x14ac:dyDescent="0.3">
      <c r="A41" s="1"/>
      <c r="B41" s="3"/>
      <c r="E41" s="11"/>
      <c r="F41" s="11"/>
      <c r="G41" s="11"/>
      <c r="H41" s="11"/>
      <c r="I41" s="11"/>
    </row>
    <row r="42" spans="1:9" s="13" customFormat="1" ht="20.100000000000001" customHeight="1" x14ac:dyDescent="0.3">
      <c r="A42" s="1"/>
      <c r="B42" s="3"/>
      <c r="E42" s="11"/>
      <c r="F42" s="11"/>
      <c r="G42" s="11"/>
      <c r="H42" s="11"/>
      <c r="I42" s="11"/>
    </row>
    <row r="43" spans="1:9" s="13" customFormat="1" ht="20.100000000000001" customHeight="1" x14ac:dyDescent="0.3">
      <c r="A43" s="1"/>
      <c r="B43" s="3"/>
      <c r="E43" s="11"/>
      <c r="F43" s="11"/>
      <c r="G43" s="11"/>
      <c r="H43" s="11"/>
      <c r="I43" s="11"/>
    </row>
    <row r="44" spans="1:9" ht="20.100000000000001" customHeight="1" x14ac:dyDescent="0.3"/>
    <row r="45" spans="1:9" ht="20.100000000000001" customHeight="1" x14ac:dyDescent="0.3"/>
    <row r="46" spans="1:9" ht="20.100000000000001" customHeight="1" x14ac:dyDescent="0.3"/>
    <row r="47" spans="1:9" ht="20.100000000000001" customHeight="1" x14ac:dyDescent="0.3"/>
  </sheetData>
  <pageMargins left="0.7" right="0.7" top="0.75" bottom="0.75" header="0.3" footer="0.3"/>
  <pageSetup scale="97" fitToHeight="0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I49"/>
  <sheetViews>
    <sheetView topLeftCell="A4" workbookViewId="0">
      <selection activeCell="C26" sqref="C26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18.7109375" style="6" customWidth="1"/>
    <col min="4" max="4" width="19.7109375" style="6" customWidth="1"/>
    <col min="5" max="7" width="9.140625" style="1"/>
    <col min="8" max="8" width="17.7109375" style="1" customWidth="1"/>
    <col min="9" max="16384" width="9.140625" style="1"/>
  </cols>
  <sheetData>
    <row r="1" spans="1:8" s="11" customFormat="1" ht="20.100000000000001" customHeight="1" x14ac:dyDescent="0.25">
      <c r="A1" s="11" t="s">
        <v>304</v>
      </c>
      <c r="B1" s="12"/>
      <c r="C1" s="13"/>
      <c r="D1" s="13"/>
    </row>
    <row r="2" spans="1:8" s="11" customFormat="1" ht="20.100000000000001" customHeight="1" x14ac:dyDescent="0.25">
      <c r="A2" s="14">
        <v>44165</v>
      </c>
      <c r="B2" s="12"/>
      <c r="C2" s="13"/>
      <c r="D2" s="13"/>
    </row>
    <row r="3" spans="1:8" s="11" customFormat="1" ht="20.100000000000001" customHeight="1" x14ac:dyDescent="0.25">
      <c r="A3" s="11" t="s">
        <v>311</v>
      </c>
      <c r="B3" s="12">
        <v>9986407</v>
      </c>
      <c r="C3" s="13"/>
      <c r="D3" s="13"/>
    </row>
    <row r="4" spans="1:8" s="11" customFormat="1" ht="20.100000000000001" customHeight="1" x14ac:dyDescent="0.25">
      <c r="A4" s="11" t="s">
        <v>6</v>
      </c>
      <c r="B4" s="12"/>
      <c r="C4" s="13"/>
      <c r="D4" s="13"/>
    </row>
    <row r="5" spans="1:8" s="11" customFormat="1" ht="20.100000000000001" customHeight="1" x14ac:dyDescent="0.25">
      <c r="A5" s="11">
        <v>2100</v>
      </c>
      <c r="B5" s="12">
        <v>-10177642</v>
      </c>
      <c r="C5" s="13"/>
      <c r="D5" s="13"/>
    </row>
    <row r="6" spans="1:8" s="11" customFormat="1" ht="20.100000000000001" customHeight="1" x14ac:dyDescent="0.25">
      <c r="A6" s="11" t="s">
        <v>5</v>
      </c>
      <c r="B6" s="12">
        <f>SUM(B5)</f>
        <v>-10177642</v>
      </c>
      <c r="C6" s="13"/>
      <c r="D6" s="13"/>
    </row>
    <row r="7" spans="1:8" s="11" customFormat="1" ht="20.100000000000001" customHeight="1" x14ac:dyDescent="0.25">
      <c r="A7" s="15" t="s">
        <v>4</v>
      </c>
      <c r="B7" s="16">
        <f>B6+B3</f>
        <v>-191235</v>
      </c>
      <c r="C7" s="13"/>
      <c r="D7" s="13"/>
    </row>
    <row r="8" spans="1:8" s="11" customFormat="1" ht="15.95" customHeight="1" x14ac:dyDescent="0.25">
      <c r="A8" s="11" t="s">
        <v>3</v>
      </c>
      <c r="B8" s="12"/>
      <c r="C8" s="44" t="s">
        <v>628</v>
      </c>
      <c r="D8" s="52" t="s">
        <v>626</v>
      </c>
    </row>
    <row r="9" spans="1:8" s="11" customFormat="1" ht="15.95" customHeight="1" x14ac:dyDescent="0.25">
      <c r="A9" s="11" t="s">
        <v>844</v>
      </c>
      <c r="B9" s="12">
        <v>-21500</v>
      </c>
      <c r="C9" s="31">
        <v>44162</v>
      </c>
      <c r="D9" s="13">
        <v>44166</v>
      </c>
    </row>
    <row r="10" spans="1:8" s="11" customFormat="1" ht="15.95" customHeight="1" x14ac:dyDescent="0.25">
      <c r="A10" s="11" t="s">
        <v>845</v>
      </c>
      <c r="B10" s="12">
        <v>-24611</v>
      </c>
      <c r="C10" s="33" t="s">
        <v>860</v>
      </c>
      <c r="D10" s="13"/>
    </row>
    <row r="11" spans="1:8" s="11" customFormat="1" ht="15.95" customHeight="1" x14ac:dyDescent="0.25">
      <c r="A11" s="11" t="s">
        <v>846</v>
      </c>
      <c r="B11" s="24">
        <v>-25898</v>
      </c>
      <c r="C11" s="57">
        <v>44162</v>
      </c>
      <c r="D11" s="51">
        <v>44166</v>
      </c>
      <c r="E11" s="55"/>
      <c r="F11" s="55"/>
      <c r="G11" s="55"/>
      <c r="H11" s="47"/>
    </row>
    <row r="12" spans="1:8" s="11" customFormat="1" ht="15.95" customHeight="1" x14ac:dyDescent="0.25">
      <c r="A12" s="11" t="s">
        <v>854</v>
      </c>
      <c r="B12" s="24">
        <v>-27891</v>
      </c>
      <c r="C12" s="31" t="s">
        <v>860</v>
      </c>
      <c r="D12" s="51"/>
      <c r="E12" s="55"/>
      <c r="F12" s="55"/>
      <c r="G12" s="55"/>
      <c r="H12" s="47"/>
    </row>
    <row r="13" spans="1:8" s="11" customFormat="1" ht="15.75" customHeight="1" x14ac:dyDescent="0.25">
      <c r="A13" s="11" t="s">
        <v>847</v>
      </c>
      <c r="B13" s="24">
        <v>-30715</v>
      </c>
      <c r="C13" s="32">
        <v>44162</v>
      </c>
      <c r="D13" s="53">
        <v>44166</v>
      </c>
      <c r="E13" s="55"/>
      <c r="F13" s="55"/>
      <c r="G13" s="55"/>
      <c r="H13" s="47"/>
    </row>
    <row r="14" spans="1:8" s="11" customFormat="1" ht="15.75" customHeight="1" x14ac:dyDescent="0.25">
      <c r="A14" s="11" t="s">
        <v>848</v>
      </c>
      <c r="B14" s="24">
        <v>-32783</v>
      </c>
      <c r="C14" s="32">
        <v>44165</v>
      </c>
      <c r="D14" s="53">
        <v>44166</v>
      </c>
      <c r="E14" s="54"/>
      <c r="F14" s="54"/>
      <c r="G14" s="54"/>
      <c r="H14" s="47"/>
    </row>
    <row r="15" spans="1:8" s="11" customFormat="1" ht="15.75" customHeight="1" x14ac:dyDescent="0.25">
      <c r="A15" s="11" t="s">
        <v>849</v>
      </c>
      <c r="B15" s="24">
        <v>-33440</v>
      </c>
      <c r="C15" s="32">
        <v>44165</v>
      </c>
      <c r="D15" s="53">
        <v>44166</v>
      </c>
      <c r="E15" s="54"/>
      <c r="F15" s="54"/>
      <c r="G15" s="54"/>
      <c r="H15" s="47"/>
    </row>
    <row r="16" spans="1:8" s="11" customFormat="1" ht="15.75" customHeight="1" x14ac:dyDescent="0.25">
      <c r="A16" s="11" t="s">
        <v>850</v>
      </c>
      <c r="B16" s="24">
        <v>-37222</v>
      </c>
      <c r="C16" s="32">
        <v>44165</v>
      </c>
      <c r="D16" s="53">
        <v>44166</v>
      </c>
      <c r="E16" s="54"/>
      <c r="F16" s="54"/>
      <c r="G16" s="54"/>
      <c r="H16" s="47"/>
    </row>
    <row r="17" spans="1:8" s="11" customFormat="1" ht="15.75" customHeight="1" x14ac:dyDescent="0.25">
      <c r="A17" s="11" t="s">
        <v>851</v>
      </c>
      <c r="B17" s="24">
        <v>-37222</v>
      </c>
      <c r="C17" s="32">
        <v>44164</v>
      </c>
      <c r="D17" s="53">
        <v>44166</v>
      </c>
      <c r="E17" s="54"/>
      <c r="F17" s="54"/>
      <c r="G17" s="54"/>
      <c r="H17" s="47"/>
    </row>
    <row r="18" spans="1:8" s="11" customFormat="1" ht="15.75" customHeight="1" x14ac:dyDescent="0.25">
      <c r="A18" s="11" t="s">
        <v>852</v>
      </c>
      <c r="B18" s="24">
        <v>-38534</v>
      </c>
      <c r="C18" s="32">
        <v>44164</v>
      </c>
      <c r="D18" s="53">
        <v>44166</v>
      </c>
      <c r="E18" s="54"/>
      <c r="F18" s="54"/>
      <c r="G18" s="54"/>
      <c r="H18" s="47"/>
    </row>
    <row r="19" spans="1:8" s="11" customFormat="1" ht="15.75" customHeight="1" x14ac:dyDescent="0.25">
      <c r="A19" s="11" t="s">
        <v>853</v>
      </c>
      <c r="B19" s="24">
        <v>-38868</v>
      </c>
      <c r="C19" s="32">
        <v>44164</v>
      </c>
      <c r="D19" s="53">
        <v>44166</v>
      </c>
      <c r="E19" s="54"/>
      <c r="F19" s="54"/>
      <c r="G19" s="54"/>
      <c r="H19" s="47"/>
    </row>
    <row r="20" spans="1:8" s="11" customFormat="1" ht="15.75" customHeight="1" x14ac:dyDescent="0.25">
      <c r="A20" s="11" t="s">
        <v>857</v>
      </c>
      <c r="B20" s="24">
        <v>-50772</v>
      </c>
      <c r="C20" s="32">
        <v>44156</v>
      </c>
      <c r="D20" s="53">
        <v>44167</v>
      </c>
      <c r="E20" s="54"/>
      <c r="F20" s="54"/>
      <c r="G20" s="54"/>
      <c r="H20" s="47"/>
    </row>
    <row r="21" spans="1:8" s="11" customFormat="1" ht="15.75" customHeight="1" x14ac:dyDescent="0.25">
      <c r="B21" s="24"/>
      <c r="C21" s="32"/>
      <c r="D21" s="29"/>
      <c r="E21" s="54"/>
      <c r="F21" s="54"/>
      <c r="G21" s="54"/>
      <c r="H21" s="47"/>
    </row>
    <row r="22" spans="1:8" s="11" customFormat="1" ht="15.75" customHeight="1" x14ac:dyDescent="0.25">
      <c r="B22" s="24"/>
      <c r="C22" s="42"/>
      <c r="D22" s="53"/>
      <c r="E22" s="54"/>
      <c r="F22" s="54"/>
      <c r="G22" s="54"/>
      <c r="H22" s="47"/>
    </row>
    <row r="23" spans="1:8" s="11" customFormat="1" ht="15.95" customHeight="1" x14ac:dyDescent="0.25">
      <c r="B23" s="24">
        <f>SUM(B9:B22)</f>
        <v>-399456</v>
      </c>
      <c r="C23" s="18"/>
      <c r="D23" s="19"/>
      <c r="E23" s="19"/>
      <c r="F23" s="19"/>
      <c r="G23" s="19"/>
    </row>
    <row r="24" spans="1:8" s="11" customFormat="1" ht="15.95" customHeight="1" x14ac:dyDescent="0.25">
      <c r="A24" s="11" t="s">
        <v>2</v>
      </c>
      <c r="B24" s="24"/>
      <c r="C24" s="30" t="s">
        <v>702</v>
      </c>
      <c r="D24" s="52" t="s">
        <v>628</v>
      </c>
    </row>
    <row r="25" spans="1:8" s="11" customFormat="1" ht="15.95" customHeight="1" x14ac:dyDescent="0.25">
      <c r="A25" s="39" t="s">
        <v>856</v>
      </c>
      <c r="B25" s="46">
        <v>24654</v>
      </c>
      <c r="C25" s="31" t="s">
        <v>860</v>
      </c>
      <c r="D25" s="29"/>
      <c r="E25" s="39"/>
      <c r="F25" s="39"/>
    </row>
    <row r="26" spans="1:8" s="11" customFormat="1" ht="15.95" customHeight="1" x14ac:dyDescent="0.25">
      <c r="A26" s="39" t="s">
        <v>855</v>
      </c>
      <c r="B26" s="46">
        <v>27916</v>
      </c>
      <c r="C26" s="31" t="s">
        <v>860</v>
      </c>
      <c r="D26" s="29"/>
      <c r="E26" s="39"/>
      <c r="F26" s="39"/>
    </row>
    <row r="27" spans="1:8" s="11" customFormat="1" ht="15.95" customHeight="1" x14ac:dyDescent="0.25">
      <c r="A27" s="39" t="s">
        <v>858</v>
      </c>
      <c r="B27" s="46">
        <v>72150</v>
      </c>
      <c r="C27" s="31">
        <v>44162</v>
      </c>
      <c r="D27" s="29">
        <v>44166</v>
      </c>
      <c r="E27" s="39"/>
      <c r="F27" s="39"/>
    </row>
    <row r="28" spans="1:8" s="11" customFormat="1" ht="15.95" customHeight="1" x14ac:dyDescent="0.25">
      <c r="A28" s="39" t="s">
        <v>859</v>
      </c>
      <c r="B28" s="46">
        <v>83501</v>
      </c>
      <c r="C28" s="31">
        <v>44162</v>
      </c>
      <c r="D28" s="29">
        <v>44166</v>
      </c>
      <c r="E28" s="39"/>
      <c r="F28" s="39"/>
    </row>
    <row r="29" spans="1:8" s="11" customFormat="1" ht="15.95" customHeight="1" x14ac:dyDescent="0.25">
      <c r="A29" s="39"/>
      <c r="B29" s="46"/>
      <c r="C29" s="42"/>
      <c r="D29" s="29"/>
      <c r="E29" s="39"/>
      <c r="F29" s="39"/>
    </row>
    <row r="30" spans="1:8" s="11" customFormat="1" ht="15.95" customHeight="1" x14ac:dyDescent="0.25">
      <c r="A30" s="39"/>
      <c r="B30" s="46"/>
      <c r="C30" s="42"/>
      <c r="D30" s="29"/>
      <c r="E30" s="39"/>
      <c r="F30" s="39"/>
    </row>
    <row r="31" spans="1:8" s="11" customFormat="1" ht="15.95" customHeight="1" x14ac:dyDescent="0.25">
      <c r="A31" s="39"/>
      <c r="B31" s="46"/>
      <c r="C31" s="42"/>
      <c r="D31" s="29"/>
      <c r="E31" s="39"/>
      <c r="F31" s="39"/>
    </row>
    <row r="32" spans="1:8" s="11" customFormat="1" ht="15.75" customHeight="1" x14ac:dyDescent="0.25">
      <c r="A32" s="39"/>
      <c r="B32" s="46"/>
      <c r="C32" s="42"/>
      <c r="D32" s="29"/>
      <c r="E32" s="39"/>
      <c r="F32" s="39"/>
    </row>
    <row r="33" spans="1:9" s="11" customFormat="1" ht="15.75" customHeight="1" x14ac:dyDescent="0.25">
      <c r="A33" s="39"/>
      <c r="B33" s="46"/>
      <c r="C33" s="19"/>
      <c r="D33" s="29"/>
      <c r="E33" s="39"/>
      <c r="F33" s="39"/>
    </row>
    <row r="34" spans="1:9" s="11" customFormat="1" ht="15.95" customHeight="1" x14ac:dyDescent="0.25">
      <c r="B34" s="24">
        <f>SUM(B25:B33)</f>
        <v>208221</v>
      </c>
      <c r="C34" s="13"/>
      <c r="D34" s="13"/>
    </row>
    <row r="35" spans="1:9" s="11" customFormat="1" ht="15.95" customHeight="1" x14ac:dyDescent="0.25">
      <c r="A35" s="11" t="s">
        <v>1</v>
      </c>
      <c r="B35" s="12">
        <f>B34+B23</f>
        <v>-191235</v>
      </c>
      <c r="C35" s="13"/>
      <c r="D35" s="13"/>
    </row>
    <row r="36" spans="1:9" s="11" customFormat="1" ht="15.95" customHeight="1" x14ac:dyDescent="0.25">
      <c r="A36" s="15" t="s">
        <v>0</v>
      </c>
      <c r="B36" s="16">
        <f>B35-B7</f>
        <v>0</v>
      </c>
      <c r="C36" s="13"/>
      <c r="D36" s="13"/>
    </row>
    <row r="37" spans="1:9" s="11" customFormat="1" ht="15.95" customHeight="1" x14ac:dyDescent="0.25">
      <c r="B37" s="12"/>
      <c r="C37" s="13"/>
      <c r="D37" s="13"/>
    </row>
    <row r="38" spans="1:9" s="11" customFormat="1" ht="20.100000000000001" customHeight="1" x14ac:dyDescent="0.3">
      <c r="A38" s="1"/>
      <c r="B38" s="3"/>
      <c r="C38" s="13"/>
      <c r="D38" s="13"/>
    </row>
    <row r="39" spans="1:9" s="11" customFormat="1" ht="20.100000000000001" customHeight="1" x14ac:dyDescent="0.3">
      <c r="A39" s="1"/>
      <c r="B39" s="3"/>
      <c r="C39" s="13"/>
      <c r="D39" s="13"/>
    </row>
    <row r="40" spans="1:9" s="11" customFormat="1" ht="20.100000000000001" customHeight="1" x14ac:dyDescent="0.3">
      <c r="A40" s="1"/>
      <c r="B40" s="3"/>
      <c r="C40" s="13"/>
      <c r="D40" s="13"/>
    </row>
    <row r="41" spans="1:9" s="11" customFormat="1" ht="20.100000000000001" customHeight="1" x14ac:dyDescent="0.3">
      <c r="A41" s="1"/>
      <c r="B41" s="3"/>
      <c r="C41" s="13"/>
      <c r="D41" s="13"/>
    </row>
    <row r="42" spans="1:9" s="11" customFormat="1" ht="20.100000000000001" customHeight="1" x14ac:dyDescent="0.3">
      <c r="A42" s="1"/>
      <c r="B42" s="3"/>
      <c r="C42" s="13"/>
      <c r="D42" s="13"/>
    </row>
    <row r="43" spans="1:9" s="13" customFormat="1" ht="20.100000000000001" customHeight="1" x14ac:dyDescent="0.3">
      <c r="A43" s="1"/>
      <c r="B43" s="3"/>
      <c r="E43" s="11"/>
      <c r="F43" s="11"/>
      <c r="G43" s="11"/>
      <c r="H43" s="11"/>
      <c r="I43" s="11"/>
    </row>
    <row r="44" spans="1:9" s="13" customFormat="1" ht="20.100000000000001" customHeight="1" x14ac:dyDescent="0.3">
      <c r="A44" s="1"/>
      <c r="B44" s="3"/>
      <c r="E44" s="11"/>
      <c r="F44" s="11"/>
      <c r="G44" s="11"/>
      <c r="H44" s="11"/>
      <c r="I44" s="11"/>
    </row>
    <row r="45" spans="1:9" s="13" customFormat="1" ht="20.100000000000001" customHeight="1" x14ac:dyDescent="0.3">
      <c r="A45" s="1"/>
      <c r="B45" s="3"/>
      <c r="E45" s="11"/>
      <c r="F45" s="11"/>
      <c r="G45" s="11"/>
      <c r="H45" s="11"/>
      <c r="I45" s="11"/>
    </row>
    <row r="46" spans="1:9" ht="20.100000000000001" customHeight="1" x14ac:dyDescent="0.3"/>
    <row r="47" spans="1:9" ht="20.100000000000001" customHeight="1" x14ac:dyDescent="0.3"/>
    <row r="48" spans="1:9" ht="20.100000000000001" customHeight="1" x14ac:dyDescent="0.3"/>
    <row r="49" ht="20.100000000000001" customHeight="1" x14ac:dyDescent="0.3"/>
  </sheetData>
  <pageMargins left="0.7" right="0.7" top="0.75" bottom="0.75" header="0.3" footer="0.3"/>
  <pageSetup fitToHeight="0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A1:I45"/>
  <sheetViews>
    <sheetView workbookViewId="0">
      <selection activeCell="B6" sqref="B6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18.7109375" style="6" customWidth="1"/>
    <col min="4" max="4" width="19.7109375" style="6" customWidth="1"/>
    <col min="5" max="7" width="9.140625" style="1"/>
    <col min="8" max="8" width="17.7109375" style="1" customWidth="1"/>
    <col min="9" max="16384" width="9.140625" style="1"/>
  </cols>
  <sheetData>
    <row r="1" spans="1:8" s="11" customFormat="1" ht="20.100000000000001" customHeight="1" x14ac:dyDescent="0.25">
      <c r="A1" s="11" t="s">
        <v>304</v>
      </c>
      <c r="B1" s="12"/>
      <c r="C1" s="13"/>
      <c r="D1" s="13"/>
    </row>
    <row r="2" spans="1:8" s="11" customFormat="1" ht="20.100000000000001" customHeight="1" x14ac:dyDescent="0.25">
      <c r="A2" s="14">
        <v>44196</v>
      </c>
      <c r="B2" s="12"/>
      <c r="C2" s="13"/>
      <c r="D2" s="13"/>
    </row>
    <row r="3" spans="1:8" s="11" customFormat="1" ht="20.100000000000001" customHeight="1" x14ac:dyDescent="0.25">
      <c r="A3" s="11" t="s">
        <v>311</v>
      </c>
      <c r="B3" s="12">
        <v>11890621</v>
      </c>
      <c r="C3" s="13"/>
      <c r="D3" s="13"/>
    </row>
    <row r="4" spans="1:8" s="11" customFormat="1" ht="20.100000000000001" customHeight="1" x14ac:dyDescent="0.25">
      <c r="A4" s="11" t="s">
        <v>6</v>
      </c>
      <c r="B4" s="12"/>
      <c r="C4" s="13"/>
      <c r="D4" s="13"/>
    </row>
    <row r="5" spans="1:8" s="11" customFormat="1" ht="20.100000000000001" customHeight="1" x14ac:dyDescent="0.25">
      <c r="A5" s="11">
        <v>2100</v>
      </c>
      <c r="B5" s="12">
        <v>-11966550</v>
      </c>
      <c r="C5" s="13"/>
      <c r="D5" s="13"/>
    </row>
    <row r="6" spans="1:8" s="11" customFormat="1" ht="20.100000000000001" customHeight="1" x14ac:dyDescent="0.25">
      <c r="A6" s="11" t="s">
        <v>5</v>
      </c>
      <c r="B6" s="12">
        <f>SUM(B5)</f>
        <v>-11966550</v>
      </c>
      <c r="C6" s="13"/>
      <c r="D6" s="13"/>
    </row>
    <row r="7" spans="1:8" s="11" customFormat="1" ht="20.100000000000001" customHeight="1" x14ac:dyDescent="0.25">
      <c r="A7" s="15" t="s">
        <v>4</v>
      </c>
      <c r="B7" s="16">
        <f>B6+B3</f>
        <v>-75929</v>
      </c>
      <c r="C7" s="13"/>
      <c r="D7" s="13"/>
    </row>
    <row r="8" spans="1:8" s="11" customFormat="1" ht="15.95" customHeight="1" x14ac:dyDescent="0.25">
      <c r="A8" s="11" t="s">
        <v>3</v>
      </c>
      <c r="B8" s="12"/>
      <c r="C8" s="44" t="s">
        <v>628</v>
      </c>
      <c r="D8" s="52" t="s">
        <v>626</v>
      </c>
    </row>
    <row r="9" spans="1:8" s="11" customFormat="1" ht="15.95" customHeight="1" x14ac:dyDescent="0.25">
      <c r="A9" s="11" t="s">
        <v>862</v>
      </c>
      <c r="B9" s="24">
        <v>-45012</v>
      </c>
      <c r="C9" s="31" t="s">
        <v>864</v>
      </c>
      <c r="D9" s="51"/>
      <c r="E9" s="55"/>
      <c r="F9" s="55"/>
      <c r="G9" s="55"/>
      <c r="H9" s="47"/>
    </row>
    <row r="10" spans="1:8" s="11" customFormat="1" ht="15.95" customHeight="1" x14ac:dyDescent="0.25">
      <c r="A10" s="11" t="s">
        <v>863</v>
      </c>
      <c r="B10" s="24">
        <v>-75689</v>
      </c>
      <c r="C10" s="31">
        <v>44195</v>
      </c>
      <c r="D10" s="51">
        <v>44200</v>
      </c>
      <c r="E10" s="55"/>
      <c r="F10" s="55"/>
      <c r="G10" s="55"/>
      <c r="H10" s="47"/>
    </row>
    <row r="11" spans="1:8" s="11" customFormat="1" ht="15.75" customHeight="1" x14ac:dyDescent="0.25">
      <c r="B11" s="24"/>
      <c r="C11" s="32"/>
      <c r="D11" s="53"/>
      <c r="E11" s="55"/>
      <c r="F11" s="55"/>
      <c r="G11" s="55"/>
      <c r="H11" s="47"/>
    </row>
    <row r="12" spans="1:8" s="11" customFormat="1" ht="15.75" customHeight="1" x14ac:dyDescent="0.25">
      <c r="B12" s="24"/>
      <c r="C12" s="32"/>
      <c r="D12" s="53"/>
      <c r="E12" s="54"/>
      <c r="F12" s="54"/>
      <c r="G12" s="54"/>
      <c r="H12" s="47"/>
    </row>
    <row r="13" spans="1:8" s="11" customFormat="1" ht="15.75" customHeight="1" x14ac:dyDescent="0.25">
      <c r="B13" s="24"/>
      <c r="C13" s="32"/>
      <c r="D13" s="53"/>
      <c r="E13" s="54"/>
      <c r="F13" s="54"/>
      <c r="G13" s="54"/>
      <c r="H13" s="47"/>
    </row>
    <row r="14" spans="1:8" s="11" customFormat="1" ht="15.75" customHeight="1" x14ac:dyDescent="0.25">
      <c r="B14" s="24"/>
      <c r="C14" s="32"/>
      <c r="D14" s="53"/>
      <c r="E14" s="54"/>
      <c r="F14" s="54"/>
      <c r="G14" s="54"/>
      <c r="H14" s="47"/>
    </row>
    <row r="15" spans="1:8" s="11" customFormat="1" ht="15.75" customHeight="1" x14ac:dyDescent="0.25">
      <c r="B15" s="24"/>
      <c r="C15" s="32"/>
      <c r="D15" s="53"/>
      <c r="E15" s="54"/>
      <c r="F15" s="54"/>
      <c r="G15" s="54"/>
      <c r="H15" s="47"/>
    </row>
    <row r="16" spans="1:8" s="11" customFormat="1" ht="15.75" customHeight="1" x14ac:dyDescent="0.25">
      <c r="B16" s="24"/>
      <c r="C16" s="32"/>
      <c r="D16" s="53"/>
      <c r="E16" s="54"/>
      <c r="F16" s="54"/>
      <c r="G16" s="54"/>
      <c r="H16" s="47"/>
    </row>
    <row r="17" spans="1:8" s="11" customFormat="1" ht="15.75" customHeight="1" x14ac:dyDescent="0.25">
      <c r="B17" s="24"/>
      <c r="C17" s="32"/>
      <c r="D17" s="53"/>
      <c r="E17" s="54"/>
      <c r="F17" s="54"/>
      <c r="G17" s="54"/>
      <c r="H17" s="47"/>
    </row>
    <row r="18" spans="1:8" s="11" customFormat="1" ht="15.75" customHeight="1" x14ac:dyDescent="0.25">
      <c r="B18" s="24"/>
      <c r="C18" s="32"/>
      <c r="D18" s="53"/>
      <c r="E18" s="54"/>
      <c r="F18" s="54"/>
      <c r="G18" s="54"/>
      <c r="H18" s="47"/>
    </row>
    <row r="19" spans="1:8" s="11" customFormat="1" ht="15.75" customHeight="1" x14ac:dyDescent="0.25">
      <c r="B19" s="24"/>
      <c r="C19" s="32"/>
      <c r="D19" s="29"/>
      <c r="E19" s="54"/>
      <c r="F19" s="54"/>
      <c r="G19" s="54"/>
      <c r="H19" s="47"/>
    </row>
    <row r="20" spans="1:8" s="11" customFormat="1" ht="15.75" customHeight="1" x14ac:dyDescent="0.25">
      <c r="B20" s="24"/>
      <c r="C20" s="42"/>
      <c r="D20" s="53"/>
      <c r="E20" s="54"/>
      <c r="F20" s="54"/>
      <c r="G20" s="54"/>
      <c r="H20" s="47"/>
    </row>
    <row r="21" spans="1:8" s="11" customFormat="1" ht="15.95" customHeight="1" x14ac:dyDescent="0.25">
      <c r="B21" s="24">
        <f>SUM(B9:B20)</f>
        <v>-120701</v>
      </c>
      <c r="C21" s="18"/>
      <c r="D21" s="19"/>
      <c r="E21" s="19"/>
      <c r="F21" s="19"/>
      <c r="G21" s="19"/>
    </row>
    <row r="22" spans="1:8" s="11" customFormat="1" ht="15.95" customHeight="1" x14ac:dyDescent="0.25">
      <c r="A22" s="11" t="s">
        <v>2</v>
      </c>
      <c r="B22" s="24"/>
      <c r="C22" s="30" t="s">
        <v>702</v>
      </c>
      <c r="D22" s="52" t="s">
        <v>628</v>
      </c>
    </row>
    <row r="23" spans="1:8" s="11" customFormat="1" ht="15.95" customHeight="1" x14ac:dyDescent="0.25">
      <c r="A23" s="39" t="s">
        <v>861</v>
      </c>
      <c r="B23" s="46">
        <v>44772</v>
      </c>
      <c r="C23" s="31" t="s">
        <v>864</v>
      </c>
      <c r="D23" s="29"/>
      <c r="E23" s="39"/>
      <c r="F23" s="39"/>
    </row>
    <row r="24" spans="1:8" s="11" customFormat="1" ht="15.95" customHeight="1" x14ac:dyDescent="0.25">
      <c r="A24" s="39"/>
      <c r="B24" s="46"/>
      <c r="C24" s="31"/>
      <c r="D24" s="29"/>
      <c r="E24" s="39"/>
      <c r="F24" s="39"/>
    </row>
    <row r="25" spans="1:8" s="11" customFormat="1" ht="15.95" customHeight="1" x14ac:dyDescent="0.25">
      <c r="A25" s="39"/>
      <c r="B25" s="46"/>
      <c r="C25" s="42"/>
      <c r="D25" s="29"/>
      <c r="E25" s="39"/>
      <c r="F25" s="39"/>
    </row>
    <row r="26" spans="1:8" s="11" customFormat="1" ht="15.95" customHeight="1" x14ac:dyDescent="0.25">
      <c r="A26" s="39"/>
      <c r="B26" s="46"/>
      <c r="C26" s="42"/>
      <c r="D26" s="29"/>
      <c r="E26" s="39"/>
      <c r="F26" s="39"/>
    </row>
    <row r="27" spans="1:8" s="11" customFormat="1" ht="15.95" customHeight="1" x14ac:dyDescent="0.25">
      <c r="A27" s="39"/>
      <c r="B27" s="46"/>
      <c r="C27" s="42"/>
      <c r="D27" s="29"/>
      <c r="E27" s="39"/>
      <c r="F27" s="39"/>
    </row>
    <row r="28" spans="1:8" s="11" customFormat="1" ht="15.75" customHeight="1" x14ac:dyDescent="0.25">
      <c r="A28" s="39"/>
      <c r="B28" s="46"/>
      <c r="C28" s="42"/>
      <c r="D28" s="29"/>
      <c r="E28" s="39"/>
      <c r="F28" s="39"/>
    </row>
    <row r="29" spans="1:8" s="11" customFormat="1" ht="15.75" customHeight="1" x14ac:dyDescent="0.25">
      <c r="A29" s="39"/>
      <c r="B29" s="46"/>
      <c r="C29" s="19"/>
      <c r="D29" s="29"/>
      <c r="E29" s="39"/>
      <c r="F29" s="39"/>
    </row>
    <row r="30" spans="1:8" s="11" customFormat="1" ht="15.95" customHeight="1" x14ac:dyDescent="0.25">
      <c r="B30" s="24">
        <f>SUM(B23:B29)</f>
        <v>44772</v>
      </c>
      <c r="C30" s="13"/>
      <c r="D30" s="13"/>
    </row>
    <row r="31" spans="1:8" s="11" customFormat="1" ht="15.95" customHeight="1" x14ac:dyDescent="0.25">
      <c r="A31" s="11" t="s">
        <v>1</v>
      </c>
      <c r="B31" s="12">
        <f>B30+B21</f>
        <v>-75929</v>
      </c>
      <c r="C31" s="13"/>
      <c r="D31" s="13"/>
    </row>
    <row r="32" spans="1:8" s="11" customFormat="1" ht="15.95" customHeight="1" x14ac:dyDescent="0.25">
      <c r="A32" s="15" t="s">
        <v>0</v>
      </c>
      <c r="B32" s="16">
        <f>B31-B7</f>
        <v>0</v>
      </c>
      <c r="C32" s="13"/>
      <c r="D32" s="13"/>
    </row>
    <row r="33" spans="1:9" s="11" customFormat="1" ht="15.95" customHeight="1" x14ac:dyDescent="0.25">
      <c r="B33" s="12"/>
      <c r="C33" s="13"/>
      <c r="D33" s="13"/>
    </row>
    <row r="34" spans="1:9" s="11" customFormat="1" ht="20.100000000000001" customHeight="1" x14ac:dyDescent="0.3">
      <c r="A34" s="1"/>
      <c r="B34" s="3"/>
      <c r="C34" s="13"/>
      <c r="D34" s="13"/>
    </row>
    <row r="35" spans="1:9" s="11" customFormat="1" ht="20.100000000000001" customHeight="1" x14ac:dyDescent="0.3">
      <c r="A35" s="1"/>
      <c r="B35" s="3"/>
      <c r="C35" s="13"/>
      <c r="D35" s="13"/>
    </row>
    <row r="36" spans="1:9" s="11" customFormat="1" ht="20.100000000000001" customHeight="1" x14ac:dyDescent="0.3">
      <c r="A36" s="1"/>
      <c r="B36" s="3"/>
      <c r="C36" s="13"/>
      <c r="D36" s="13"/>
    </row>
    <row r="37" spans="1:9" s="11" customFormat="1" ht="20.100000000000001" customHeight="1" x14ac:dyDescent="0.3">
      <c r="A37" s="1"/>
      <c r="B37" s="3"/>
      <c r="C37" s="13"/>
      <c r="D37" s="13"/>
    </row>
    <row r="38" spans="1:9" s="11" customFormat="1" ht="20.100000000000001" customHeight="1" x14ac:dyDescent="0.3">
      <c r="A38" s="1"/>
      <c r="B38" s="3"/>
      <c r="C38" s="13"/>
      <c r="D38" s="13"/>
    </row>
    <row r="39" spans="1:9" s="13" customFormat="1" ht="20.100000000000001" customHeight="1" x14ac:dyDescent="0.3">
      <c r="A39" s="1"/>
      <c r="B39" s="3"/>
      <c r="E39" s="11"/>
      <c r="F39" s="11"/>
      <c r="G39" s="11"/>
      <c r="H39" s="11"/>
      <c r="I39" s="11"/>
    </row>
    <row r="40" spans="1:9" s="13" customFormat="1" ht="20.100000000000001" customHeight="1" x14ac:dyDescent="0.3">
      <c r="A40" s="1"/>
      <c r="B40" s="3"/>
      <c r="E40" s="11"/>
      <c r="F40" s="11"/>
      <c r="G40" s="11"/>
      <c r="H40" s="11"/>
      <c r="I40" s="11"/>
    </row>
    <row r="41" spans="1:9" s="13" customFormat="1" ht="20.100000000000001" customHeight="1" x14ac:dyDescent="0.3">
      <c r="A41" s="1"/>
      <c r="B41" s="3"/>
      <c r="E41" s="11"/>
      <c r="F41" s="11"/>
      <c r="G41" s="11"/>
      <c r="H41" s="11"/>
      <c r="I41" s="11"/>
    </row>
    <row r="42" spans="1:9" ht="20.100000000000001" customHeight="1" x14ac:dyDescent="0.3"/>
    <row r="43" spans="1:9" ht="20.100000000000001" customHeight="1" x14ac:dyDescent="0.3"/>
    <row r="44" spans="1:9" ht="20.100000000000001" customHeight="1" x14ac:dyDescent="0.3"/>
    <row r="45" spans="1:9" ht="20.100000000000001" customHeight="1" x14ac:dyDescent="0.3"/>
  </sheetData>
  <pageMargins left="0.7" right="0.7" top="0.75" bottom="0.75" header="0.3" footer="0.3"/>
  <pageSetup fitToHeight="0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A1:I55"/>
  <sheetViews>
    <sheetView workbookViewId="0">
      <selection activeCell="C39" sqref="C39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18.7109375" style="6" customWidth="1"/>
    <col min="4" max="4" width="19.7109375" style="6" customWidth="1"/>
    <col min="5" max="7" width="9.140625" style="1"/>
    <col min="8" max="8" width="17.7109375" style="1" customWidth="1"/>
    <col min="9" max="16384" width="9.140625" style="1"/>
  </cols>
  <sheetData>
    <row r="1" spans="1:8" s="11" customFormat="1" ht="20.100000000000001" customHeight="1" x14ac:dyDescent="0.25">
      <c r="A1" s="11" t="s">
        <v>304</v>
      </c>
      <c r="B1" s="12"/>
      <c r="C1" s="13"/>
      <c r="D1" s="13"/>
    </row>
    <row r="2" spans="1:8" s="11" customFormat="1" ht="20.100000000000001" customHeight="1" x14ac:dyDescent="0.25">
      <c r="A2" s="14">
        <v>44227</v>
      </c>
      <c r="B2" s="12"/>
      <c r="C2" s="13"/>
      <c r="D2" s="13"/>
    </row>
    <row r="3" spans="1:8" s="11" customFormat="1" ht="20.100000000000001" customHeight="1" x14ac:dyDescent="0.25">
      <c r="A3" s="11" t="s">
        <v>311</v>
      </c>
      <c r="B3" s="12">
        <v>10607984</v>
      </c>
      <c r="C3" s="13"/>
      <c r="D3" s="13"/>
    </row>
    <row r="4" spans="1:8" s="11" customFormat="1" ht="20.100000000000001" customHeight="1" x14ac:dyDescent="0.25">
      <c r="A4" s="11" t="s">
        <v>6</v>
      </c>
      <c r="B4" s="12"/>
      <c r="C4" s="13"/>
      <c r="D4" s="13"/>
    </row>
    <row r="5" spans="1:8" s="11" customFormat="1" ht="20.100000000000001" customHeight="1" x14ac:dyDescent="0.25">
      <c r="A5" s="11">
        <v>2100</v>
      </c>
      <c r="B5" s="12">
        <v>-10526208</v>
      </c>
      <c r="C5" s="13"/>
      <c r="D5" s="13"/>
    </row>
    <row r="6" spans="1:8" s="11" customFormat="1" ht="20.100000000000001" customHeight="1" x14ac:dyDescent="0.25">
      <c r="A6" s="11" t="s">
        <v>5</v>
      </c>
      <c r="B6" s="12">
        <f>SUM(B5)</f>
        <v>-10526208</v>
      </c>
      <c r="C6" s="13"/>
      <c r="D6" s="13"/>
    </row>
    <row r="7" spans="1:8" s="11" customFormat="1" ht="20.100000000000001" customHeight="1" x14ac:dyDescent="0.25">
      <c r="A7" s="15" t="s">
        <v>4</v>
      </c>
      <c r="B7" s="16">
        <f>B6+B3</f>
        <v>81776</v>
      </c>
      <c r="C7" s="13"/>
      <c r="D7" s="13"/>
    </row>
    <row r="8" spans="1:8" s="11" customFormat="1" ht="15.95" customHeight="1" x14ac:dyDescent="0.25">
      <c r="A8" s="11" t="s">
        <v>3</v>
      </c>
      <c r="B8" s="12"/>
      <c r="C8" s="44" t="s">
        <v>628</v>
      </c>
      <c r="D8" s="52" t="s">
        <v>626</v>
      </c>
    </row>
    <row r="9" spans="1:8" s="11" customFormat="1" ht="15.95" customHeight="1" x14ac:dyDescent="0.25">
      <c r="A9" s="11" t="s">
        <v>865</v>
      </c>
      <c r="B9" s="24">
        <v>-31568</v>
      </c>
      <c r="C9" s="31">
        <v>44225</v>
      </c>
      <c r="D9" s="51">
        <v>44228</v>
      </c>
      <c r="E9" s="55"/>
      <c r="F9" s="55"/>
      <c r="G9" s="55"/>
      <c r="H9" s="47"/>
    </row>
    <row r="10" spans="1:8" s="11" customFormat="1" ht="15.95" customHeight="1" x14ac:dyDescent="0.25">
      <c r="A10" s="11" t="s">
        <v>866</v>
      </c>
      <c r="B10" s="24">
        <v>-33999</v>
      </c>
      <c r="C10" s="31">
        <v>44225</v>
      </c>
      <c r="D10" s="51">
        <v>44228</v>
      </c>
      <c r="E10" s="55"/>
      <c r="F10" s="55"/>
      <c r="G10" s="55"/>
      <c r="H10" s="47"/>
    </row>
    <row r="11" spans="1:8" s="11" customFormat="1" ht="15.75" customHeight="1" x14ac:dyDescent="0.25">
      <c r="A11" s="11" t="s">
        <v>867</v>
      </c>
      <c r="B11" s="24">
        <v>-36381</v>
      </c>
      <c r="C11" s="32">
        <v>44225</v>
      </c>
      <c r="D11" s="53">
        <v>44228</v>
      </c>
      <c r="E11" s="55"/>
      <c r="F11" s="55"/>
      <c r="G11" s="55"/>
      <c r="H11" s="47"/>
    </row>
    <row r="12" spans="1:8" s="11" customFormat="1" ht="15.75" customHeight="1" x14ac:dyDescent="0.25">
      <c r="A12" s="11" t="s">
        <v>868</v>
      </c>
      <c r="B12" s="24">
        <v>-37835</v>
      </c>
      <c r="C12" s="32">
        <v>44225</v>
      </c>
      <c r="D12" s="53">
        <v>44228</v>
      </c>
      <c r="E12" s="54"/>
      <c r="F12" s="54"/>
      <c r="G12" s="54"/>
      <c r="H12" s="47"/>
    </row>
    <row r="13" spans="1:8" s="11" customFormat="1" ht="15.75" customHeight="1" x14ac:dyDescent="0.25">
      <c r="A13" s="11" t="s">
        <v>869</v>
      </c>
      <c r="B13" s="24">
        <v>-38848</v>
      </c>
      <c r="C13" s="32">
        <v>44225</v>
      </c>
      <c r="D13" s="53">
        <v>44228</v>
      </c>
      <c r="E13" s="54"/>
      <c r="F13" s="54"/>
      <c r="G13" s="54"/>
      <c r="H13" s="47"/>
    </row>
    <row r="14" spans="1:8" s="11" customFormat="1" ht="15.75" customHeight="1" x14ac:dyDescent="0.25">
      <c r="A14" s="11" t="s">
        <v>870</v>
      </c>
      <c r="B14" s="24">
        <v>-38937</v>
      </c>
      <c r="C14" s="32">
        <v>44225</v>
      </c>
      <c r="D14" s="53">
        <v>44228</v>
      </c>
      <c r="E14" s="54"/>
      <c r="F14" s="54"/>
      <c r="G14" s="54"/>
      <c r="H14" s="47"/>
    </row>
    <row r="15" spans="1:8" s="11" customFormat="1" ht="15.75" customHeight="1" x14ac:dyDescent="0.25">
      <c r="A15" s="11" t="s">
        <v>875</v>
      </c>
      <c r="B15" s="24">
        <v>-39875</v>
      </c>
      <c r="C15" s="32">
        <v>44225</v>
      </c>
      <c r="D15" s="53">
        <v>44228</v>
      </c>
      <c r="E15" s="54"/>
      <c r="F15" s="54"/>
      <c r="G15" s="54"/>
      <c r="H15" s="47"/>
    </row>
    <row r="16" spans="1:8" s="11" customFormat="1" ht="15.75" customHeight="1" x14ac:dyDescent="0.25">
      <c r="A16" s="11" t="s">
        <v>876</v>
      </c>
      <c r="B16" s="24">
        <v>-42777</v>
      </c>
      <c r="C16" s="32">
        <v>44225</v>
      </c>
      <c r="D16" s="53">
        <v>44228</v>
      </c>
      <c r="E16" s="54"/>
      <c r="F16" s="54"/>
      <c r="G16" s="54"/>
      <c r="H16" s="47"/>
    </row>
    <row r="17" spans="1:8" s="11" customFormat="1" ht="15.75" customHeight="1" x14ac:dyDescent="0.25">
      <c r="A17" s="11" t="s">
        <v>871</v>
      </c>
      <c r="B17" s="24">
        <v>-42861</v>
      </c>
      <c r="C17" s="32">
        <v>44225</v>
      </c>
      <c r="D17" s="53">
        <v>44228</v>
      </c>
      <c r="E17" s="54"/>
      <c r="F17" s="54"/>
      <c r="G17" s="54"/>
      <c r="H17" s="47"/>
    </row>
    <row r="18" spans="1:8" s="11" customFormat="1" ht="15.75" customHeight="1" x14ac:dyDescent="0.25">
      <c r="A18" s="11" t="s">
        <v>872</v>
      </c>
      <c r="B18" s="24">
        <v>-51441</v>
      </c>
      <c r="C18" s="32">
        <v>44224</v>
      </c>
      <c r="D18" s="53">
        <v>44228</v>
      </c>
      <c r="E18" s="54"/>
      <c r="F18" s="54"/>
      <c r="G18" s="54"/>
      <c r="H18" s="47"/>
    </row>
    <row r="19" spans="1:8" s="11" customFormat="1" ht="15.75" customHeight="1" x14ac:dyDescent="0.25">
      <c r="A19" s="11" t="s">
        <v>873</v>
      </c>
      <c r="B19" s="24">
        <v>-53587</v>
      </c>
      <c r="C19" s="32">
        <v>44225</v>
      </c>
      <c r="D19" s="53">
        <v>44228</v>
      </c>
      <c r="E19" s="54"/>
      <c r="F19" s="54"/>
      <c r="G19" s="54"/>
      <c r="H19" s="47"/>
    </row>
    <row r="20" spans="1:8" s="11" customFormat="1" ht="15.75" customHeight="1" x14ac:dyDescent="0.25">
      <c r="A20" s="11" t="s">
        <v>874</v>
      </c>
      <c r="B20" s="24">
        <v>-66768</v>
      </c>
      <c r="C20" s="32">
        <v>44225</v>
      </c>
      <c r="D20" s="53">
        <v>44228</v>
      </c>
      <c r="E20" s="54"/>
      <c r="F20" s="54"/>
      <c r="G20" s="54"/>
      <c r="H20" s="47"/>
    </row>
    <row r="21" spans="1:8" s="11" customFormat="1" ht="15.75" customHeight="1" x14ac:dyDescent="0.25">
      <c r="B21" s="24"/>
      <c r="C21" s="32"/>
      <c r="D21" s="53"/>
      <c r="E21" s="54"/>
      <c r="F21" s="54"/>
      <c r="G21" s="54"/>
      <c r="H21" s="47"/>
    </row>
    <row r="22" spans="1:8" s="11" customFormat="1" ht="15.75" customHeight="1" x14ac:dyDescent="0.25">
      <c r="B22" s="24"/>
      <c r="C22" s="32"/>
      <c r="D22" s="53"/>
      <c r="E22" s="54"/>
      <c r="F22" s="54"/>
      <c r="G22" s="54"/>
      <c r="H22" s="47"/>
    </row>
    <row r="23" spans="1:8" s="11" customFormat="1" ht="15.75" customHeight="1" x14ac:dyDescent="0.25">
      <c r="B23" s="24"/>
      <c r="C23" s="32"/>
      <c r="D23" s="29"/>
      <c r="E23" s="54"/>
      <c r="F23" s="54"/>
      <c r="G23" s="54"/>
      <c r="H23" s="47"/>
    </row>
    <row r="24" spans="1:8" s="11" customFormat="1" ht="15.75" customHeight="1" x14ac:dyDescent="0.25">
      <c r="B24" s="24"/>
      <c r="C24" s="42"/>
      <c r="D24" s="53"/>
      <c r="E24" s="54"/>
      <c r="F24" s="54"/>
      <c r="G24" s="54"/>
      <c r="H24" s="47"/>
    </row>
    <row r="25" spans="1:8" s="11" customFormat="1" ht="15.95" customHeight="1" x14ac:dyDescent="0.25">
      <c r="B25" s="24">
        <f>SUM(B9:B24)</f>
        <v>-514877</v>
      </c>
      <c r="C25" s="18"/>
      <c r="D25" s="19"/>
      <c r="E25" s="19"/>
      <c r="F25" s="19"/>
      <c r="G25" s="19"/>
    </row>
    <row r="26" spans="1:8" s="11" customFormat="1" ht="15.95" customHeight="1" x14ac:dyDescent="0.25">
      <c r="A26" s="11" t="s">
        <v>2</v>
      </c>
      <c r="B26" s="24"/>
      <c r="C26" s="30" t="s">
        <v>702</v>
      </c>
      <c r="D26" s="52" t="s">
        <v>628</v>
      </c>
    </row>
    <row r="27" spans="1:8" s="11" customFormat="1" ht="15.95" customHeight="1" x14ac:dyDescent="0.25">
      <c r="A27" s="39" t="s">
        <v>877</v>
      </c>
      <c r="B27" s="46">
        <v>20674</v>
      </c>
      <c r="C27" s="31" t="s">
        <v>889</v>
      </c>
      <c r="D27" s="29" t="s">
        <v>888</v>
      </c>
      <c r="E27" s="39"/>
      <c r="F27" s="39"/>
    </row>
    <row r="28" spans="1:8" s="11" customFormat="1" ht="15.95" customHeight="1" x14ac:dyDescent="0.25">
      <c r="A28" s="39" t="s">
        <v>856</v>
      </c>
      <c r="B28" s="46">
        <v>24654</v>
      </c>
      <c r="C28" s="31" t="s">
        <v>889</v>
      </c>
      <c r="D28" s="29" t="s">
        <v>888</v>
      </c>
      <c r="E28" s="39"/>
      <c r="F28" s="39"/>
    </row>
    <row r="29" spans="1:8" s="11" customFormat="1" ht="15.95" customHeight="1" x14ac:dyDescent="0.25">
      <c r="A29" s="39" t="s">
        <v>878</v>
      </c>
      <c r="B29" s="46">
        <v>26124</v>
      </c>
      <c r="C29" s="42" t="s">
        <v>889</v>
      </c>
      <c r="D29" s="29" t="s">
        <v>888</v>
      </c>
      <c r="E29" s="39"/>
      <c r="F29" s="39"/>
    </row>
    <row r="30" spans="1:8" s="11" customFormat="1" ht="15.95" customHeight="1" x14ac:dyDescent="0.25">
      <c r="A30" s="39" t="s">
        <v>879</v>
      </c>
      <c r="B30" s="46">
        <v>27653</v>
      </c>
      <c r="C30" s="42" t="s">
        <v>889</v>
      </c>
      <c r="D30" s="29" t="s">
        <v>888</v>
      </c>
      <c r="E30" s="39"/>
      <c r="F30" s="39"/>
    </row>
    <row r="31" spans="1:8" s="11" customFormat="1" ht="15.95" customHeight="1" x14ac:dyDescent="0.25">
      <c r="A31" s="39" t="s">
        <v>880</v>
      </c>
      <c r="B31" s="46">
        <v>29179</v>
      </c>
      <c r="C31" s="42" t="s">
        <v>889</v>
      </c>
      <c r="D31" s="29" t="s">
        <v>888</v>
      </c>
      <c r="E31" s="39"/>
      <c r="F31" s="39"/>
    </row>
    <row r="32" spans="1:8" s="11" customFormat="1" ht="15.95" customHeight="1" x14ac:dyDescent="0.25">
      <c r="A32" s="39" t="s">
        <v>881</v>
      </c>
      <c r="B32" s="46">
        <v>41661</v>
      </c>
      <c r="C32" s="42" t="s">
        <v>889</v>
      </c>
      <c r="D32" s="29" t="s">
        <v>888</v>
      </c>
      <c r="E32" s="39"/>
      <c r="F32" s="39"/>
    </row>
    <row r="33" spans="1:6" s="11" customFormat="1" ht="15.95" customHeight="1" x14ac:dyDescent="0.25">
      <c r="A33" s="39" t="s">
        <v>882</v>
      </c>
      <c r="B33" s="46">
        <v>46157</v>
      </c>
      <c r="C33" s="42" t="s">
        <v>889</v>
      </c>
      <c r="D33" s="29" t="s">
        <v>888</v>
      </c>
      <c r="E33" s="39"/>
      <c r="F33" s="39"/>
    </row>
    <row r="34" spans="1:6" s="11" customFormat="1" ht="15.95" customHeight="1" x14ac:dyDescent="0.25">
      <c r="A34" s="39" t="s">
        <v>883</v>
      </c>
      <c r="B34" s="46">
        <v>49002</v>
      </c>
      <c r="C34" s="42" t="s">
        <v>889</v>
      </c>
      <c r="D34" s="29" t="s">
        <v>888</v>
      </c>
      <c r="E34" s="39"/>
      <c r="F34" s="39"/>
    </row>
    <row r="35" spans="1:6" s="11" customFormat="1" ht="15.95" customHeight="1" x14ac:dyDescent="0.25">
      <c r="A35" s="39" t="s">
        <v>884</v>
      </c>
      <c r="B35" s="46">
        <v>63294</v>
      </c>
      <c r="C35" s="42" t="s">
        <v>889</v>
      </c>
      <c r="D35" s="29" t="s">
        <v>888</v>
      </c>
      <c r="E35" s="39"/>
      <c r="F35" s="39"/>
    </row>
    <row r="36" spans="1:6" s="11" customFormat="1" ht="15.95" customHeight="1" x14ac:dyDescent="0.25">
      <c r="A36" s="39" t="s">
        <v>885</v>
      </c>
      <c r="B36" s="46">
        <v>74156</v>
      </c>
      <c r="C36" s="42" t="s">
        <v>889</v>
      </c>
      <c r="D36" s="29" t="s">
        <v>888</v>
      </c>
      <c r="E36" s="39"/>
      <c r="F36" s="39"/>
    </row>
    <row r="37" spans="1:6" s="11" customFormat="1" ht="15.95" customHeight="1" x14ac:dyDescent="0.25">
      <c r="A37" s="39" t="s">
        <v>887</v>
      </c>
      <c r="B37" s="46">
        <v>77409</v>
      </c>
      <c r="C37" s="42" t="s">
        <v>889</v>
      </c>
      <c r="D37" s="29" t="s">
        <v>888</v>
      </c>
      <c r="E37" s="39"/>
      <c r="F37" s="39"/>
    </row>
    <row r="38" spans="1:6" s="11" customFormat="1" ht="15.75" customHeight="1" x14ac:dyDescent="0.25">
      <c r="A38" s="39" t="s">
        <v>886</v>
      </c>
      <c r="B38" s="46">
        <v>116690</v>
      </c>
      <c r="C38" s="42" t="s">
        <v>889</v>
      </c>
      <c r="D38" s="29" t="s">
        <v>888</v>
      </c>
      <c r="E38" s="39"/>
      <c r="F38" s="39"/>
    </row>
    <row r="39" spans="1:6" s="11" customFormat="1" ht="15.75" customHeight="1" x14ac:dyDescent="0.25">
      <c r="A39" s="39"/>
      <c r="B39" s="46"/>
      <c r="C39" s="19"/>
      <c r="D39" s="29"/>
      <c r="E39" s="39"/>
      <c r="F39" s="39"/>
    </row>
    <row r="40" spans="1:6" s="11" customFormat="1" ht="15.95" customHeight="1" x14ac:dyDescent="0.25">
      <c r="B40" s="24">
        <f>SUM(B27:B39)</f>
        <v>596653</v>
      </c>
      <c r="C40" s="13"/>
      <c r="D40" s="13"/>
    </row>
    <row r="41" spans="1:6" s="11" customFormat="1" ht="15.95" customHeight="1" x14ac:dyDescent="0.25">
      <c r="A41" s="11" t="s">
        <v>1</v>
      </c>
      <c r="B41" s="12">
        <f>B40+B25</f>
        <v>81776</v>
      </c>
      <c r="C41" s="13"/>
      <c r="D41" s="13"/>
    </row>
    <row r="42" spans="1:6" s="11" customFormat="1" ht="15.95" customHeight="1" x14ac:dyDescent="0.25">
      <c r="A42" s="15" t="s">
        <v>0</v>
      </c>
      <c r="B42" s="16">
        <f>B41-B7</f>
        <v>0</v>
      </c>
      <c r="C42" s="13"/>
      <c r="D42" s="13"/>
    </row>
    <row r="43" spans="1:6" s="11" customFormat="1" ht="15.95" customHeight="1" x14ac:dyDescent="0.25">
      <c r="B43" s="12"/>
      <c r="C43" s="13"/>
      <c r="D43" s="13"/>
    </row>
    <row r="44" spans="1:6" s="11" customFormat="1" ht="20.100000000000001" customHeight="1" x14ac:dyDescent="0.3">
      <c r="A44" s="1"/>
      <c r="B44" s="3"/>
      <c r="C44" s="13"/>
      <c r="D44" s="13"/>
    </row>
    <row r="45" spans="1:6" s="11" customFormat="1" ht="20.100000000000001" customHeight="1" x14ac:dyDescent="0.3">
      <c r="A45" s="1"/>
      <c r="B45" s="3"/>
      <c r="C45" s="13"/>
      <c r="D45" s="13"/>
    </row>
    <row r="46" spans="1:6" s="11" customFormat="1" ht="20.100000000000001" customHeight="1" x14ac:dyDescent="0.3">
      <c r="A46" s="1"/>
      <c r="B46" s="3"/>
      <c r="C46" s="13"/>
      <c r="D46" s="13"/>
    </row>
    <row r="47" spans="1:6" s="11" customFormat="1" ht="20.100000000000001" customHeight="1" x14ac:dyDescent="0.3">
      <c r="A47" s="1"/>
      <c r="B47" s="3"/>
      <c r="C47" s="13"/>
      <c r="D47" s="13"/>
    </row>
    <row r="48" spans="1:6" s="11" customFormat="1" ht="20.100000000000001" customHeight="1" x14ac:dyDescent="0.3">
      <c r="A48" s="1"/>
      <c r="B48" s="3"/>
      <c r="C48" s="13"/>
      <c r="D48" s="13"/>
    </row>
    <row r="49" spans="1:9" s="13" customFormat="1" ht="20.100000000000001" customHeight="1" x14ac:dyDescent="0.3">
      <c r="A49" s="1"/>
      <c r="B49" s="3"/>
      <c r="E49" s="11"/>
      <c r="F49" s="11"/>
      <c r="G49" s="11"/>
      <c r="H49" s="11"/>
      <c r="I49" s="11"/>
    </row>
    <row r="50" spans="1:9" s="13" customFormat="1" ht="20.100000000000001" customHeight="1" x14ac:dyDescent="0.3">
      <c r="A50" s="1"/>
      <c r="B50" s="3"/>
      <c r="E50" s="11"/>
      <c r="F50" s="11"/>
      <c r="G50" s="11"/>
      <c r="H50" s="11"/>
      <c r="I50" s="11"/>
    </row>
    <row r="51" spans="1:9" s="13" customFormat="1" ht="20.100000000000001" customHeight="1" x14ac:dyDescent="0.3">
      <c r="A51" s="1"/>
      <c r="B51" s="3"/>
      <c r="E51" s="11"/>
      <c r="F51" s="11"/>
      <c r="G51" s="11"/>
      <c r="H51" s="11"/>
      <c r="I51" s="11"/>
    </row>
    <row r="52" spans="1:9" ht="20.100000000000001" customHeight="1" x14ac:dyDescent="0.3"/>
    <row r="53" spans="1:9" ht="20.100000000000001" customHeight="1" x14ac:dyDescent="0.3"/>
    <row r="54" spans="1:9" ht="20.100000000000001" customHeight="1" x14ac:dyDescent="0.3"/>
    <row r="55" spans="1:9" ht="20.100000000000001" customHeight="1" x14ac:dyDescent="0.3"/>
  </sheetData>
  <pageMargins left="0.7" right="0.7" top="0.75" bottom="0.75" header="0.3" footer="0.3"/>
  <pageSetup fitToHeight="0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fitToPage="1"/>
  </sheetPr>
  <dimension ref="A1:I50"/>
  <sheetViews>
    <sheetView topLeftCell="A7" workbookViewId="0">
      <selection activeCell="D22" sqref="D22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18.7109375" style="6" customWidth="1"/>
    <col min="4" max="4" width="19.7109375" style="6" customWidth="1"/>
    <col min="5" max="7" width="9.140625" style="1"/>
    <col min="8" max="8" width="17.7109375" style="1" customWidth="1"/>
    <col min="9" max="16384" width="9.140625" style="1"/>
  </cols>
  <sheetData>
    <row r="1" spans="1:8" s="11" customFormat="1" ht="20.100000000000001" customHeight="1" x14ac:dyDescent="0.25">
      <c r="A1" s="11" t="s">
        <v>304</v>
      </c>
      <c r="B1" s="12"/>
      <c r="C1" s="13"/>
      <c r="D1" s="13"/>
    </row>
    <row r="2" spans="1:8" s="11" customFormat="1" ht="20.100000000000001" customHeight="1" x14ac:dyDescent="0.25">
      <c r="A2" s="14">
        <v>44255</v>
      </c>
      <c r="B2" s="12"/>
      <c r="C2" s="13"/>
      <c r="D2" s="13"/>
    </row>
    <row r="3" spans="1:8" s="11" customFormat="1" ht="20.100000000000001" customHeight="1" x14ac:dyDescent="0.25">
      <c r="A3" s="11" t="s">
        <v>311</v>
      </c>
      <c r="B3" s="12">
        <v>11280767</v>
      </c>
      <c r="C3" s="13"/>
      <c r="D3" s="13"/>
    </row>
    <row r="4" spans="1:8" s="11" customFormat="1" ht="20.100000000000001" customHeight="1" x14ac:dyDescent="0.25">
      <c r="A4" s="11" t="s">
        <v>6</v>
      </c>
      <c r="B4" s="12"/>
      <c r="C4" s="13"/>
      <c r="D4" s="13"/>
    </row>
    <row r="5" spans="1:8" s="11" customFormat="1" ht="20.100000000000001" customHeight="1" x14ac:dyDescent="0.25">
      <c r="A5" s="11">
        <v>2100</v>
      </c>
      <c r="B5" s="12">
        <v>-11684641</v>
      </c>
      <c r="C5" s="13"/>
      <c r="D5" s="13"/>
    </row>
    <row r="6" spans="1:8" s="11" customFormat="1" ht="20.100000000000001" customHeight="1" x14ac:dyDescent="0.25">
      <c r="A6" s="11" t="s">
        <v>5</v>
      </c>
      <c r="B6" s="12">
        <f>SUM(B5)</f>
        <v>-11684641</v>
      </c>
      <c r="C6" s="13"/>
      <c r="D6" s="13"/>
    </row>
    <row r="7" spans="1:8" s="11" customFormat="1" ht="20.100000000000001" customHeight="1" x14ac:dyDescent="0.25">
      <c r="A7" s="15" t="s">
        <v>4</v>
      </c>
      <c r="B7" s="16">
        <f>B6+B3</f>
        <v>-403874</v>
      </c>
      <c r="C7" s="13"/>
      <c r="D7" s="13"/>
    </row>
    <row r="8" spans="1:8" s="11" customFormat="1" ht="15.95" customHeight="1" x14ac:dyDescent="0.25">
      <c r="A8" s="11" t="s">
        <v>3</v>
      </c>
      <c r="B8" s="12"/>
      <c r="C8" s="44" t="s">
        <v>628</v>
      </c>
      <c r="D8" s="52" t="s">
        <v>626</v>
      </c>
    </row>
    <row r="9" spans="1:8" s="11" customFormat="1" ht="15.95" customHeight="1" x14ac:dyDescent="0.25">
      <c r="A9" s="11" t="s">
        <v>890</v>
      </c>
      <c r="B9" s="24">
        <v>-24636</v>
      </c>
      <c r="C9" s="31">
        <v>44252</v>
      </c>
      <c r="D9" s="51">
        <v>44256</v>
      </c>
      <c r="E9" s="55"/>
      <c r="F9" s="55"/>
      <c r="G9" s="55"/>
      <c r="H9" s="47"/>
    </row>
    <row r="10" spans="1:8" s="11" customFormat="1" ht="15.95" customHeight="1" x14ac:dyDescent="0.25">
      <c r="A10" s="11" t="s">
        <v>891</v>
      </c>
      <c r="B10" s="24">
        <v>-24986</v>
      </c>
      <c r="C10" s="31">
        <v>44252</v>
      </c>
      <c r="D10" s="51">
        <v>44256</v>
      </c>
      <c r="E10" s="55"/>
      <c r="F10" s="55"/>
      <c r="G10" s="55"/>
      <c r="H10" s="47"/>
    </row>
    <row r="11" spans="1:8" s="11" customFormat="1" ht="15.75" customHeight="1" x14ac:dyDescent="0.25">
      <c r="A11" s="11" t="s">
        <v>892</v>
      </c>
      <c r="B11" s="24">
        <v>-26071</v>
      </c>
      <c r="C11" s="32">
        <v>44252</v>
      </c>
      <c r="D11" s="53">
        <v>44256</v>
      </c>
      <c r="E11" s="55"/>
      <c r="F11" s="55"/>
      <c r="G11" s="55"/>
      <c r="H11" s="47"/>
    </row>
    <row r="12" spans="1:8" s="11" customFormat="1" ht="15.75" customHeight="1" x14ac:dyDescent="0.25">
      <c r="A12" s="11" t="s">
        <v>893</v>
      </c>
      <c r="B12" s="24">
        <v>-26071</v>
      </c>
      <c r="C12" s="32">
        <v>44252</v>
      </c>
      <c r="D12" s="53">
        <v>44256</v>
      </c>
      <c r="E12" s="54"/>
      <c r="F12" s="54"/>
      <c r="G12" s="54"/>
      <c r="H12" s="47"/>
    </row>
    <row r="13" spans="1:8" s="11" customFormat="1" ht="15.75" customHeight="1" x14ac:dyDescent="0.25">
      <c r="A13" s="11" t="s">
        <v>894</v>
      </c>
      <c r="B13" s="24">
        <v>-26423</v>
      </c>
      <c r="C13" s="32">
        <v>44252</v>
      </c>
      <c r="D13" s="53">
        <v>44256</v>
      </c>
      <c r="E13" s="54"/>
      <c r="F13" s="54"/>
      <c r="G13" s="54"/>
      <c r="H13" s="47"/>
    </row>
    <row r="14" spans="1:8" s="11" customFormat="1" ht="15.75" customHeight="1" x14ac:dyDescent="0.25">
      <c r="A14" s="11" t="s">
        <v>895</v>
      </c>
      <c r="B14" s="24">
        <v>-30073</v>
      </c>
      <c r="C14" s="32">
        <v>44252</v>
      </c>
      <c r="D14" s="53">
        <v>44256</v>
      </c>
      <c r="E14" s="54"/>
      <c r="F14" s="54"/>
      <c r="G14" s="54"/>
      <c r="H14" s="47"/>
    </row>
    <row r="15" spans="1:8" s="11" customFormat="1" ht="15.75" customHeight="1" x14ac:dyDescent="0.25">
      <c r="A15" s="11" t="s">
        <v>896</v>
      </c>
      <c r="B15" s="24">
        <v>-30875</v>
      </c>
      <c r="C15" s="32" t="s">
        <v>904</v>
      </c>
      <c r="D15" s="53"/>
      <c r="E15" s="54"/>
      <c r="F15" s="54"/>
      <c r="G15" s="54"/>
      <c r="H15" s="47"/>
    </row>
    <row r="16" spans="1:8" s="11" customFormat="1" ht="15.75" customHeight="1" x14ac:dyDescent="0.25">
      <c r="A16" s="11" t="s">
        <v>897</v>
      </c>
      <c r="B16" s="24">
        <v>-36375</v>
      </c>
      <c r="C16" s="32">
        <v>44251</v>
      </c>
      <c r="D16" s="53">
        <v>44256</v>
      </c>
      <c r="E16" s="54"/>
      <c r="F16" s="54"/>
      <c r="G16" s="54"/>
      <c r="H16" s="47"/>
    </row>
    <row r="17" spans="1:8" s="11" customFormat="1" ht="15.75" customHeight="1" x14ac:dyDescent="0.25">
      <c r="A17" s="11" t="s">
        <v>898</v>
      </c>
      <c r="B17" s="24">
        <v>-40786</v>
      </c>
      <c r="C17" s="32">
        <v>44253</v>
      </c>
      <c r="D17" s="53">
        <v>44256</v>
      </c>
      <c r="E17" s="54"/>
      <c r="F17" s="54"/>
      <c r="G17" s="54"/>
      <c r="H17" s="47"/>
    </row>
    <row r="18" spans="1:8" s="11" customFormat="1" ht="15.75" customHeight="1" x14ac:dyDescent="0.25">
      <c r="A18" s="11" t="s">
        <v>899</v>
      </c>
      <c r="B18" s="24">
        <v>-41073</v>
      </c>
      <c r="C18" s="32">
        <v>44253</v>
      </c>
      <c r="D18" s="53">
        <v>44256</v>
      </c>
      <c r="E18" s="54"/>
      <c r="F18" s="54"/>
      <c r="G18" s="54"/>
      <c r="H18" s="47"/>
    </row>
    <row r="19" spans="1:8" s="11" customFormat="1" ht="15.75" customHeight="1" x14ac:dyDescent="0.25">
      <c r="A19" s="11" t="s">
        <v>900</v>
      </c>
      <c r="B19" s="24">
        <v>-42084</v>
      </c>
      <c r="C19" s="32">
        <v>44252</v>
      </c>
      <c r="D19" s="53">
        <v>44256</v>
      </c>
      <c r="E19" s="54"/>
      <c r="F19" s="54"/>
      <c r="G19" s="54"/>
      <c r="H19" s="47"/>
    </row>
    <row r="20" spans="1:8" s="11" customFormat="1" ht="15.75" customHeight="1" x14ac:dyDescent="0.25">
      <c r="A20" s="11" t="s">
        <v>901</v>
      </c>
      <c r="B20" s="24">
        <v>-42084</v>
      </c>
      <c r="C20" s="32">
        <v>44254</v>
      </c>
      <c r="D20" s="53">
        <v>44257</v>
      </c>
      <c r="E20" s="54"/>
      <c r="F20" s="54"/>
      <c r="G20" s="54"/>
      <c r="H20" s="47"/>
    </row>
    <row r="21" spans="1:8" s="11" customFormat="1" ht="15.75" customHeight="1" x14ac:dyDescent="0.25">
      <c r="A21" s="11" t="s">
        <v>902</v>
      </c>
      <c r="B21" s="24">
        <v>-43386</v>
      </c>
      <c r="C21" s="32">
        <v>44253</v>
      </c>
      <c r="D21" s="53">
        <v>44256</v>
      </c>
      <c r="E21" s="54"/>
      <c r="F21" s="54"/>
      <c r="G21" s="54"/>
      <c r="H21" s="47"/>
    </row>
    <row r="22" spans="1:8" s="11" customFormat="1" ht="15.75" customHeight="1" x14ac:dyDescent="0.25">
      <c r="B22" s="24"/>
      <c r="C22" s="32"/>
      <c r="D22" s="53"/>
      <c r="E22" s="54"/>
      <c r="F22" s="54"/>
      <c r="G22" s="54"/>
      <c r="H22" s="47"/>
    </row>
    <row r="23" spans="1:8" s="11" customFormat="1" ht="15.75" customHeight="1" x14ac:dyDescent="0.25">
      <c r="B23" s="24"/>
      <c r="C23" s="32"/>
      <c r="D23" s="29"/>
      <c r="E23" s="54"/>
      <c r="F23" s="54"/>
      <c r="G23" s="54"/>
      <c r="H23" s="47"/>
    </row>
    <row r="24" spans="1:8" s="11" customFormat="1" ht="15.75" customHeight="1" x14ac:dyDescent="0.25">
      <c r="B24" s="24"/>
      <c r="C24" s="42"/>
      <c r="D24" s="53"/>
      <c r="E24" s="54"/>
      <c r="F24" s="54"/>
      <c r="G24" s="54"/>
      <c r="H24" s="47"/>
    </row>
    <row r="25" spans="1:8" s="11" customFormat="1" ht="15.95" customHeight="1" x14ac:dyDescent="0.25">
      <c r="B25" s="24">
        <f>SUM(B9:B24)</f>
        <v>-434923</v>
      </c>
      <c r="C25" s="18"/>
      <c r="D25" s="19"/>
      <c r="E25" s="19"/>
      <c r="F25" s="19"/>
      <c r="G25" s="19"/>
    </row>
    <row r="26" spans="1:8" s="11" customFormat="1" ht="15.95" customHeight="1" x14ac:dyDescent="0.25">
      <c r="A26" s="11" t="s">
        <v>2</v>
      </c>
      <c r="B26" s="24"/>
      <c r="C26" s="30" t="s">
        <v>702</v>
      </c>
      <c r="D26" s="52" t="s">
        <v>628</v>
      </c>
    </row>
    <row r="27" spans="1:8" s="11" customFormat="1" ht="15.95" customHeight="1" x14ac:dyDescent="0.25">
      <c r="A27" s="39" t="s">
        <v>903</v>
      </c>
      <c r="B27" s="46">
        <v>31049</v>
      </c>
      <c r="C27" s="31" t="s">
        <v>904</v>
      </c>
      <c r="D27" s="29"/>
      <c r="E27" s="39"/>
      <c r="F27" s="39"/>
    </row>
    <row r="28" spans="1:8" s="11" customFormat="1" ht="15.95" customHeight="1" x14ac:dyDescent="0.25">
      <c r="A28" s="39"/>
      <c r="B28" s="46"/>
      <c r="C28" s="31"/>
      <c r="D28" s="29"/>
      <c r="E28" s="39"/>
      <c r="F28" s="39"/>
    </row>
    <row r="29" spans="1:8" s="11" customFormat="1" ht="15.95" customHeight="1" x14ac:dyDescent="0.25">
      <c r="A29" s="39"/>
      <c r="B29" s="46"/>
      <c r="C29" s="42"/>
      <c r="D29" s="29"/>
      <c r="E29" s="39"/>
      <c r="F29" s="39"/>
    </row>
    <row r="30" spans="1:8" s="11" customFormat="1" ht="15.95" customHeight="1" x14ac:dyDescent="0.25">
      <c r="A30" s="39"/>
      <c r="B30" s="46"/>
      <c r="C30" s="42"/>
      <c r="D30" s="29"/>
      <c r="E30" s="39"/>
      <c r="F30" s="39"/>
    </row>
    <row r="31" spans="1:8" s="11" customFormat="1" ht="15.95" customHeight="1" x14ac:dyDescent="0.25">
      <c r="A31" s="39"/>
      <c r="B31" s="46"/>
      <c r="C31" s="42"/>
      <c r="D31" s="29"/>
      <c r="E31" s="39"/>
      <c r="F31" s="39"/>
    </row>
    <row r="32" spans="1:8" s="11" customFormat="1" ht="15.95" customHeight="1" x14ac:dyDescent="0.25">
      <c r="A32" s="39"/>
      <c r="B32" s="46"/>
      <c r="C32" s="42"/>
      <c r="D32" s="29"/>
      <c r="E32" s="39"/>
      <c r="F32" s="39"/>
    </row>
    <row r="33" spans="1:9" s="11" customFormat="1" ht="15.75" customHeight="1" x14ac:dyDescent="0.25">
      <c r="A33" s="39"/>
      <c r="B33" s="46"/>
      <c r="C33" s="42"/>
      <c r="D33" s="29"/>
      <c r="E33" s="39"/>
      <c r="F33" s="39"/>
    </row>
    <row r="34" spans="1:9" s="11" customFormat="1" ht="15.75" customHeight="1" x14ac:dyDescent="0.25">
      <c r="A34" s="39"/>
      <c r="B34" s="46"/>
      <c r="C34" s="19"/>
      <c r="D34" s="29"/>
      <c r="E34" s="39"/>
      <c r="F34" s="39"/>
    </row>
    <row r="35" spans="1:9" s="11" customFormat="1" ht="15.95" customHeight="1" x14ac:dyDescent="0.25">
      <c r="B35" s="24">
        <f>SUM(B27:B34)</f>
        <v>31049</v>
      </c>
      <c r="C35" s="13"/>
      <c r="D35" s="13"/>
    </row>
    <row r="36" spans="1:9" s="11" customFormat="1" ht="15.95" customHeight="1" x14ac:dyDescent="0.25">
      <c r="A36" s="11" t="s">
        <v>1</v>
      </c>
      <c r="B36" s="12">
        <f>B35+B25</f>
        <v>-403874</v>
      </c>
      <c r="C36" s="13"/>
      <c r="D36" s="13"/>
    </row>
    <row r="37" spans="1:9" s="11" customFormat="1" ht="15.95" customHeight="1" x14ac:dyDescent="0.25">
      <c r="A37" s="15" t="s">
        <v>0</v>
      </c>
      <c r="B37" s="16">
        <f>B36-B7</f>
        <v>0</v>
      </c>
      <c r="C37" s="13"/>
      <c r="D37" s="13"/>
    </row>
    <row r="38" spans="1:9" s="11" customFormat="1" ht="15.95" customHeight="1" x14ac:dyDescent="0.25">
      <c r="B38" s="12"/>
      <c r="C38" s="13"/>
      <c r="D38" s="13"/>
    </row>
    <row r="39" spans="1:9" s="11" customFormat="1" ht="20.100000000000001" customHeight="1" x14ac:dyDescent="0.3">
      <c r="A39" s="1"/>
      <c r="B39" s="3"/>
      <c r="C39" s="13"/>
      <c r="D39" s="13"/>
    </row>
    <row r="40" spans="1:9" s="11" customFormat="1" ht="20.100000000000001" customHeight="1" x14ac:dyDescent="0.3">
      <c r="A40" s="1"/>
      <c r="B40" s="3"/>
      <c r="C40" s="13"/>
      <c r="D40" s="13"/>
    </row>
    <row r="41" spans="1:9" s="11" customFormat="1" ht="20.100000000000001" customHeight="1" x14ac:dyDescent="0.3">
      <c r="A41" s="1"/>
      <c r="B41" s="3"/>
      <c r="C41" s="13"/>
      <c r="D41" s="13"/>
    </row>
    <row r="42" spans="1:9" s="11" customFormat="1" ht="20.100000000000001" customHeight="1" x14ac:dyDescent="0.3">
      <c r="A42" s="1"/>
      <c r="B42" s="3"/>
      <c r="C42" s="13"/>
      <c r="D42" s="13"/>
    </row>
    <row r="43" spans="1:9" s="11" customFormat="1" ht="20.100000000000001" customHeight="1" x14ac:dyDescent="0.3">
      <c r="A43" s="1"/>
      <c r="B43" s="3"/>
      <c r="C43" s="13"/>
      <c r="D43" s="13"/>
    </row>
    <row r="44" spans="1:9" s="13" customFormat="1" ht="20.100000000000001" customHeight="1" x14ac:dyDescent="0.3">
      <c r="A44" s="1"/>
      <c r="B44" s="3"/>
      <c r="E44" s="11"/>
      <c r="F44" s="11"/>
      <c r="G44" s="11"/>
      <c r="H44" s="11"/>
      <c r="I44" s="11"/>
    </row>
    <row r="45" spans="1:9" s="13" customFormat="1" ht="20.100000000000001" customHeight="1" x14ac:dyDescent="0.3">
      <c r="A45" s="1"/>
      <c r="B45" s="3"/>
      <c r="E45" s="11"/>
      <c r="F45" s="11"/>
      <c r="G45" s="11"/>
      <c r="H45" s="11"/>
      <c r="I45" s="11"/>
    </row>
    <row r="46" spans="1:9" s="13" customFormat="1" ht="20.100000000000001" customHeight="1" x14ac:dyDescent="0.3">
      <c r="A46" s="1"/>
      <c r="B46" s="3"/>
      <c r="E46" s="11"/>
      <c r="F46" s="11"/>
      <c r="G46" s="11"/>
      <c r="H46" s="11"/>
      <c r="I46" s="11"/>
    </row>
    <row r="47" spans="1:9" ht="20.100000000000001" customHeight="1" x14ac:dyDescent="0.3"/>
    <row r="48" spans="1:9" ht="20.100000000000001" customHeight="1" x14ac:dyDescent="0.3"/>
    <row r="49" ht="20.100000000000001" customHeight="1" x14ac:dyDescent="0.3"/>
    <row r="50" ht="20.100000000000001" customHeight="1" x14ac:dyDescent="0.3"/>
  </sheetData>
  <pageMargins left="0.7" right="0.7" top="0.75" bottom="0.75" header="0.3" footer="0.3"/>
  <pageSetup fitToHeight="0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A1:I37"/>
  <sheetViews>
    <sheetView workbookViewId="0">
      <selection activeCell="D26" sqref="D26:D27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28.140625" style="6" customWidth="1"/>
    <col min="4" max="4" width="19.7109375" style="6" customWidth="1"/>
    <col min="5" max="7" width="9.140625" style="1"/>
    <col min="8" max="8" width="17.7109375" style="1" customWidth="1"/>
    <col min="9" max="16384" width="9.140625" style="1"/>
  </cols>
  <sheetData>
    <row r="1" spans="1:8" s="11" customFormat="1" ht="20.100000000000001" customHeight="1" x14ac:dyDescent="0.25">
      <c r="A1" s="11" t="s">
        <v>304</v>
      </c>
      <c r="B1" s="12"/>
      <c r="C1" s="13"/>
      <c r="D1" s="13"/>
    </row>
    <row r="2" spans="1:8" s="11" customFormat="1" ht="20.100000000000001" customHeight="1" x14ac:dyDescent="0.25">
      <c r="A2" s="14">
        <v>44286</v>
      </c>
      <c r="B2" s="12"/>
      <c r="C2" s="13"/>
      <c r="D2" s="13"/>
    </row>
    <row r="3" spans="1:8" s="11" customFormat="1" ht="20.100000000000001" customHeight="1" x14ac:dyDescent="0.25">
      <c r="A3" s="11" t="s">
        <v>311</v>
      </c>
      <c r="B3" s="12">
        <v>13009698</v>
      </c>
      <c r="C3" s="13"/>
      <c r="D3" s="13"/>
    </row>
    <row r="4" spans="1:8" s="11" customFormat="1" ht="20.100000000000001" customHeight="1" x14ac:dyDescent="0.25">
      <c r="A4" s="11" t="s">
        <v>6</v>
      </c>
      <c r="B4" s="12"/>
      <c r="C4" s="13"/>
      <c r="D4" s="13"/>
    </row>
    <row r="5" spans="1:8" s="11" customFormat="1" ht="20.100000000000001" customHeight="1" x14ac:dyDescent="0.25">
      <c r="A5" s="11">
        <v>2100</v>
      </c>
      <c r="B5" s="12">
        <v>-13276683</v>
      </c>
      <c r="C5" s="13"/>
      <c r="D5" s="13"/>
    </row>
    <row r="6" spans="1:8" s="11" customFormat="1" ht="20.100000000000001" customHeight="1" x14ac:dyDescent="0.25">
      <c r="A6" s="11" t="s">
        <v>5</v>
      </c>
      <c r="B6" s="12">
        <f>SUM(B5)</f>
        <v>-13276683</v>
      </c>
      <c r="C6" s="13"/>
      <c r="D6" s="13"/>
    </row>
    <row r="7" spans="1:8" s="11" customFormat="1" ht="20.100000000000001" customHeight="1" x14ac:dyDescent="0.25">
      <c r="A7" s="15" t="s">
        <v>4</v>
      </c>
      <c r="B7" s="16">
        <f>B6+B3</f>
        <v>-266985</v>
      </c>
      <c r="C7" s="13"/>
      <c r="D7" s="13"/>
    </row>
    <row r="8" spans="1:8" s="11" customFormat="1" ht="15.95" customHeight="1" x14ac:dyDescent="0.25">
      <c r="A8" s="11" t="s">
        <v>3</v>
      </c>
      <c r="B8" s="12"/>
      <c r="C8" s="44" t="s">
        <v>628</v>
      </c>
      <c r="D8" s="52" t="s">
        <v>626</v>
      </c>
    </row>
    <row r="9" spans="1:8" s="11" customFormat="1" ht="15.95" customHeight="1" x14ac:dyDescent="0.25">
      <c r="A9" s="11" t="s">
        <v>905</v>
      </c>
      <c r="B9" s="24">
        <v>-29705</v>
      </c>
      <c r="C9" s="31">
        <v>44285</v>
      </c>
      <c r="D9" s="51">
        <v>44288</v>
      </c>
      <c r="E9" s="55"/>
      <c r="F9" s="55"/>
      <c r="G9" s="55"/>
      <c r="H9" s="47"/>
    </row>
    <row r="10" spans="1:8" s="11" customFormat="1" ht="15.95" customHeight="1" x14ac:dyDescent="0.25">
      <c r="A10" s="11" t="s">
        <v>906</v>
      </c>
      <c r="B10" s="24">
        <v>-39847</v>
      </c>
      <c r="C10" s="31">
        <v>44286</v>
      </c>
      <c r="D10" s="51">
        <v>44287</v>
      </c>
      <c r="E10" s="55"/>
      <c r="F10" s="55"/>
      <c r="G10" s="55"/>
      <c r="H10" s="47"/>
    </row>
    <row r="11" spans="1:8" s="11" customFormat="1" ht="18" customHeight="1" x14ac:dyDescent="0.25">
      <c r="A11" s="11" t="s">
        <v>907</v>
      </c>
      <c r="B11" s="24">
        <v>-47969</v>
      </c>
      <c r="C11" s="32">
        <v>44286</v>
      </c>
      <c r="D11" s="53">
        <v>44287</v>
      </c>
      <c r="E11" s="55"/>
      <c r="F11" s="55"/>
      <c r="G11" s="55"/>
      <c r="H11" s="47"/>
    </row>
    <row r="12" spans="1:8" s="11" customFormat="1" ht="15.75" customHeight="1" x14ac:dyDescent="0.25">
      <c r="A12" s="213" t="s">
        <v>908</v>
      </c>
      <c r="B12" s="214">
        <v>-63177</v>
      </c>
      <c r="C12" s="215" t="s">
        <v>913</v>
      </c>
      <c r="D12" s="216">
        <v>44273</v>
      </c>
      <c r="E12" s="54"/>
      <c r="F12" s="54"/>
      <c r="G12" s="54"/>
      <c r="H12" s="47"/>
    </row>
    <row r="13" spans="1:8" s="11" customFormat="1" ht="36.75" customHeight="1" x14ac:dyDescent="0.25">
      <c r="A13" s="213"/>
      <c r="B13" s="214"/>
      <c r="C13" s="215"/>
      <c r="D13" s="216"/>
      <c r="E13" s="54"/>
      <c r="F13" s="54"/>
      <c r="G13" s="54"/>
      <c r="H13" s="47"/>
    </row>
    <row r="14" spans="1:8" s="11" customFormat="1" ht="15.75" customHeight="1" x14ac:dyDescent="0.25">
      <c r="A14" s="11" t="s">
        <v>909</v>
      </c>
      <c r="B14" s="24">
        <v>-67570</v>
      </c>
      <c r="C14" s="32">
        <v>44286</v>
      </c>
      <c r="D14" s="53">
        <v>44287</v>
      </c>
      <c r="E14" s="54"/>
      <c r="F14" s="54"/>
      <c r="G14" s="54"/>
      <c r="H14" s="47"/>
    </row>
    <row r="15" spans="1:8" s="11" customFormat="1" ht="15.75" customHeight="1" x14ac:dyDescent="0.25">
      <c r="A15" s="11" t="s">
        <v>910</v>
      </c>
      <c r="B15" s="24">
        <v>-81894</v>
      </c>
      <c r="C15" s="32">
        <v>44286</v>
      </c>
      <c r="D15" s="53">
        <v>44287</v>
      </c>
      <c r="E15" s="54"/>
      <c r="F15" s="54"/>
      <c r="G15" s="54"/>
      <c r="H15" s="47"/>
    </row>
    <row r="16" spans="1:8" s="11" customFormat="1" ht="15.75" customHeight="1" x14ac:dyDescent="0.25">
      <c r="B16" s="24"/>
      <c r="C16" s="42"/>
      <c r="D16" s="53"/>
      <c r="E16" s="54"/>
      <c r="F16" s="54"/>
      <c r="G16" s="54"/>
      <c r="H16" s="47"/>
    </row>
    <row r="17" spans="1:9" s="11" customFormat="1" ht="15.95" customHeight="1" x14ac:dyDescent="0.25">
      <c r="B17" s="24">
        <f>SUM(B9:B16)</f>
        <v>-330162</v>
      </c>
      <c r="C17" s="18"/>
      <c r="D17" s="19"/>
      <c r="E17" s="19"/>
      <c r="F17" s="19"/>
      <c r="G17" s="19"/>
    </row>
    <row r="18" spans="1:9" s="11" customFormat="1" ht="15.95" customHeight="1" x14ac:dyDescent="0.25">
      <c r="A18" s="11" t="s">
        <v>2</v>
      </c>
      <c r="B18" s="24"/>
      <c r="C18" s="30" t="s">
        <v>702</v>
      </c>
      <c r="D18" s="13" t="s">
        <v>628</v>
      </c>
    </row>
    <row r="19" spans="1:9" s="11" customFormat="1" ht="15.95" customHeight="1" x14ac:dyDescent="0.25">
      <c r="A19" s="39" t="s">
        <v>911</v>
      </c>
      <c r="B19" s="46">
        <v>31036</v>
      </c>
      <c r="C19" s="28">
        <v>44273</v>
      </c>
      <c r="D19" s="58" t="s">
        <v>687</v>
      </c>
      <c r="E19" s="39"/>
      <c r="F19" s="39"/>
    </row>
    <row r="20" spans="1:9" s="11" customFormat="1" ht="15.95" customHeight="1" x14ac:dyDescent="0.25">
      <c r="A20" s="213" t="s">
        <v>912</v>
      </c>
      <c r="B20" s="218">
        <v>32141</v>
      </c>
      <c r="C20" s="217">
        <v>44273</v>
      </c>
      <c r="D20" s="206" t="s">
        <v>914</v>
      </c>
      <c r="E20" s="39"/>
      <c r="F20" s="39"/>
    </row>
    <row r="21" spans="1:9" s="11" customFormat="1" ht="24" customHeight="1" x14ac:dyDescent="0.25">
      <c r="A21" s="213"/>
      <c r="B21" s="218"/>
      <c r="C21" s="217"/>
      <c r="D21" s="206"/>
      <c r="E21" s="39"/>
      <c r="F21" s="39"/>
    </row>
    <row r="22" spans="1:9" s="11" customFormat="1" ht="15.95" customHeight="1" x14ac:dyDescent="0.25">
      <c r="B22" s="24">
        <f>SUM(B19:B21)</f>
        <v>63177</v>
      </c>
      <c r="C22" s="13"/>
      <c r="D22" s="13"/>
    </row>
    <row r="23" spans="1:9" s="11" customFormat="1" ht="15.95" customHeight="1" x14ac:dyDescent="0.25">
      <c r="A23" s="11" t="s">
        <v>1</v>
      </c>
      <c r="B23" s="12">
        <f>B22+B17</f>
        <v>-266985</v>
      </c>
      <c r="C23" s="13"/>
      <c r="D23" s="13"/>
    </row>
    <row r="24" spans="1:9" s="11" customFormat="1" ht="15.95" customHeight="1" x14ac:dyDescent="0.25">
      <c r="A24" s="15" t="s">
        <v>0</v>
      </c>
      <c r="B24" s="16">
        <f>B23-B7</f>
        <v>0</v>
      </c>
      <c r="C24" s="13"/>
      <c r="D24" s="13"/>
    </row>
    <row r="25" spans="1:9" s="11" customFormat="1" ht="15.95" customHeight="1" x14ac:dyDescent="0.25">
      <c r="B25" s="12"/>
      <c r="C25" s="13"/>
      <c r="D25" s="13"/>
    </row>
    <row r="26" spans="1:9" s="11" customFormat="1" ht="20.100000000000001" customHeight="1" x14ac:dyDescent="0.25">
      <c r="A26" s="213"/>
      <c r="B26" s="214"/>
      <c r="C26" s="207"/>
      <c r="D26" s="207"/>
    </row>
    <row r="27" spans="1:9" s="11" customFormat="1" ht="20.100000000000001" customHeight="1" x14ac:dyDescent="0.25">
      <c r="A27" s="213"/>
      <c r="B27" s="214"/>
      <c r="C27" s="207"/>
      <c r="D27" s="207"/>
    </row>
    <row r="28" spans="1:9" s="11" customFormat="1" ht="20.100000000000001" customHeight="1" x14ac:dyDescent="0.3">
      <c r="A28" s="1"/>
      <c r="B28" s="3"/>
      <c r="C28" s="13"/>
      <c r="D28" s="13"/>
    </row>
    <row r="29" spans="1:9" s="11" customFormat="1" ht="20.100000000000001" customHeight="1" x14ac:dyDescent="0.3">
      <c r="A29" s="1"/>
      <c r="B29" s="3"/>
      <c r="C29" s="13"/>
      <c r="D29" s="13"/>
    </row>
    <row r="30" spans="1:9" s="11" customFormat="1" ht="20.100000000000001" customHeight="1" x14ac:dyDescent="0.3">
      <c r="A30" s="1"/>
      <c r="B30" s="3"/>
      <c r="C30" s="13"/>
      <c r="D30" s="13"/>
    </row>
    <row r="31" spans="1:9" s="13" customFormat="1" ht="20.100000000000001" customHeight="1" x14ac:dyDescent="0.3">
      <c r="A31" s="1"/>
      <c r="B31" s="3"/>
      <c r="E31" s="11"/>
      <c r="F31" s="11"/>
      <c r="G31" s="11"/>
      <c r="H31" s="11"/>
      <c r="I31" s="11"/>
    </row>
    <row r="32" spans="1:9" s="13" customFormat="1" ht="20.100000000000001" customHeight="1" x14ac:dyDescent="0.3">
      <c r="A32" s="1"/>
      <c r="B32" s="3"/>
      <c r="E32" s="11"/>
      <c r="F32" s="11"/>
      <c r="G32" s="11"/>
      <c r="H32" s="11"/>
      <c r="I32" s="11"/>
    </row>
    <row r="33" spans="1:9" s="13" customFormat="1" ht="20.100000000000001" customHeight="1" x14ac:dyDescent="0.3">
      <c r="A33" s="1"/>
      <c r="B33" s="3"/>
      <c r="E33" s="11"/>
      <c r="F33" s="11"/>
      <c r="G33" s="11"/>
      <c r="H33" s="11"/>
      <c r="I33" s="11"/>
    </row>
    <row r="34" spans="1:9" ht="20.100000000000001" customHeight="1" x14ac:dyDescent="0.3"/>
    <row r="35" spans="1:9" ht="20.100000000000001" customHeight="1" x14ac:dyDescent="0.3"/>
    <row r="36" spans="1:9" ht="20.100000000000001" customHeight="1" x14ac:dyDescent="0.3"/>
    <row r="37" spans="1:9" ht="20.100000000000001" customHeight="1" x14ac:dyDescent="0.3"/>
  </sheetData>
  <mergeCells count="12">
    <mergeCell ref="A26:A27"/>
    <mergeCell ref="B26:B27"/>
    <mergeCell ref="C26:C27"/>
    <mergeCell ref="D26:D27"/>
    <mergeCell ref="C12:C13"/>
    <mergeCell ref="A12:A13"/>
    <mergeCell ref="B12:B13"/>
    <mergeCell ref="D12:D13"/>
    <mergeCell ref="D20:D21"/>
    <mergeCell ref="C20:C21"/>
    <mergeCell ref="B20:B21"/>
    <mergeCell ref="A20:A21"/>
  </mergeCells>
  <pageMargins left="0.7" right="0.7" top="0.75" bottom="0.75" header="0.3" footer="0.3"/>
  <pageSetup fitToHeight="0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fitToPage="1"/>
  </sheetPr>
  <dimension ref="A1:I50"/>
  <sheetViews>
    <sheetView workbookViewId="0">
      <selection activeCell="D31" sqref="D31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21.5703125" style="6" customWidth="1"/>
    <col min="4" max="4" width="19.7109375" style="6" customWidth="1"/>
    <col min="5" max="7" width="9.140625" style="1"/>
    <col min="8" max="8" width="17.7109375" style="1" customWidth="1"/>
    <col min="9" max="16384" width="9.140625" style="1"/>
  </cols>
  <sheetData>
    <row r="1" spans="1:8" s="11" customFormat="1" ht="20.100000000000001" customHeight="1" x14ac:dyDescent="0.25">
      <c r="A1" s="11" t="s">
        <v>304</v>
      </c>
      <c r="B1" s="12"/>
      <c r="C1" s="13"/>
      <c r="D1" s="13"/>
    </row>
    <row r="2" spans="1:8" s="11" customFormat="1" ht="20.100000000000001" customHeight="1" x14ac:dyDescent="0.25">
      <c r="A2" s="14">
        <v>44316</v>
      </c>
      <c r="B2" s="12"/>
      <c r="C2" s="13"/>
      <c r="D2" s="13"/>
    </row>
    <row r="3" spans="1:8" s="11" customFormat="1" ht="20.100000000000001" customHeight="1" x14ac:dyDescent="0.25">
      <c r="A3" s="11" t="s">
        <v>311</v>
      </c>
      <c r="B3" s="12">
        <v>10245507</v>
      </c>
      <c r="C3" s="13"/>
      <c r="D3" s="13"/>
    </row>
    <row r="4" spans="1:8" s="11" customFormat="1" ht="20.100000000000001" customHeight="1" x14ac:dyDescent="0.25">
      <c r="A4" s="11" t="s">
        <v>6</v>
      </c>
      <c r="B4" s="12"/>
      <c r="C4" s="13"/>
      <c r="D4" s="13"/>
    </row>
    <row r="5" spans="1:8" s="11" customFormat="1" ht="20.100000000000001" customHeight="1" x14ac:dyDescent="0.25">
      <c r="A5" s="11">
        <v>2100</v>
      </c>
      <c r="B5" s="12">
        <v>-10457520</v>
      </c>
      <c r="C5" s="13"/>
      <c r="D5" s="13"/>
    </row>
    <row r="6" spans="1:8" s="11" customFormat="1" ht="20.100000000000001" customHeight="1" x14ac:dyDescent="0.25">
      <c r="A6" s="11" t="s">
        <v>5</v>
      </c>
      <c r="B6" s="12">
        <f>SUM(B5)</f>
        <v>-10457520</v>
      </c>
      <c r="C6" s="13"/>
      <c r="D6" s="13"/>
    </row>
    <row r="7" spans="1:8" s="11" customFormat="1" ht="20.100000000000001" customHeight="1" x14ac:dyDescent="0.25">
      <c r="A7" s="15" t="s">
        <v>4</v>
      </c>
      <c r="B7" s="16">
        <f>B6+B3</f>
        <v>-212013</v>
      </c>
      <c r="C7" s="13"/>
      <c r="D7" s="13"/>
    </row>
    <row r="8" spans="1:8" s="11" customFormat="1" ht="15.95" customHeight="1" x14ac:dyDescent="0.25">
      <c r="A8" s="11" t="s">
        <v>3</v>
      </c>
      <c r="B8" s="12"/>
      <c r="C8" s="44" t="s">
        <v>628</v>
      </c>
      <c r="D8" s="52" t="s">
        <v>626</v>
      </c>
    </row>
    <row r="9" spans="1:8" s="11" customFormat="1" ht="14.1" customHeight="1" x14ac:dyDescent="0.25">
      <c r="A9" s="11" t="s">
        <v>915</v>
      </c>
      <c r="B9" s="24">
        <v>-31101</v>
      </c>
      <c r="C9" s="31">
        <v>44316</v>
      </c>
      <c r="D9" s="51">
        <v>44319</v>
      </c>
      <c r="E9" s="55"/>
      <c r="F9" s="55"/>
      <c r="G9" s="55"/>
      <c r="H9" s="47"/>
    </row>
    <row r="10" spans="1:8" s="11" customFormat="1" ht="14.1" customHeight="1" x14ac:dyDescent="0.25">
      <c r="A10" s="11" t="s">
        <v>916</v>
      </c>
      <c r="B10" s="24">
        <v>-31568</v>
      </c>
      <c r="C10" s="31">
        <v>44316</v>
      </c>
      <c r="D10" s="51">
        <v>44319</v>
      </c>
      <c r="E10" s="55"/>
      <c r="F10" s="55"/>
      <c r="G10" s="55"/>
      <c r="H10" s="47"/>
    </row>
    <row r="11" spans="1:8" s="11" customFormat="1" ht="14.1" customHeight="1" x14ac:dyDescent="0.25">
      <c r="A11" s="11" t="s">
        <v>917</v>
      </c>
      <c r="B11" s="24">
        <v>-31568</v>
      </c>
      <c r="C11" s="31">
        <v>44316</v>
      </c>
      <c r="D11" s="51">
        <v>44319</v>
      </c>
      <c r="E11" s="55"/>
      <c r="F11" s="55"/>
      <c r="G11" s="55"/>
      <c r="H11" s="47"/>
    </row>
    <row r="12" spans="1:8" s="11" customFormat="1" ht="14.1" customHeight="1" x14ac:dyDescent="0.25">
      <c r="A12" s="11" t="s">
        <v>918</v>
      </c>
      <c r="B12" s="24">
        <v>-36906</v>
      </c>
      <c r="C12" s="31">
        <v>44315</v>
      </c>
      <c r="D12" s="51">
        <v>44319</v>
      </c>
      <c r="E12" s="55"/>
      <c r="F12" s="55"/>
      <c r="G12" s="55"/>
      <c r="H12" s="47"/>
    </row>
    <row r="13" spans="1:8" s="11" customFormat="1" ht="14.1" customHeight="1" x14ac:dyDescent="0.25">
      <c r="A13" s="11" t="s">
        <v>919</v>
      </c>
      <c r="B13" s="24">
        <v>-37285</v>
      </c>
      <c r="C13" s="31">
        <v>44315</v>
      </c>
      <c r="D13" s="51">
        <v>44319</v>
      </c>
      <c r="E13" s="55"/>
      <c r="F13" s="55"/>
      <c r="G13" s="55"/>
      <c r="H13" s="47"/>
    </row>
    <row r="14" spans="1:8" s="11" customFormat="1" ht="14.1" customHeight="1" x14ac:dyDescent="0.25">
      <c r="A14" s="11" t="s">
        <v>920</v>
      </c>
      <c r="B14" s="24">
        <v>-40338</v>
      </c>
      <c r="C14" s="31" t="s">
        <v>935</v>
      </c>
      <c r="D14" s="51"/>
      <c r="E14" s="55"/>
      <c r="F14" s="55"/>
      <c r="G14" s="55"/>
      <c r="H14" s="47"/>
    </row>
    <row r="15" spans="1:8" s="11" customFormat="1" ht="14.1" customHeight="1" x14ac:dyDescent="0.25">
      <c r="A15" s="11" t="s">
        <v>921</v>
      </c>
      <c r="B15" s="24">
        <v>-40475</v>
      </c>
      <c r="C15" s="31">
        <v>44315</v>
      </c>
      <c r="D15" s="51">
        <v>44319</v>
      </c>
      <c r="E15" s="55"/>
      <c r="F15" s="55"/>
      <c r="G15" s="55"/>
      <c r="H15" s="47"/>
    </row>
    <row r="16" spans="1:8" s="11" customFormat="1" ht="14.1" customHeight="1" x14ac:dyDescent="0.25">
      <c r="A16" s="11" t="s">
        <v>922</v>
      </c>
      <c r="B16" s="24">
        <v>-40786</v>
      </c>
      <c r="C16" s="32">
        <v>44315</v>
      </c>
      <c r="D16" s="53">
        <v>44319</v>
      </c>
      <c r="E16" s="55"/>
      <c r="F16" s="55"/>
      <c r="G16" s="55"/>
      <c r="H16" s="47"/>
    </row>
    <row r="17" spans="1:8" s="62" customFormat="1" ht="14.1" customHeight="1" x14ac:dyDescent="0.25">
      <c r="A17" s="60" t="s">
        <v>923</v>
      </c>
      <c r="B17" s="61">
        <v>-45549</v>
      </c>
      <c r="C17" s="67">
        <v>44315</v>
      </c>
      <c r="D17" s="59">
        <v>44319</v>
      </c>
      <c r="E17" s="54"/>
      <c r="F17" s="54"/>
      <c r="G17" s="54"/>
      <c r="H17" s="47"/>
    </row>
    <row r="18" spans="1:8" s="62" customFormat="1" ht="14.1" customHeight="1" x14ac:dyDescent="0.25">
      <c r="A18" s="60" t="s">
        <v>924</v>
      </c>
      <c r="B18" s="61">
        <v>-49361</v>
      </c>
      <c r="C18" s="67">
        <v>44315</v>
      </c>
      <c r="D18" s="59">
        <v>44319</v>
      </c>
      <c r="E18" s="54"/>
      <c r="F18" s="54"/>
      <c r="G18" s="54"/>
      <c r="H18" s="47"/>
    </row>
    <row r="19" spans="1:8" s="62" customFormat="1" ht="14.1" customHeight="1" x14ac:dyDescent="0.25">
      <c r="A19" s="60" t="s">
        <v>925</v>
      </c>
      <c r="B19" s="61">
        <v>-50227</v>
      </c>
      <c r="C19" s="67">
        <v>44316</v>
      </c>
      <c r="D19" s="53">
        <v>44319</v>
      </c>
      <c r="E19" s="54"/>
      <c r="F19" s="54"/>
      <c r="G19" s="54"/>
      <c r="H19" s="47"/>
    </row>
    <row r="20" spans="1:8" s="62" customFormat="1" ht="14.1" customHeight="1" x14ac:dyDescent="0.25">
      <c r="A20" s="60" t="s">
        <v>926</v>
      </c>
      <c r="B20" s="61">
        <v>-50979</v>
      </c>
      <c r="C20" s="67">
        <v>44316</v>
      </c>
      <c r="D20" s="53">
        <v>44319</v>
      </c>
      <c r="E20" s="54"/>
      <c r="F20" s="54"/>
      <c r="G20" s="54"/>
      <c r="H20" s="47"/>
    </row>
    <row r="21" spans="1:8" s="62" customFormat="1" ht="14.1" customHeight="1" x14ac:dyDescent="0.25">
      <c r="A21" s="60" t="s">
        <v>927</v>
      </c>
      <c r="B21" s="61">
        <v>-54268</v>
      </c>
      <c r="C21" s="67">
        <v>44316</v>
      </c>
      <c r="D21" s="53">
        <v>44319</v>
      </c>
      <c r="E21" s="54"/>
      <c r="F21" s="54"/>
      <c r="G21" s="54"/>
      <c r="H21" s="47"/>
    </row>
    <row r="22" spans="1:8" s="11" customFormat="1" ht="14.1" customHeight="1" x14ac:dyDescent="0.25">
      <c r="B22" s="24"/>
      <c r="C22" s="32"/>
      <c r="D22" s="53"/>
      <c r="E22" s="54"/>
      <c r="F22" s="54"/>
      <c r="G22" s="54"/>
      <c r="H22" s="47"/>
    </row>
    <row r="23" spans="1:8" s="11" customFormat="1" ht="14.1" customHeight="1" x14ac:dyDescent="0.25">
      <c r="B23" s="24"/>
      <c r="C23" s="32"/>
      <c r="D23" s="53"/>
      <c r="E23" s="54"/>
      <c r="F23" s="54"/>
      <c r="G23" s="54"/>
      <c r="H23" s="47"/>
    </row>
    <row r="24" spans="1:8" s="11" customFormat="1" ht="14.1" customHeight="1" x14ac:dyDescent="0.25">
      <c r="B24" s="24"/>
      <c r="C24" s="42"/>
      <c r="D24" s="53"/>
      <c r="E24" s="54"/>
      <c r="F24" s="54"/>
      <c r="G24" s="54"/>
      <c r="H24" s="47"/>
    </row>
    <row r="25" spans="1:8" s="11" customFormat="1" ht="15.95" customHeight="1" x14ac:dyDescent="0.25">
      <c r="B25" s="24">
        <f>SUM(B9:B24)</f>
        <v>-540411</v>
      </c>
      <c r="C25" s="18"/>
      <c r="D25" s="19"/>
      <c r="E25" s="19"/>
      <c r="F25" s="19"/>
      <c r="G25" s="19"/>
    </row>
    <row r="26" spans="1:8" s="11" customFormat="1" ht="15.95" customHeight="1" x14ac:dyDescent="0.25">
      <c r="A26" s="11" t="s">
        <v>2</v>
      </c>
      <c r="B26" s="24"/>
      <c r="C26" s="30" t="s">
        <v>702</v>
      </c>
      <c r="D26" s="63" t="s">
        <v>628</v>
      </c>
    </row>
    <row r="27" spans="1:8" s="11" customFormat="1" ht="15.95" customHeight="1" x14ac:dyDescent="0.25">
      <c r="A27" s="11" t="s">
        <v>928</v>
      </c>
      <c r="B27" s="24">
        <v>20458</v>
      </c>
      <c r="C27" s="13">
        <v>44316</v>
      </c>
      <c r="D27" s="58">
        <v>44321</v>
      </c>
    </row>
    <row r="28" spans="1:8" s="11" customFormat="1" ht="15.95" customHeight="1" x14ac:dyDescent="0.25">
      <c r="A28" s="11" t="s">
        <v>929</v>
      </c>
      <c r="B28" s="24">
        <v>27589</v>
      </c>
      <c r="C28" s="13">
        <v>44316</v>
      </c>
      <c r="D28" s="65">
        <v>44321</v>
      </c>
    </row>
    <row r="29" spans="1:8" s="11" customFormat="1" ht="15.95" customHeight="1" x14ac:dyDescent="0.25">
      <c r="A29" s="11" t="s">
        <v>930</v>
      </c>
      <c r="B29" s="24">
        <v>31568</v>
      </c>
      <c r="C29" s="13">
        <v>44316</v>
      </c>
      <c r="D29" s="65">
        <v>44321</v>
      </c>
    </row>
    <row r="30" spans="1:8" s="11" customFormat="1" ht="15.95" customHeight="1" x14ac:dyDescent="0.25">
      <c r="A30" s="11" t="s">
        <v>931</v>
      </c>
      <c r="B30" s="24">
        <v>40338</v>
      </c>
      <c r="C30" s="13" t="s">
        <v>935</v>
      </c>
      <c r="D30" s="64"/>
    </row>
    <row r="31" spans="1:8" s="11" customFormat="1" ht="14.1" customHeight="1" x14ac:dyDescent="0.25">
      <c r="A31" s="39" t="s">
        <v>932</v>
      </c>
      <c r="B31" s="46">
        <v>54989</v>
      </c>
      <c r="C31" s="13">
        <v>44316</v>
      </c>
      <c r="D31" s="65">
        <v>44321</v>
      </c>
      <c r="E31" s="39"/>
      <c r="F31" s="39"/>
    </row>
    <row r="32" spans="1:8" s="11" customFormat="1" ht="14.1" customHeight="1" x14ac:dyDescent="0.25">
      <c r="A32" s="11" t="s">
        <v>933</v>
      </c>
      <c r="B32" s="66">
        <v>59623</v>
      </c>
      <c r="C32" s="32">
        <v>44316</v>
      </c>
      <c r="D32" s="59">
        <v>44321</v>
      </c>
      <c r="E32" s="39"/>
      <c r="F32" s="39"/>
    </row>
    <row r="33" spans="1:9" s="11" customFormat="1" ht="14.1" customHeight="1" x14ac:dyDescent="0.25">
      <c r="A33" s="39" t="s">
        <v>934</v>
      </c>
      <c r="B33" s="46">
        <v>93833</v>
      </c>
      <c r="C33" s="32">
        <v>44316</v>
      </c>
      <c r="D33" s="59">
        <v>44321</v>
      </c>
      <c r="E33" s="39"/>
      <c r="F33" s="39"/>
    </row>
    <row r="34" spans="1:9" s="11" customFormat="1" ht="14.1" customHeight="1" x14ac:dyDescent="0.25">
      <c r="A34" s="39"/>
      <c r="B34" s="46"/>
      <c r="C34" s="42"/>
      <c r="D34" s="43"/>
      <c r="E34" s="39"/>
      <c r="F34" s="39"/>
    </row>
    <row r="35" spans="1:9" s="11" customFormat="1" ht="15.95" customHeight="1" x14ac:dyDescent="0.25">
      <c r="B35" s="24">
        <f>SUM(B27:B34)</f>
        <v>328398</v>
      </c>
      <c r="C35" s="13"/>
      <c r="D35" s="13"/>
    </row>
    <row r="36" spans="1:9" s="11" customFormat="1" ht="15.95" customHeight="1" x14ac:dyDescent="0.25">
      <c r="A36" s="11" t="s">
        <v>1</v>
      </c>
      <c r="B36" s="12">
        <f>B35+B25</f>
        <v>-212013</v>
      </c>
      <c r="C36" s="13"/>
      <c r="D36" s="13"/>
    </row>
    <row r="37" spans="1:9" s="11" customFormat="1" ht="15.95" customHeight="1" x14ac:dyDescent="0.25">
      <c r="A37" s="15" t="s">
        <v>0</v>
      </c>
      <c r="B37" s="16">
        <f>B36-B7</f>
        <v>0</v>
      </c>
      <c r="C37" s="13"/>
      <c r="D37" s="13"/>
    </row>
    <row r="38" spans="1:9" s="11" customFormat="1" ht="15.95" customHeight="1" x14ac:dyDescent="0.25">
      <c r="B38" s="12"/>
      <c r="C38" s="13"/>
      <c r="D38" s="13"/>
    </row>
    <row r="39" spans="1:9" s="11" customFormat="1" ht="20.100000000000001" customHeight="1" x14ac:dyDescent="0.25">
      <c r="A39" s="213"/>
      <c r="B39" s="214"/>
      <c r="C39" s="207"/>
      <c r="D39" s="207"/>
    </row>
    <row r="40" spans="1:9" s="11" customFormat="1" ht="20.100000000000001" customHeight="1" x14ac:dyDescent="0.25">
      <c r="A40" s="213"/>
      <c r="B40" s="214"/>
      <c r="C40" s="207"/>
      <c r="D40" s="207"/>
    </row>
    <row r="41" spans="1:9" s="11" customFormat="1" ht="20.100000000000001" customHeight="1" x14ac:dyDescent="0.3">
      <c r="A41" s="1"/>
      <c r="B41" s="3"/>
      <c r="C41" s="13"/>
      <c r="D41" s="13"/>
    </row>
    <row r="42" spans="1:9" s="11" customFormat="1" ht="20.100000000000001" customHeight="1" x14ac:dyDescent="0.3">
      <c r="A42" s="1"/>
      <c r="B42" s="3"/>
      <c r="C42" s="13"/>
      <c r="D42" s="13"/>
    </row>
    <row r="43" spans="1:9" s="11" customFormat="1" ht="20.100000000000001" customHeight="1" x14ac:dyDescent="0.3">
      <c r="A43" s="1"/>
      <c r="B43" s="3"/>
      <c r="C43" s="13"/>
      <c r="D43" s="13"/>
    </row>
    <row r="44" spans="1:9" s="13" customFormat="1" ht="20.100000000000001" customHeight="1" x14ac:dyDescent="0.3">
      <c r="A44" s="1"/>
      <c r="B44" s="3"/>
      <c r="E44" s="11"/>
      <c r="F44" s="11"/>
      <c r="G44" s="11"/>
      <c r="H44" s="11"/>
      <c r="I44" s="11"/>
    </row>
    <row r="45" spans="1:9" s="13" customFormat="1" ht="20.100000000000001" customHeight="1" x14ac:dyDescent="0.3">
      <c r="A45" s="1"/>
      <c r="B45" s="3"/>
      <c r="E45" s="11"/>
      <c r="F45" s="11"/>
      <c r="G45" s="11"/>
      <c r="H45" s="11"/>
      <c r="I45" s="11"/>
    </row>
    <row r="46" spans="1:9" s="13" customFormat="1" ht="20.100000000000001" customHeight="1" x14ac:dyDescent="0.3">
      <c r="A46" s="1"/>
      <c r="B46" s="3"/>
      <c r="E46" s="11"/>
      <c r="F46" s="11"/>
      <c r="G46" s="11"/>
      <c r="H46" s="11"/>
      <c r="I46" s="11"/>
    </row>
    <row r="47" spans="1:9" ht="20.100000000000001" customHeight="1" x14ac:dyDescent="0.3"/>
    <row r="48" spans="1:9" ht="20.100000000000001" customHeight="1" x14ac:dyDescent="0.3"/>
    <row r="49" ht="20.100000000000001" customHeight="1" x14ac:dyDescent="0.3"/>
    <row r="50" ht="20.100000000000001" customHeight="1" x14ac:dyDescent="0.3"/>
  </sheetData>
  <mergeCells count="4">
    <mergeCell ref="A39:A40"/>
    <mergeCell ref="B39:B40"/>
    <mergeCell ref="C39:C40"/>
    <mergeCell ref="D39:D40"/>
  </mergeCells>
  <pageMargins left="0.7" right="0.7" top="0.75" bottom="0.75" header="0.3" footer="0.3"/>
  <pageSetup scale="86" fitToHeight="0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pageSetUpPr fitToPage="1"/>
  </sheetPr>
  <dimension ref="A1:I44"/>
  <sheetViews>
    <sheetView workbookViewId="0">
      <selection activeCell="D24" sqref="D24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21.5703125" style="6" customWidth="1"/>
    <col min="4" max="4" width="19.7109375" style="6" customWidth="1"/>
    <col min="5" max="7" width="9.140625" style="1"/>
    <col min="8" max="8" width="17.7109375" style="1" customWidth="1"/>
    <col min="9" max="16384" width="9.140625" style="1"/>
  </cols>
  <sheetData>
    <row r="1" spans="1:8" s="11" customFormat="1" ht="20.100000000000001" customHeight="1" x14ac:dyDescent="0.25">
      <c r="A1" s="11" t="s">
        <v>304</v>
      </c>
      <c r="B1" s="12"/>
      <c r="C1" s="13"/>
      <c r="D1" s="13"/>
    </row>
    <row r="2" spans="1:8" s="11" customFormat="1" ht="20.100000000000001" customHeight="1" x14ac:dyDescent="0.25">
      <c r="A2" s="14">
        <v>44347</v>
      </c>
      <c r="B2" s="12"/>
      <c r="C2" s="13"/>
      <c r="D2" s="13"/>
    </row>
    <row r="3" spans="1:8" s="11" customFormat="1" ht="20.100000000000001" customHeight="1" x14ac:dyDescent="0.25">
      <c r="A3" s="11" t="s">
        <v>311</v>
      </c>
      <c r="B3" s="12">
        <v>8981495</v>
      </c>
      <c r="C3" s="13"/>
      <c r="D3" s="13"/>
    </row>
    <row r="4" spans="1:8" s="11" customFormat="1" ht="20.100000000000001" customHeight="1" x14ac:dyDescent="0.25">
      <c r="A4" s="11" t="s">
        <v>6</v>
      </c>
      <c r="B4" s="12"/>
      <c r="C4" s="13"/>
      <c r="D4" s="13"/>
    </row>
    <row r="5" spans="1:8" s="11" customFormat="1" ht="20.100000000000001" customHeight="1" x14ac:dyDescent="0.25">
      <c r="A5" s="11">
        <v>2100</v>
      </c>
      <c r="B5" s="12">
        <v>-9195116</v>
      </c>
      <c r="C5" s="13"/>
      <c r="D5" s="13"/>
    </row>
    <row r="6" spans="1:8" s="11" customFormat="1" ht="20.100000000000001" customHeight="1" x14ac:dyDescent="0.25">
      <c r="A6" s="11" t="s">
        <v>5</v>
      </c>
      <c r="B6" s="12">
        <f>SUM(B5)</f>
        <v>-9195116</v>
      </c>
      <c r="C6" s="13"/>
      <c r="D6" s="13"/>
    </row>
    <row r="7" spans="1:8" s="11" customFormat="1" ht="20.100000000000001" customHeight="1" x14ac:dyDescent="0.25">
      <c r="A7" s="15" t="s">
        <v>4</v>
      </c>
      <c r="B7" s="16">
        <f>B6+B3</f>
        <v>-213621</v>
      </c>
      <c r="C7" s="13"/>
      <c r="D7" s="13"/>
    </row>
    <row r="8" spans="1:8" s="11" customFormat="1" ht="15.95" customHeight="1" x14ac:dyDescent="0.25">
      <c r="A8" s="11" t="s">
        <v>3</v>
      </c>
      <c r="B8" s="12"/>
      <c r="C8" s="44" t="s">
        <v>628</v>
      </c>
      <c r="D8" s="52" t="s">
        <v>626</v>
      </c>
    </row>
    <row r="9" spans="1:8" s="11" customFormat="1" ht="14.1" customHeight="1" x14ac:dyDescent="0.25">
      <c r="A9" s="11" t="s">
        <v>936</v>
      </c>
      <c r="B9" s="24">
        <v>-23804</v>
      </c>
      <c r="C9" s="31">
        <v>44342</v>
      </c>
      <c r="D9" s="51">
        <v>44348</v>
      </c>
      <c r="E9" s="55"/>
      <c r="F9" s="55"/>
      <c r="G9" s="55"/>
      <c r="H9" s="47"/>
    </row>
    <row r="10" spans="1:8" s="11" customFormat="1" ht="14.1" customHeight="1" x14ac:dyDescent="0.25">
      <c r="A10" s="11" t="s">
        <v>937</v>
      </c>
      <c r="B10" s="24">
        <v>-27978</v>
      </c>
      <c r="C10" s="31">
        <v>44342</v>
      </c>
      <c r="D10" s="51">
        <v>44348</v>
      </c>
      <c r="E10" s="55"/>
      <c r="F10" s="55"/>
      <c r="G10" s="55"/>
      <c r="H10" s="47"/>
    </row>
    <row r="11" spans="1:8" s="11" customFormat="1" ht="14.1" customHeight="1" x14ac:dyDescent="0.25">
      <c r="A11" s="11" t="s">
        <v>938</v>
      </c>
      <c r="B11" s="24">
        <v>-28178</v>
      </c>
      <c r="C11" s="31">
        <v>44342</v>
      </c>
      <c r="D11" s="51">
        <v>44348</v>
      </c>
      <c r="E11" s="55"/>
      <c r="F11" s="55"/>
      <c r="G11" s="55"/>
      <c r="H11" s="47"/>
    </row>
    <row r="12" spans="1:8" s="11" customFormat="1" ht="14.1" customHeight="1" x14ac:dyDescent="0.25">
      <c r="A12" s="11" t="s">
        <v>943</v>
      </c>
      <c r="B12" s="66">
        <v>-28419</v>
      </c>
      <c r="C12" s="31">
        <v>44342</v>
      </c>
      <c r="D12" s="51">
        <v>44348</v>
      </c>
      <c r="E12" s="55"/>
      <c r="F12" s="55"/>
      <c r="G12" s="55"/>
      <c r="H12" s="47"/>
    </row>
    <row r="13" spans="1:8" s="11" customFormat="1" ht="14.1" customHeight="1" x14ac:dyDescent="0.25">
      <c r="A13" s="11" t="s">
        <v>939</v>
      </c>
      <c r="B13" s="24">
        <v>-29783</v>
      </c>
      <c r="C13" s="31">
        <v>44342</v>
      </c>
      <c r="D13" s="51">
        <v>44348</v>
      </c>
      <c r="E13" s="55"/>
      <c r="F13" s="55"/>
      <c r="G13" s="55"/>
      <c r="H13" s="47"/>
    </row>
    <row r="14" spans="1:8" s="11" customFormat="1" ht="14.1" customHeight="1" x14ac:dyDescent="0.25">
      <c r="A14" s="11" t="s">
        <v>940</v>
      </c>
      <c r="B14" s="24">
        <v>-33624</v>
      </c>
      <c r="C14" s="31">
        <v>44342</v>
      </c>
      <c r="D14" s="51">
        <v>44348</v>
      </c>
      <c r="E14" s="55"/>
      <c r="F14" s="55"/>
      <c r="G14" s="55"/>
      <c r="H14" s="47"/>
    </row>
    <row r="15" spans="1:8" s="11" customFormat="1" ht="14.1" customHeight="1" x14ac:dyDescent="0.25">
      <c r="A15" s="11" t="s">
        <v>941</v>
      </c>
      <c r="B15" s="24">
        <v>-35603</v>
      </c>
      <c r="C15" s="31">
        <v>44342</v>
      </c>
      <c r="D15" s="51">
        <v>44348</v>
      </c>
      <c r="E15" s="55"/>
      <c r="F15" s="55"/>
      <c r="G15" s="55"/>
      <c r="H15" s="47"/>
    </row>
    <row r="16" spans="1:8" s="11" customFormat="1" ht="14.1" customHeight="1" x14ac:dyDescent="0.25">
      <c r="A16" s="11" t="s">
        <v>942</v>
      </c>
      <c r="B16" s="24">
        <v>-37479</v>
      </c>
      <c r="C16" s="32">
        <v>44342</v>
      </c>
      <c r="D16" s="53">
        <v>44348</v>
      </c>
      <c r="E16" s="55"/>
      <c r="F16" s="55"/>
      <c r="G16" s="55"/>
      <c r="H16" s="47"/>
    </row>
    <row r="17" spans="1:8" s="62" customFormat="1" ht="14.1" customHeight="1" x14ac:dyDescent="0.25">
      <c r="A17" s="60"/>
      <c r="B17" s="61"/>
      <c r="C17" s="67"/>
      <c r="D17" s="53"/>
      <c r="E17" s="54"/>
      <c r="F17" s="54"/>
      <c r="G17" s="54"/>
      <c r="H17" s="47"/>
    </row>
    <row r="18" spans="1:8" s="11" customFormat="1" ht="14.1" customHeight="1" x14ac:dyDescent="0.25">
      <c r="B18" s="24"/>
      <c r="C18" s="32"/>
      <c r="D18" s="53"/>
      <c r="E18" s="54"/>
      <c r="F18" s="54"/>
      <c r="G18" s="54"/>
      <c r="H18" s="47"/>
    </row>
    <row r="19" spans="1:8" s="11" customFormat="1" ht="14.1" customHeight="1" x14ac:dyDescent="0.25">
      <c r="B19" s="24"/>
      <c r="C19" s="32"/>
      <c r="D19" s="53"/>
      <c r="E19" s="54"/>
      <c r="F19" s="54"/>
      <c r="G19" s="54"/>
      <c r="H19" s="47"/>
    </row>
    <row r="20" spans="1:8" s="11" customFormat="1" ht="14.1" customHeight="1" x14ac:dyDescent="0.25">
      <c r="B20" s="24"/>
      <c r="C20" s="42"/>
      <c r="D20" s="53"/>
      <c r="E20" s="54"/>
      <c r="F20" s="54"/>
      <c r="G20" s="54"/>
      <c r="H20" s="47"/>
    </row>
    <row r="21" spans="1:8" s="11" customFormat="1" ht="15.95" customHeight="1" x14ac:dyDescent="0.25">
      <c r="B21" s="24">
        <f>SUM(B9:B20)</f>
        <v>-244868</v>
      </c>
      <c r="C21" s="18"/>
      <c r="D21" s="19"/>
      <c r="E21" s="19"/>
      <c r="F21" s="19"/>
      <c r="G21" s="19"/>
    </row>
    <row r="22" spans="1:8" s="11" customFormat="1" ht="15.95" customHeight="1" x14ac:dyDescent="0.25">
      <c r="A22" s="11" t="s">
        <v>2</v>
      </c>
      <c r="B22" s="24"/>
      <c r="C22" s="30" t="s">
        <v>702</v>
      </c>
      <c r="D22" s="63" t="s">
        <v>628</v>
      </c>
    </row>
    <row r="23" spans="1:8" s="11" customFormat="1" ht="15.95" customHeight="1" x14ac:dyDescent="0.25">
      <c r="A23" s="11" t="s">
        <v>944</v>
      </c>
      <c r="B23" s="24">
        <v>31247</v>
      </c>
      <c r="C23" s="13">
        <v>44337</v>
      </c>
      <c r="D23" s="58" t="s">
        <v>945</v>
      </c>
    </row>
    <row r="24" spans="1:8" s="11" customFormat="1" ht="15.95" customHeight="1" x14ac:dyDescent="0.25">
      <c r="B24" s="24"/>
      <c r="C24" s="13"/>
      <c r="D24" s="65"/>
    </row>
    <row r="25" spans="1:8" s="11" customFormat="1" ht="15.95" customHeight="1" x14ac:dyDescent="0.25">
      <c r="B25" s="24"/>
      <c r="C25" s="13"/>
      <c r="D25" s="65"/>
    </row>
    <row r="26" spans="1:8" s="11" customFormat="1" ht="14.1" customHeight="1" x14ac:dyDescent="0.25">
      <c r="B26" s="66"/>
      <c r="C26" s="32"/>
      <c r="D26" s="59"/>
      <c r="E26" s="39"/>
      <c r="F26" s="39"/>
    </row>
    <row r="27" spans="1:8" s="11" customFormat="1" ht="14.1" customHeight="1" x14ac:dyDescent="0.25">
      <c r="A27" s="39"/>
      <c r="B27" s="46"/>
      <c r="C27" s="32"/>
      <c r="D27" s="59"/>
      <c r="E27" s="39"/>
      <c r="F27" s="39"/>
    </row>
    <row r="28" spans="1:8" s="11" customFormat="1" ht="14.1" customHeight="1" x14ac:dyDescent="0.25">
      <c r="A28" s="39"/>
      <c r="B28" s="46"/>
      <c r="C28" s="42"/>
      <c r="D28" s="43"/>
      <c r="E28" s="39"/>
      <c r="F28" s="39"/>
    </row>
    <row r="29" spans="1:8" s="11" customFormat="1" ht="15.95" customHeight="1" x14ac:dyDescent="0.25">
      <c r="B29" s="24">
        <f>SUM(B23:B28)</f>
        <v>31247</v>
      </c>
      <c r="C29" s="13"/>
      <c r="D29" s="13"/>
    </row>
    <row r="30" spans="1:8" s="11" customFormat="1" ht="15.95" customHeight="1" x14ac:dyDescent="0.25">
      <c r="A30" s="11" t="s">
        <v>1</v>
      </c>
      <c r="B30" s="12">
        <f>B29+B21</f>
        <v>-213621</v>
      </c>
      <c r="C30" s="13"/>
      <c r="D30" s="13"/>
    </row>
    <row r="31" spans="1:8" s="11" customFormat="1" ht="15.95" customHeight="1" x14ac:dyDescent="0.25">
      <c r="A31" s="15" t="s">
        <v>0</v>
      </c>
      <c r="B31" s="16">
        <f>B30-B7</f>
        <v>0</v>
      </c>
      <c r="C31" s="13"/>
      <c r="D31" s="13"/>
    </row>
    <row r="32" spans="1:8" s="11" customFormat="1" ht="15.95" customHeight="1" x14ac:dyDescent="0.25">
      <c r="B32" s="12"/>
      <c r="C32" s="13"/>
      <c r="D32" s="13"/>
    </row>
    <row r="33" spans="1:9" s="11" customFormat="1" ht="20.100000000000001" customHeight="1" x14ac:dyDescent="0.25">
      <c r="A33" s="213"/>
      <c r="B33" s="214"/>
      <c r="C33" s="207"/>
      <c r="D33" s="207"/>
    </row>
    <row r="34" spans="1:9" s="11" customFormat="1" ht="20.100000000000001" customHeight="1" x14ac:dyDescent="0.25">
      <c r="A34" s="213"/>
      <c r="B34" s="214"/>
      <c r="C34" s="207"/>
      <c r="D34" s="207"/>
    </row>
    <row r="35" spans="1:9" s="11" customFormat="1" ht="20.100000000000001" customHeight="1" x14ac:dyDescent="0.3">
      <c r="A35" s="1"/>
      <c r="B35" s="3"/>
      <c r="C35" s="13"/>
      <c r="D35" s="13"/>
    </row>
    <row r="36" spans="1:9" s="11" customFormat="1" ht="20.100000000000001" customHeight="1" x14ac:dyDescent="0.3">
      <c r="A36" s="1"/>
      <c r="B36" s="3"/>
      <c r="C36" s="13"/>
      <c r="D36" s="13"/>
    </row>
    <row r="37" spans="1:9" s="11" customFormat="1" ht="20.100000000000001" customHeight="1" x14ac:dyDescent="0.3">
      <c r="A37" s="1"/>
      <c r="B37" s="3"/>
      <c r="C37" s="13"/>
      <c r="D37" s="13"/>
    </row>
    <row r="38" spans="1:9" s="13" customFormat="1" ht="20.100000000000001" customHeight="1" x14ac:dyDescent="0.3">
      <c r="A38" s="1"/>
      <c r="B38" s="3"/>
      <c r="E38" s="11"/>
      <c r="F38" s="11"/>
      <c r="G38" s="11"/>
      <c r="H38" s="11"/>
      <c r="I38" s="11"/>
    </row>
    <row r="39" spans="1:9" s="13" customFormat="1" ht="20.100000000000001" customHeight="1" x14ac:dyDescent="0.3">
      <c r="A39" s="1"/>
      <c r="B39" s="3"/>
      <c r="E39" s="11"/>
      <c r="F39" s="11"/>
      <c r="G39" s="11"/>
      <c r="H39" s="11"/>
      <c r="I39" s="11"/>
    </row>
    <row r="40" spans="1:9" s="13" customFormat="1" ht="20.100000000000001" customHeight="1" x14ac:dyDescent="0.3">
      <c r="A40" s="1"/>
      <c r="B40" s="3"/>
      <c r="E40" s="11"/>
      <c r="F40" s="11"/>
      <c r="G40" s="11"/>
      <c r="H40" s="11"/>
      <c r="I40" s="11"/>
    </row>
    <row r="41" spans="1:9" ht="20.100000000000001" customHeight="1" x14ac:dyDescent="0.3"/>
    <row r="42" spans="1:9" ht="20.100000000000001" customHeight="1" x14ac:dyDescent="0.3"/>
    <row r="43" spans="1:9" ht="20.100000000000001" customHeight="1" x14ac:dyDescent="0.3"/>
    <row r="44" spans="1:9" ht="20.100000000000001" customHeight="1" x14ac:dyDescent="0.3"/>
  </sheetData>
  <mergeCells count="4">
    <mergeCell ref="A33:A34"/>
    <mergeCell ref="B33:B34"/>
    <mergeCell ref="C33:C34"/>
    <mergeCell ref="D33:D34"/>
  </mergeCells>
  <pageMargins left="0.7" right="0.7" top="0.75" bottom="0.75" header="0.3" footer="0.3"/>
  <pageSetup fitToHeight="0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C00E6-9337-46EE-84EC-1E647CB20876}">
  <sheetPr>
    <pageSetUpPr fitToPage="1"/>
  </sheetPr>
  <dimension ref="A1:I44"/>
  <sheetViews>
    <sheetView workbookViewId="0">
      <selection activeCell="B6" sqref="B6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21.5703125" style="6" customWidth="1"/>
    <col min="4" max="4" width="19.7109375" style="6" customWidth="1"/>
    <col min="5" max="7" width="9.140625" style="1"/>
    <col min="8" max="8" width="17.7109375" style="1" customWidth="1"/>
    <col min="9" max="16384" width="9.140625" style="1"/>
  </cols>
  <sheetData>
    <row r="1" spans="1:8" s="11" customFormat="1" ht="20.100000000000001" customHeight="1" x14ac:dyDescent="0.25">
      <c r="A1" s="11" t="s">
        <v>304</v>
      </c>
      <c r="B1" s="12"/>
      <c r="C1" s="13"/>
      <c r="D1" s="13"/>
    </row>
    <row r="2" spans="1:8" s="11" customFormat="1" ht="20.100000000000001" customHeight="1" x14ac:dyDescent="0.25">
      <c r="A2" s="14">
        <v>44377</v>
      </c>
      <c r="B2" s="12"/>
      <c r="C2" s="13"/>
      <c r="D2" s="13"/>
    </row>
    <row r="3" spans="1:8" s="11" customFormat="1" ht="20.100000000000001" customHeight="1" x14ac:dyDescent="0.25">
      <c r="A3" s="11" t="s">
        <v>311</v>
      </c>
      <c r="B3" s="12">
        <v>7018054</v>
      </c>
      <c r="C3" s="13"/>
      <c r="D3" s="13"/>
    </row>
    <row r="4" spans="1:8" s="11" customFormat="1" ht="20.100000000000001" customHeight="1" x14ac:dyDescent="0.25">
      <c r="A4" s="11" t="s">
        <v>6</v>
      </c>
      <c r="B4" s="12"/>
      <c r="C4" s="13"/>
      <c r="D4" s="13"/>
    </row>
    <row r="5" spans="1:8" s="11" customFormat="1" ht="20.100000000000001" customHeight="1" x14ac:dyDescent="0.25">
      <c r="A5" s="11">
        <v>2100</v>
      </c>
      <c r="B5" s="12">
        <v>-7345055</v>
      </c>
      <c r="C5" s="13"/>
      <c r="D5" s="13"/>
    </row>
    <row r="6" spans="1:8" s="11" customFormat="1" ht="20.100000000000001" customHeight="1" x14ac:dyDescent="0.25">
      <c r="A6" s="11" t="s">
        <v>5</v>
      </c>
      <c r="B6" s="12">
        <f>SUM(B5)</f>
        <v>-7345055</v>
      </c>
      <c r="C6" s="13"/>
      <c r="D6" s="13"/>
    </row>
    <row r="7" spans="1:8" s="11" customFormat="1" ht="20.100000000000001" customHeight="1" x14ac:dyDescent="0.25">
      <c r="A7" s="15" t="s">
        <v>4</v>
      </c>
      <c r="B7" s="16">
        <f>B6+B3</f>
        <v>-327001</v>
      </c>
      <c r="C7" s="13"/>
      <c r="D7" s="13"/>
    </row>
    <row r="8" spans="1:8" s="11" customFormat="1" ht="15.95" customHeight="1" x14ac:dyDescent="0.25">
      <c r="A8" s="11" t="s">
        <v>3</v>
      </c>
      <c r="B8" s="12"/>
      <c r="C8" s="44" t="s">
        <v>628</v>
      </c>
      <c r="D8" s="52" t="s">
        <v>626</v>
      </c>
    </row>
    <row r="9" spans="1:8" s="11" customFormat="1" ht="15" customHeight="1" x14ac:dyDescent="0.25">
      <c r="A9" s="11" t="s">
        <v>946</v>
      </c>
      <c r="B9" s="24">
        <v>-22596</v>
      </c>
      <c r="C9" s="31">
        <v>44377</v>
      </c>
      <c r="D9" s="51">
        <v>44383</v>
      </c>
      <c r="E9" s="55"/>
      <c r="F9" s="55"/>
      <c r="G9" s="55"/>
      <c r="H9" s="47"/>
    </row>
    <row r="10" spans="1:8" s="11" customFormat="1" ht="15" customHeight="1" x14ac:dyDescent="0.25">
      <c r="A10" s="11" t="s">
        <v>947</v>
      </c>
      <c r="B10" s="24">
        <v>-24786</v>
      </c>
      <c r="C10" s="31">
        <v>44376</v>
      </c>
      <c r="D10" s="51">
        <v>44379</v>
      </c>
      <c r="E10" s="55"/>
      <c r="F10" s="55"/>
      <c r="G10" s="55"/>
      <c r="H10" s="47"/>
    </row>
    <row r="11" spans="1:8" s="11" customFormat="1" ht="15" customHeight="1" x14ac:dyDescent="0.25">
      <c r="A11" s="11" t="s">
        <v>948</v>
      </c>
      <c r="B11" s="24">
        <v>-24974</v>
      </c>
      <c r="C11" s="31">
        <v>44377</v>
      </c>
      <c r="D11" s="51">
        <v>44383</v>
      </c>
      <c r="E11" s="55"/>
      <c r="F11" s="55"/>
      <c r="G11" s="55"/>
      <c r="H11" s="47"/>
    </row>
    <row r="12" spans="1:8" s="11" customFormat="1" ht="15" customHeight="1" x14ac:dyDescent="0.25">
      <c r="A12" s="11" t="s">
        <v>949</v>
      </c>
      <c r="B12" s="66">
        <v>-27393</v>
      </c>
      <c r="C12" s="31">
        <v>44376</v>
      </c>
      <c r="D12" s="51">
        <v>44379</v>
      </c>
      <c r="E12" s="55"/>
      <c r="F12" s="55"/>
      <c r="G12" s="55"/>
      <c r="H12" s="47"/>
    </row>
    <row r="13" spans="1:8" s="11" customFormat="1" ht="15" customHeight="1" x14ac:dyDescent="0.25">
      <c r="A13" s="11" t="s">
        <v>950</v>
      </c>
      <c r="B13" s="24">
        <v>-29048</v>
      </c>
      <c r="C13" s="31">
        <v>44376</v>
      </c>
      <c r="D13" s="51">
        <v>44379</v>
      </c>
      <c r="E13" s="55"/>
      <c r="F13" s="55"/>
      <c r="G13" s="55"/>
      <c r="H13" s="47"/>
    </row>
    <row r="14" spans="1:8" s="11" customFormat="1" ht="15" customHeight="1" x14ac:dyDescent="0.25">
      <c r="A14" s="11" t="s">
        <v>951</v>
      </c>
      <c r="B14" s="24">
        <v>-29048</v>
      </c>
      <c r="C14" s="31">
        <v>44376</v>
      </c>
      <c r="D14" s="51">
        <v>44379</v>
      </c>
      <c r="E14" s="55"/>
      <c r="F14" s="55"/>
      <c r="G14" s="55"/>
      <c r="H14" s="47"/>
    </row>
    <row r="15" spans="1:8" s="11" customFormat="1" ht="15" customHeight="1" x14ac:dyDescent="0.25">
      <c r="A15" s="11" t="s">
        <v>952</v>
      </c>
      <c r="B15" s="24">
        <v>-29106</v>
      </c>
      <c r="C15" s="32">
        <v>44376</v>
      </c>
      <c r="D15" s="53">
        <v>44379</v>
      </c>
      <c r="E15" s="55"/>
      <c r="F15" s="55"/>
      <c r="G15" s="55"/>
      <c r="H15" s="47"/>
    </row>
    <row r="16" spans="1:8" s="11" customFormat="1" ht="15" customHeight="1" x14ac:dyDescent="0.25">
      <c r="A16" s="11" t="s">
        <v>953</v>
      </c>
      <c r="B16" s="24">
        <v>-34049</v>
      </c>
      <c r="C16" s="32">
        <v>44376</v>
      </c>
      <c r="D16" s="53">
        <v>44379</v>
      </c>
      <c r="E16" s="55"/>
      <c r="F16" s="55"/>
      <c r="G16" s="55"/>
      <c r="H16" s="47"/>
    </row>
    <row r="17" spans="1:8" s="11" customFormat="1" ht="15" customHeight="1" x14ac:dyDescent="0.25">
      <c r="A17" s="11" t="s">
        <v>954</v>
      </c>
      <c r="B17" s="24">
        <v>-35183</v>
      </c>
      <c r="C17" s="32">
        <v>44376</v>
      </c>
      <c r="D17" s="53">
        <v>44379</v>
      </c>
      <c r="E17" s="55"/>
      <c r="F17" s="55"/>
      <c r="G17" s="55"/>
      <c r="H17" s="47"/>
    </row>
    <row r="18" spans="1:8" s="62" customFormat="1" ht="15" customHeight="1" x14ac:dyDescent="0.25">
      <c r="A18" s="60" t="s">
        <v>955</v>
      </c>
      <c r="B18" s="68">
        <v>-35183</v>
      </c>
      <c r="C18" s="67">
        <v>44377</v>
      </c>
      <c r="D18" s="53">
        <v>44383</v>
      </c>
      <c r="E18" s="54"/>
      <c r="F18" s="54"/>
      <c r="G18" s="54"/>
      <c r="H18" s="47"/>
    </row>
    <row r="19" spans="1:8" s="11" customFormat="1" ht="15" customHeight="1" x14ac:dyDescent="0.25">
      <c r="A19" s="11" t="s">
        <v>956</v>
      </c>
      <c r="B19" s="24">
        <v>-35635</v>
      </c>
      <c r="C19" s="32">
        <v>44376</v>
      </c>
      <c r="D19" s="53">
        <v>44379</v>
      </c>
      <c r="E19" s="54"/>
      <c r="F19" s="54"/>
      <c r="G19" s="54"/>
      <c r="H19" s="47"/>
    </row>
    <row r="20" spans="1:8" s="11" customFormat="1" ht="14.1" customHeight="1" x14ac:dyDescent="0.25">
      <c r="B20" s="24"/>
      <c r="C20" s="32"/>
      <c r="D20" s="53"/>
      <c r="E20" s="54"/>
      <c r="F20" s="54"/>
      <c r="G20" s="54"/>
      <c r="H20" s="47"/>
    </row>
    <row r="21" spans="1:8" s="11" customFormat="1" ht="14.1" customHeight="1" x14ac:dyDescent="0.25">
      <c r="B21" s="24"/>
      <c r="C21" s="42"/>
      <c r="D21" s="53"/>
      <c r="E21" s="54"/>
      <c r="F21" s="54"/>
      <c r="G21" s="54"/>
      <c r="H21" s="47"/>
    </row>
    <row r="22" spans="1:8" s="11" customFormat="1" ht="15.95" customHeight="1" x14ac:dyDescent="0.25">
      <c r="B22" s="24">
        <f>SUM(B9:B21)</f>
        <v>-327001</v>
      </c>
      <c r="C22" s="18"/>
      <c r="D22" s="19"/>
      <c r="E22" s="19"/>
      <c r="F22" s="19"/>
      <c r="G22" s="19"/>
    </row>
    <row r="23" spans="1:8" s="11" customFormat="1" ht="15.95" customHeight="1" x14ac:dyDescent="0.25">
      <c r="A23" s="11" t="s">
        <v>2</v>
      </c>
      <c r="B23" s="24"/>
      <c r="C23" s="30" t="s">
        <v>702</v>
      </c>
      <c r="D23" s="63" t="s">
        <v>628</v>
      </c>
    </row>
    <row r="24" spans="1:8" s="11" customFormat="1" ht="15.95" customHeight="1" x14ac:dyDescent="0.25">
      <c r="B24" s="24"/>
      <c r="C24" s="13"/>
      <c r="D24" s="65"/>
    </row>
    <row r="25" spans="1:8" s="11" customFormat="1" ht="15.95" customHeight="1" x14ac:dyDescent="0.25">
      <c r="B25" s="24"/>
      <c r="C25" s="13"/>
      <c r="D25" s="65"/>
    </row>
    <row r="26" spans="1:8" s="11" customFormat="1" ht="14.1" customHeight="1" x14ac:dyDescent="0.25">
      <c r="B26" s="66"/>
      <c r="C26" s="32"/>
      <c r="D26" s="59"/>
      <c r="E26" s="39"/>
      <c r="F26" s="39"/>
    </row>
    <row r="27" spans="1:8" s="11" customFormat="1" ht="14.1" customHeight="1" x14ac:dyDescent="0.25">
      <c r="A27" s="39"/>
      <c r="B27" s="46"/>
      <c r="C27" s="32"/>
      <c r="D27" s="59"/>
      <c r="E27" s="39"/>
      <c r="F27" s="39"/>
    </row>
    <row r="28" spans="1:8" s="11" customFormat="1" ht="14.1" customHeight="1" x14ac:dyDescent="0.25">
      <c r="A28" s="39"/>
      <c r="B28" s="46"/>
      <c r="C28" s="42"/>
      <c r="D28" s="43"/>
      <c r="E28" s="39"/>
      <c r="F28" s="39"/>
    </row>
    <row r="29" spans="1:8" s="11" customFormat="1" ht="15.95" customHeight="1" x14ac:dyDescent="0.25">
      <c r="B29" s="24">
        <f>SUM(B24:B28)</f>
        <v>0</v>
      </c>
      <c r="C29" s="13"/>
      <c r="D29" s="13"/>
    </row>
    <row r="30" spans="1:8" s="11" customFormat="1" ht="15.95" customHeight="1" x14ac:dyDescent="0.25">
      <c r="A30" s="11" t="s">
        <v>1</v>
      </c>
      <c r="B30" s="12">
        <f>B29+B22</f>
        <v>-327001</v>
      </c>
      <c r="C30" s="13"/>
      <c r="D30" s="13"/>
    </row>
    <row r="31" spans="1:8" s="11" customFormat="1" ht="15.95" customHeight="1" x14ac:dyDescent="0.25">
      <c r="A31" s="15" t="s">
        <v>0</v>
      </c>
      <c r="B31" s="16">
        <f>B30-B7</f>
        <v>0</v>
      </c>
      <c r="C31" s="13"/>
      <c r="D31" s="13"/>
    </row>
    <row r="32" spans="1:8" s="11" customFormat="1" ht="15.95" customHeight="1" x14ac:dyDescent="0.25">
      <c r="B32" s="12"/>
      <c r="C32" s="13"/>
      <c r="D32" s="13"/>
    </row>
    <row r="33" spans="1:9" s="11" customFormat="1" ht="20.100000000000001" customHeight="1" x14ac:dyDescent="0.25">
      <c r="A33" s="213"/>
      <c r="B33" s="214"/>
      <c r="C33" s="207"/>
      <c r="D33" s="207"/>
    </row>
    <row r="34" spans="1:9" s="11" customFormat="1" ht="20.100000000000001" customHeight="1" x14ac:dyDescent="0.25">
      <c r="A34" s="213"/>
      <c r="B34" s="214"/>
      <c r="C34" s="207"/>
      <c r="D34" s="207"/>
    </row>
    <row r="35" spans="1:9" s="11" customFormat="1" ht="20.100000000000001" customHeight="1" x14ac:dyDescent="0.3">
      <c r="A35" s="1"/>
      <c r="B35" s="3"/>
      <c r="C35" s="13"/>
      <c r="D35" s="13"/>
    </row>
    <row r="36" spans="1:9" s="11" customFormat="1" ht="20.100000000000001" customHeight="1" x14ac:dyDescent="0.3">
      <c r="A36" s="1"/>
      <c r="B36" s="3"/>
      <c r="C36" s="13"/>
      <c r="D36" s="13"/>
    </row>
    <row r="37" spans="1:9" s="11" customFormat="1" ht="20.100000000000001" customHeight="1" x14ac:dyDescent="0.3">
      <c r="A37" s="1"/>
      <c r="B37" s="3"/>
      <c r="C37" s="13"/>
      <c r="D37" s="13"/>
    </row>
    <row r="38" spans="1:9" s="13" customFormat="1" ht="20.100000000000001" customHeight="1" x14ac:dyDescent="0.3">
      <c r="A38" s="1"/>
      <c r="B38" s="3"/>
      <c r="E38" s="11"/>
      <c r="F38" s="11"/>
      <c r="G38" s="11"/>
      <c r="H38" s="11"/>
      <c r="I38" s="11"/>
    </row>
    <row r="39" spans="1:9" s="13" customFormat="1" ht="20.100000000000001" customHeight="1" x14ac:dyDescent="0.3">
      <c r="A39" s="1"/>
      <c r="B39" s="3"/>
      <c r="E39" s="11"/>
      <c r="F39" s="11"/>
      <c r="G39" s="11"/>
      <c r="H39" s="11"/>
      <c r="I39" s="11"/>
    </row>
    <row r="40" spans="1:9" s="13" customFormat="1" ht="20.100000000000001" customHeight="1" x14ac:dyDescent="0.3">
      <c r="A40" s="1"/>
      <c r="B40" s="3"/>
      <c r="E40" s="11"/>
      <c r="F40" s="11"/>
      <c r="G40" s="11"/>
      <c r="H40" s="11"/>
      <c r="I40" s="11"/>
    </row>
    <row r="41" spans="1:9" ht="20.100000000000001" customHeight="1" x14ac:dyDescent="0.3"/>
    <row r="42" spans="1:9" ht="20.100000000000001" customHeight="1" x14ac:dyDescent="0.3"/>
    <row r="43" spans="1:9" ht="20.100000000000001" customHeight="1" x14ac:dyDescent="0.3"/>
    <row r="44" spans="1:9" ht="20.100000000000001" customHeight="1" x14ac:dyDescent="0.3"/>
  </sheetData>
  <mergeCells count="4">
    <mergeCell ref="A33:A34"/>
    <mergeCell ref="B33:B34"/>
    <mergeCell ref="C33:C34"/>
    <mergeCell ref="D33:D34"/>
  </mergeCells>
  <pageMargins left="0.7" right="0.7" top="0.75" bottom="0.75" header="0.3" footer="0.3"/>
  <pageSetup fitToHeight="0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EB207-EFDA-430E-AA98-7DADAF9824F5}">
  <sheetPr>
    <pageSetUpPr fitToPage="1"/>
  </sheetPr>
  <dimension ref="A1:I49"/>
  <sheetViews>
    <sheetView workbookViewId="0">
      <selection activeCell="D26" sqref="D26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21.5703125" style="6" customWidth="1"/>
    <col min="4" max="4" width="19.7109375" style="6" customWidth="1"/>
    <col min="5" max="7" width="9.140625" style="1"/>
    <col min="8" max="8" width="17.7109375" style="1" customWidth="1"/>
    <col min="9" max="16384" width="9.140625" style="1"/>
  </cols>
  <sheetData>
    <row r="1" spans="1:8" s="11" customFormat="1" ht="20.100000000000001" customHeight="1" x14ac:dyDescent="0.25">
      <c r="A1" s="11" t="s">
        <v>304</v>
      </c>
      <c r="B1" s="12"/>
      <c r="C1" s="13"/>
      <c r="D1" s="13"/>
    </row>
    <row r="2" spans="1:8" s="11" customFormat="1" ht="20.100000000000001" customHeight="1" x14ac:dyDescent="0.25">
      <c r="A2" s="14">
        <v>44408</v>
      </c>
      <c r="B2" s="12"/>
      <c r="C2" s="13"/>
      <c r="D2" s="13"/>
    </row>
    <row r="3" spans="1:8" s="11" customFormat="1" ht="20.100000000000001" customHeight="1" x14ac:dyDescent="0.25">
      <c r="A3" s="11" t="s">
        <v>311</v>
      </c>
      <c r="B3" s="12">
        <v>4714423.3</v>
      </c>
      <c r="C3" s="13"/>
      <c r="D3" s="13"/>
    </row>
    <row r="4" spans="1:8" s="11" customFormat="1" ht="20.100000000000001" customHeight="1" x14ac:dyDescent="0.25">
      <c r="A4" s="11" t="s">
        <v>6</v>
      </c>
      <c r="B4" s="12"/>
      <c r="C4" s="13"/>
      <c r="D4" s="13"/>
    </row>
    <row r="5" spans="1:8" s="11" customFormat="1" ht="20.100000000000001" customHeight="1" x14ac:dyDescent="0.25">
      <c r="A5" s="11">
        <v>2100</v>
      </c>
      <c r="B5" s="12">
        <v>-5409300.2999999998</v>
      </c>
      <c r="C5" s="13"/>
      <c r="D5" s="13"/>
    </row>
    <row r="6" spans="1:8" s="11" customFormat="1" ht="20.100000000000001" customHeight="1" x14ac:dyDescent="0.25">
      <c r="A6" s="11" t="s">
        <v>5</v>
      </c>
      <c r="B6" s="12">
        <f>SUM(B5)</f>
        <v>-5409300.2999999998</v>
      </c>
      <c r="C6" s="13"/>
      <c r="D6" s="13"/>
    </row>
    <row r="7" spans="1:8" s="11" customFormat="1" ht="20.100000000000001" customHeight="1" x14ac:dyDescent="0.25">
      <c r="A7" s="15" t="s">
        <v>4</v>
      </c>
      <c r="B7" s="16">
        <f>B6+B3</f>
        <v>-694877</v>
      </c>
      <c r="C7" s="13"/>
      <c r="D7" s="13"/>
    </row>
    <row r="8" spans="1:8" s="11" customFormat="1" ht="15.95" customHeight="1" x14ac:dyDescent="0.25">
      <c r="A8" s="11" t="s">
        <v>3</v>
      </c>
      <c r="B8" s="12"/>
      <c r="C8" s="44" t="s">
        <v>628</v>
      </c>
      <c r="D8" s="52" t="s">
        <v>626</v>
      </c>
    </row>
    <row r="9" spans="1:8" s="11" customFormat="1" ht="15" customHeight="1" x14ac:dyDescent="0.25">
      <c r="A9" s="11" t="s">
        <v>957</v>
      </c>
      <c r="B9" s="24">
        <v>-24594</v>
      </c>
      <c r="C9" s="31">
        <v>44407</v>
      </c>
      <c r="D9" s="51">
        <v>44410</v>
      </c>
      <c r="E9" s="55"/>
      <c r="F9" s="55"/>
      <c r="G9" s="55"/>
      <c r="H9" s="47"/>
    </row>
    <row r="10" spans="1:8" s="11" customFormat="1" ht="15" customHeight="1" x14ac:dyDescent="0.25">
      <c r="A10" s="11" t="s">
        <v>958</v>
      </c>
      <c r="B10" s="24">
        <v>-26167</v>
      </c>
      <c r="C10" s="31">
        <v>44408</v>
      </c>
      <c r="D10" s="51">
        <v>44411</v>
      </c>
      <c r="E10" s="55"/>
      <c r="F10" s="55"/>
      <c r="G10" s="55"/>
      <c r="H10" s="47"/>
    </row>
    <row r="11" spans="1:8" s="11" customFormat="1" ht="15" customHeight="1" x14ac:dyDescent="0.25">
      <c r="A11" s="11" t="s">
        <v>959</v>
      </c>
      <c r="B11" s="24">
        <v>-27529</v>
      </c>
      <c r="C11" s="31">
        <v>44407</v>
      </c>
      <c r="D11" s="51">
        <v>44410</v>
      </c>
      <c r="E11" s="55"/>
      <c r="F11" s="55"/>
      <c r="G11" s="55"/>
      <c r="H11" s="47"/>
    </row>
    <row r="12" spans="1:8" s="11" customFormat="1" ht="15" customHeight="1" x14ac:dyDescent="0.25">
      <c r="A12" s="11" t="s">
        <v>960</v>
      </c>
      <c r="B12" s="66">
        <v>-27947</v>
      </c>
      <c r="C12" s="31">
        <v>44406</v>
      </c>
      <c r="D12" s="51">
        <v>44411</v>
      </c>
      <c r="E12" s="55"/>
      <c r="F12" s="55"/>
      <c r="G12" s="55"/>
      <c r="H12" s="47"/>
    </row>
    <row r="13" spans="1:8" s="11" customFormat="1" ht="15" customHeight="1" x14ac:dyDescent="0.25">
      <c r="A13" s="11" t="s">
        <v>961</v>
      </c>
      <c r="B13" s="24">
        <v>-29486</v>
      </c>
      <c r="C13" s="31">
        <v>44406</v>
      </c>
      <c r="D13" s="51">
        <v>44411</v>
      </c>
      <c r="E13" s="55"/>
      <c r="F13" s="55"/>
      <c r="G13" s="55"/>
      <c r="H13" s="47"/>
    </row>
    <row r="14" spans="1:8" s="11" customFormat="1" ht="15" customHeight="1" x14ac:dyDescent="0.25">
      <c r="A14" s="11" t="s">
        <v>962</v>
      </c>
      <c r="B14" s="24">
        <v>-30974</v>
      </c>
      <c r="C14" s="31">
        <v>44406</v>
      </c>
      <c r="D14" s="51">
        <v>44411</v>
      </c>
      <c r="E14" s="55"/>
      <c r="F14" s="55"/>
      <c r="G14" s="55"/>
      <c r="H14" s="47"/>
    </row>
    <row r="15" spans="1:8" s="11" customFormat="1" ht="15" customHeight="1" x14ac:dyDescent="0.25">
      <c r="A15" s="11" t="s">
        <v>963</v>
      </c>
      <c r="B15" s="24">
        <v>-33911</v>
      </c>
      <c r="C15" s="32">
        <v>44406</v>
      </c>
      <c r="D15" s="53">
        <v>44411</v>
      </c>
      <c r="E15" s="55"/>
      <c r="F15" s="55"/>
      <c r="G15" s="55"/>
      <c r="H15" s="47"/>
    </row>
    <row r="16" spans="1:8" s="11" customFormat="1" ht="15" customHeight="1" x14ac:dyDescent="0.25">
      <c r="A16" s="11" t="s">
        <v>964</v>
      </c>
      <c r="B16" s="24">
        <v>-34135</v>
      </c>
      <c r="C16" s="32">
        <v>44408</v>
      </c>
      <c r="D16" s="53">
        <v>44411</v>
      </c>
      <c r="E16" s="55"/>
      <c r="F16" s="55"/>
      <c r="G16" s="55"/>
      <c r="H16" s="47"/>
    </row>
    <row r="17" spans="1:8" s="11" customFormat="1" ht="15" customHeight="1" x14ac:dyDescent="0.25">
      <c r="A17" s="11" t="s">
        <v>965</v>
      </c>
      <c r="B17" s="24">
        <v>-34352</v>
      </c>
      <c r="C17" s="32">
        <v>44406</v>
      </c>
      <c r="D17" s="53">
        <v>44411</v>
      </c>
      <c r="E17" s="55"/>
      <c r="F17" s="55"/>
      <c r="G17" s="55"/>
      <c r="H17" s="47"/>
    </row>
    <row r="18" spans="1:8" s="11" customFormat="1" ht="15" customHeight="1" x14ac:dyDescent="0.25">
      <c r="A18" s="11" t="s">
        <v>966</v>
      </c>
      <c r="B18" s="24">
        <v>-34441</v>
      </c>
      <c r="C18" s="32">
        <v>44406</v>
      </c>
      <c r="D18" s="53">
        <v>44411</v>
      </c>
      <c r="E18" s="55"/>
      <c r="F18" s="55"/>
      <c r="G18" s="55"/>
      <c r="H18" s="47"/>
    </row>
    <row r="19" spans="1:8" s="11" customFormat="1" ht="15" customHeight="1" x14ac:dyDescent="0.25">
      <c r="A19" s="11" t="s">
        <v>967</v>
      </c>
      <c r="B19" s="24">
        <v>-34890</v>
      </c>
      <c r="C19" s="32">
        <v>44406</v>
      </c>
      <c r="D19" s="53">
        <v>44411</v>
      </c>
      <c r="E19" s="55"/>
      <c r="F19" s="55"/>
      <c r="G19" s="55"/>
      <c r="H19" s="47"/>
    </row>
    <row r="20" spans="1:8" s="11" customFormat="1" ht="15" customHeight="1" x14ac:dyDescent="0.25">
      <c r="A20" s="11" t="s">
        <v>968</v>
      </c>
      <c r="B20" s="24">
        <v>-35703</v>
      </c>
      <c r="C20" s="32">
        <v>44406</v>
      </c>
      <c r="D20" s="53">
        <v>44411</v>
      </c>
      <c r="E20" s="55"/>
      <c r="F20" s="55"/>
      <c r="G20" s="55"/>
      <c r="H20" s="47"/>
    </row>
    <row r="21" spans="1:8" s="11" customFormat="1" ht="15" customHeight="1" x14ac:dyDescent="0.25">
      <c r="A21" s="11" t="s">
        <v>969</v>
      </c>
      <c r="B21" s="24">
        <v>-37222</v>
      </c>
      <c r="C21" s="32">
        <v>44407</v>
      </c>
      <c r="D21" s="53">
        <v>44410</v>
      </c>
      <c r="E21" s="55"/>
      <c r="F21" s="55"/>
      <c r="G21" s="55"/>
      <c r="H21" s="47"/>
    </row>
    <row r="22" spans="1:8" s="62" customFormat="1" ht="15" customHeight="1" x14ac:dyDescent="0.25">
      <c r="A22" s="60" t="s">
        <v>970</v>
      </c>
      <c r="B22" s="68">
        <v>-42974</v>
      </c>
      <c r="C22" s="67">
        <v>44407</v>
      </c>
      <c r="D22" s="53">
        <v>44410</v>
      </c>
      <c r="E22" s="54"/>
      <c r="F22" s="54"/>
      <c r="G22" s="54"/>
      <c r="H22" s="47"/>
    </row>
    <row r="23" spans="1:8" s="62" customFormat="1" ht="15" customHeight="1" x14ac:dyDescent="0.25">
      <c r="A23" s="60" t="s">
        <v>971</v>
      </c>
      <c r="B23" s="68">
        <v>-77409</v>
      </c>
      <c r="C23" s="67">
        <v>44407</v>
      </c>
      <c r="D23" s="53">
        <v>44410</v>
      </c>
      <c r="E23" s="54"/>
      <c r="F23" s="54"/>
      <c r="G23" s="54"/>
      <c r="H23" s="47"/>
    </row>
    <row r="24" spans="1:8" s="11" customFormat="1" ht="15" customHeight="1" x14ac:dyDescent="0.25">
      <c r="A24" s="11" t="s">
        <v>972</v>
      </c>
      <c r="B24" s="24">
        <v>-80329</v>
      </c>
      <c r="C24" s="32">
        <v>44407</v>
      </c>
      <c r="D24" s="53">
        <v>44410</v>
      </c>
      <c r="E24" s="54"/>
      <c r="F24" s="54"/>
      <c r="G24" s="54"/>
      <c r="H24" s="47"/>
    </row>
    <row r="25" spans="1:8" s="11" customFormat="1" ht="14.1" customHeight="1" x14ac:dyDescent="0.25">
      <c r="A25" s="11" t="s">
        <v>973</v>
      </c>
      <c r="B25" s="24">
        <v>-82814</v>
      </c>
      <c r="C25" s="32">
        <v>44407</v>
      </c>
      <c r="D25" s="53">
        <v>44410</v>
      </c>
      <c r="E25" s="54"/>
      <c r="F25" s="54"/>
      <c r="G25" s="54"/>
      <c r="H25" s="47"/>
    </row>
    <row r="26" spans="1:8" s="11" customFormat="1" ht="14.1" customHeight="1" x14ac:dyDescent="0.25">
      <c r="B26" s="24"/>
      <c r="C26" s="42"/>
      <c r="D26" s="53"/>
      <c r="E26" s="54"/>
      <c r="F26" s="54"/>
      <c r="G26" s="54"/>
      <c r="H26" s="47"/>
    </row>
    <row r="27" spans="1:8" s="11" customFormat="1" ht="15.95" customHeight="1" x14ac:dyDescent="0.25">
      <c r="B27" s="24">
        <f>SUM(B9:B26)</f>
        <v>-694877</v>
      </c>
      <c r="C27" s="18"/>
      <c r="D27" s="19"/>
      <c r="E27" s="19"/>
      <c r="F27" s="19"/>
      <c r="G27" s="19"/>
    </row>
    <row r="28" spans="1:8" s="11" customFormat="1" ht="15.95" customHeight="1" x14ac:dyDescent="0.25">
      <c r="A28" s="11" t="s">
        <v>2</v>
      </c>
      <c r="B28" s="24"/>
      <c r="C28" s="30" t="s">
        <v>702</v>
      </c>
      <c r="D28" s="63" t="s">
        <v>628</v>
      </c>
    </row>
    <row r="29" spans="1:8" s="11" customFormat="1" ht="15.95" customHeight="1" x14ac:dyDescent="0.25">
      <c r="B29" s="24"/>
      <c r="C29" s="13"/>
      <c r="D29" s="65"/>
    </row>
    <row r="30" spans="1:8" s="11" customFormat="1" ht="15.95" customHeight="1" x14ac:dyDescent="0.25">
      <c r="B30" s="24"/>
      <c r="C30" s="13"/>
      <c r="D30" s="65"/>
    </row>
    <row r="31" spans="1:8" s="11" customFormat="1" ht="14.1" customHeight="1" x14ac:dyDescent="0.25">
      <c r="B31" s="66"/>
      <c r="C31" s="32"/>
      <c r="D31" s="59"/>
      <c r="E31" s="39"/>
      <c r="F31" s="39"/>
    </row>
    <row r="32" spans="1:8" s="11" customFormat="1" ht="14.1" customHeight="1" x14ac:dyDescent="0.25">
      <c r="A32" s="39"/>
      <c r="B32" s="46"/>
      <c r="C32" s="32"/>
      <c r="D32" s="59"/>
      <c r="E32" s="39"/>
      <c r="F32" s="39"/>
    </row>
    <row r="33" spans="1:9" s="11" customFormat="1" ht="14.1" customHeight="1" x14ac:dyDescent="0.25">
      <c r="A33" s="39"/>
      <c r="B33" s="46"/>
      <c r="C33" s="42"/>
      <c r="D33" s="43"/>
      <c r="E33" s="39"/>
      <c r="F33" s="39"/>
    </row>
    <row r="34" spans="1:9" s="11" customFormat="1" ht="15.95" customHeight="1" x14ac:dyDescent="0.25">
      <c r="B34" s="24">
        <f>SUM(B29:B33)</f>
        <v>0</v>
      </c>
      <c r="C34" s="13"/>
      <c r="D34" s="13"/>
    </row>
    <row r="35" spans="1:9" s="11" customFormat="1" ht="15.95" customHeight="1" x14ac:dyDescent="0.25">
      <c r="A35" s="11" t="s">
        <v>1</v>
      </c>
      <c r="B35" s="12">
        <f>B34+B27</f>
        <v>-694877</v>
      </c>
      <c r="C35" s="13"/>
      <c r="D35" s="13"/>
    </row>
    <row r="36" spans="1:9" s="11" customFormat="1" ht="15.95" customHeight="1" x14ac:dyDescent="0.25">
      <c r="A36" s="15" t="s">
        <v>0</v>
      </c>
      <c r="B36" s="16">
        <f>B35-B7</f>
        <v>0</v>
      </c>
      <c r="C36" s="13"/>
      <c r="D36" s="13"/>
    </row>
    <row r="37" spans="1:9" s="11" customFormat="1" ht="15.95" customHeight="1" x14ac:dyDescent="0.25">
      <c r="B37" s="12"/>
      <c r="C37" s="13"/>
      <c r="D37" s="13"/>
    </row>
    <row r="38" spans="1:9" s="11" customFormat="1" ht="20.100000000000001" customHeight="1" x14ac:dyDescent="0.25">
      <c r="A38" s="213"/>
      <c r="B38" s="214"/>
      <c r="C38" s="207"/>
      <c r="D38" s="207"/>
    </row>
    <row r="39" spans="1:9" s="11" customFormat="1" ht="20.100000000000001" customHeight="1" x14ac:dyDescent="0.25">
      <c r="A39" s="213"/>
      <c r="B39" s="214"/>
      <c r="C39" s="207"/>
      <c r="D39" s="207"/>
    </row>
    <row r="40" spans="1:9" s="11" customFormat="1" ht="20.100000000000001" customHeight="1" x14ac:dyDescent="0.3">
      <c r="A40" s="1"/>
      <c r="B40" s="3"/>
      <c r="C40" s="13"/>
      <c r="D40" s="13"/>
    </row>
    <row r="41" spans="1:9" s="11" customFormat="1" ht="20.100000000000001" customHeight="1" x14ac:dyDescent="0.3">
      <c r="A41" s="1"/>
      <c r="B41" s="3"/>
      <c r="C41" s="13"/>
      <c r="D41" s="13"/>
    </row>
    <row r="42" spans="1:9" s="11" customFormat="1" ht="20.100000000000001" customHeight="1" x14ac:dyDescent="0.3">
      <c r="A42" s="1"/>
      <c r="B42" s="3"/>
      <c r="C42" s="13"/>
      <c r="D42" s="13"/>
    </row>
    <row r="43" spans="1:9" s="13" customFormat="1" ht="20.100000000000001" customHeight="1" x14ac:dyDescent="0.3">
      <c r="A43" s="1"/>
      <c r="B43" s="3"/>
      <c r="E43" s="11"/>
      <c r="F43" s="11"/>
      <c r="G43" s="11"/>
      <c r="H43" s="11"/>
      <c r="I43" s="11"/>
    </row>
    <row r="44" spans="1:9" s="13" customFormat="1" ht="20.100000000000001" customHeight="1" x14ac:dyDescent="0.3">
      <c r="A44" s="1"/>
      <c r="B44" s="3"/>
      <c r="E44" s="11"/>
      <c r="F44" s="11"/>
      <c r="G44" s="11"/>
      <c r="H44" s="11"/>
      <c r="I44" s="11"/>
    </row>
    <row r="45" spans="1:9" s="13" customFormat="1" ht="20.100000000000001" customHeight="1" x14ac:dyDescent="0.3">
      <c r="A45" s="1"/>
      <c r="B45" s="3"/>
      <c r="E45" s="11"/>
      <c r="F45" s="11"/>
      <c r="G45" s="11"/>
      <c r="H45" s="11"/>
      <c r="I45" s="11"/>
    </row>
    <row r="46" spans="1:9" ht="20.100000000000001" customHeight="1" x14ac:dyDescent="0.3"/>
    <row r="47" spans="1:9" ht="20.100000000000001" customHeight="1" x14ac:dyDescent="0.3"/>
    <row r="48" spans="1:9" ht="20.100000000000001" customHeight="1" x14ac:dyDescent="0.3"/>
    <row r="49" ht="20.100000000000001" customHeight="1" x14ac:dyDescent="0.3"/>
  </sheetData>
  <mergeCells count="4">
    <mergeCell ref="A38:A39"/>
    <mergeCell ref="B38:B39"/>
    <mergeCell ref="C38:C39"/>
    <mergeCell ref="D38:D39"/>
  </mergeCells>
  <pageMargins left="0.7" right="0.7" top="0.75" bottom="0.75" header="0.3" footer="0.3"/>
  <pageSetup fitToHeight="0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14C7F-4A45-48F5-88D4-16F1227F5F66}">
  <sheetPr>
    <pageSetUpPr fitToPage="1"/>
  </sheetPr>
  <dimension ref="A1:I41"/>
  <sheetViews>
    <sheetView workbookViewId="0">
      <selection activeCell="D10" sqref="D10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21.5703125" style="6" customWidth="1"/>
    <col min="4" max="4" width="19.7109375" style="6" customWidth="1"/>
    <col min="5" max="7" width="9.140625" style="1"/>
    <col min="8" max="8" width="17.7109375" style="1" customWidth="1"/>
    <col min="9" max="16384" width="9.140625" style="1"/>
  </cols>
  <sheetData>
    <row r="1" spans="1:8" s="11" customFormat="1" ht="20.100000000000001" customHeight="1" x14ac:dyDescent="0.25">
      <c r="A1" s="11" t="s">
        <v>304</v>
      </c>
      <c r="B1" s="12"/>
      <c r="C1" s="13"/>
      <c r="D1" s="13"/>
    </row>
    <row r="2" spans="1:8" s="11" customFormat="1" ht="20.100000000000001" customHeight="1" x14ac:dyDescent="0.25">
      <c r="A2" s="14">
        <v>44439</v>
      </c>
      <c r="B2" s="12"/>
      <c r="C2" s="13"/>
      <c r="D2" s="13"/>
    </row>
    <row r="3" spans="1:8" s="11" customFormat="1" ht="20.100000000000001" customHeight="1" x14ac:dyDescent="0.25">
      <c r="A3" s="11" t="s">
        <v>311</v>
      </c>
      <c r="B3" s="12">
        <v>4720590</v>
      </c>
      <c r="C3" s="13"/>
      <c r="D3" s="13"/>
    </row>
    <row r="4" spans="1:8" s="11" customFormat="1" ht="20.100000000000001" customHeight="1" x14ac:dyDescent="0.25">
      <c r="A4" s="11" t="s">
        <v>6</v>
      </c>
      <c r="B4" s="12"/>
      <c r="C4" s="13"/>
      <c r="D4" s="13"/>
    </row>
    <row r="5" spans="1:8" s="11" customFormat="1" ht="20.100000000000001" customHeight="1" x14ac:dyDescent="0.25">
      <c r="A5" s="11">
        <v>2100</v>
      </c>
      <c r="B5" s="12">
        <v>-4886107</v>
      </c>
      <c r="C5" s="13"/>
      <c r="D5" s="13"/>
    </row>
    <row r="6" spans="1:8" s="11" customFormat="1" ht="20.100000000000001" customHeight="1" x14ac:dyDescent="0.25">
      <c r="A6" s="11" t="s">
        <v>5</v>
      </c>
      <c r="B6" s="12">
        <f>SUM(B5)</f>
        <v>-4886107</v>
      </c>
      <c r="C6" s="13"/>
      <c r="D6" s="13"/>
    </row>
    <row r="7" spans="1:8" s="11" customFormat="1" ht="20.100000000000001" customHeight="1" x14ac:dyDescent="0.25">
      <c r="A7" s="15" t="s">
        <v>4</v>
      </c>
      <c r="B7" s="16">
        <f>B6+B3</f>
        <v>-165517</v>
      </c>
      <c r="C7" s="13"/>
      <c r="D7" s="13"/>
    </row>
    <row r="8" spans="1:8" s="11" customFormat="1" ht="15.95" customHeight="1" x14ac:dyDescent="0.25">
      <c r="A8" s="11" t="s">
        <v>3</v>
      </c>
      <c r="B8" s="12"/>
      <c r="C8" s="44" t="s">
        <v>628</v>
      </c>
      <c r="D8" s="52" t="s">
        <v>626</v>
      </c>
    </row>
    <row r="9" spans="1:8" s="11" customFormat="1" ht="15" customHeight="1" x14ac:dyDescent="0.25">
      <c r="A9" s="11" t="s">
        <v>974</v>
      </c>
      <c r="B9" s="24">
        <v>-165517</v>
      </c>
      <c r="C9" s="31">
        <v>44439</v>
      </c>
      <c r="D9" s="51">
        <v>44441</v>
      </c>
      <c r="E9" s="55"/>
      <c r="F9" s="55"/>
      <c r="G9" s="55"/>
      <c r="H9" s="47"/>
    </row>
    <row r="10" spans="1:8" s="11" customFormat="1" ht="15" customHeight="1" x14ac:dyDescent="0.25">
      <c r="B10" s="24"/>
      <c r="C10" s="31"/>
      <c r="D10" s="51"/>
      <c r="E10" s="55"/>
      <c r="F10" s="55"/>
      <c r="G10" s="55"/>
      <c r="H10" s="47"/>
    </row>
    <row r="11" spans="1:8" s="11" customFormat="1" ht="15" customHeight="1" x14ac:dyDescent="0.25">
      <c r="B11" s="24"/>
      <c r="C11" s="31"/>
      <c r="D11" s="51"/>
      <c r="E11" s="55"/>
      <c r="F11" s="55"/>
      <c r="G11" s="55"/>
      <c r="H11" s="47"/>
    </row>
    <row r="12" spans="1:8" s="11" customFormat="1" ht="15" customHeight="1" x14ac:dyDescent="0.25">
      <c r="B12" s="66"/>
      <c r="C12" s="31"/>
      <c r="D12" s="51"/>
      <c r="E12" s="55"/>
      <c r="F12" s="55"/>
      <c r="G12" s="55"/>
      <c r="H12" s="47"/>
    </row>
    <row r="13" spans="1:8" s="11" customFormat="1" ht="15" customHeight="1" x14ac:dyDescent="0.25">
      <c r="B13" s="24"/>
      <c r="C13" s="32"/>
      <c r="D13" s="53"/>
      <c r="E13" s="55"/>
      <c r="F13" s="55"/>
      <c r="G13" s="55"/>
      <c r="H13" s="47"/>
    </row>
    <row r="14" spans="1:8" s="62" customFormat="1" ht="15" customHeight="1" x14ac:dyDescent="0.25">
      <c r="A14" s="60"/>
      <c r="B14" s="68"/>
      <c r="C14" s="67"/>
      <c r="D14" s="53"/>
      <c r="E14" s="54"/>
      <c r="F14" s="54"/>
      <c r="G14" s="54"/>
      <c r="H14" s="47"/>
    </row>
    <row r="15" spans="1:8" s="62" customFormat="1" ht="15" customHeight="1" x14ac:dyDescent="0.25">
      <c r="A15" s="60"/>
      <c r="B15" s="68"/>
      <c r="C15" s="67"/>
      <c r="D15" s="53"/>
      <c r="E15" s="54"/>
      <c r="F15" s="54"/>
      <c r="G15" s="54"/>
      <c r="H15" s="47"/>
    </row>
    <row r="16" spans="1:8" s="11" customFormat="1" ht="15" customHeight="1" x14ac:dyDescent="0.25">
      <c r="B16" s="24"/>
      <c r="C16" s="32"/>
      <c r="D16" s="53"/>
      <c r="E16" s="54"/>
      <c r="F16" s="54"/>
      <c r="G16" s="54"/>
      <c r="H16" s="47"/>
    </row>
    <row r="17" spans="1:8" s="11" customFormat="1" ht="14.1" customHeight="1" x14ac:dyDescent="0.25">
      <c r="B17" s="24"/>
      <c r="C17" s="32"/>
      <c r="D17" s="53"/>
      <c r="E17" s="54"/>
      <c r="F17" s="54"/>
      <c r="G17" s="54"/>
      <c r="H17" s="47"/>
    </row>
    <row r="18" spans="1:8" s="11" customFormat="1" ht="14.1" customHeight="1" x14ac:dyDescent="0.25">
      <c r="B18" s="24"/>
      <c r="C18" s="42"/>
      <c r="D18" s="53"/>
      <c r="E18" s="54"/>
      <c r="F18" s="54"/>
      <c r="G18" s="54"/>
      <c r="H18" s="47"/>
    </row>
    <row r="19" spans="1:8" s="11" customFormat="1" ht="15.95" customHeight="1" x14ac:dyDescent="0.25">
      <c r="B19" s="24">
        <f>SUM(B9:B18)</f>
        <v>-165517</v>
      </c>
      <c r="C19" s="18"/>
      <c r="D19" s="19"/>
      <c r="E19" s="19"/>
      <c r="F19" s="19"/>
      <c r="G19" s="19"/>
    </row>
    <row r="20" spans="1:8" s="11" customFormat="1" ht="15.95" customHeight="1" x14ac:dyDescent="0.25">
      <c r="A20" s="11" t="s">
        <v>2</v>
      </c>
      <c r="B20" s="24"/>
      <c r="C20" s="30" t="s">
        <v>702</v>
      </c>
      <c r="D20" s="63" t="s">
        <v>628</v>
      </c>
    </row>
    <row r="21" spans="1:8" s="11" customFormat="1" ht="15.95" customHeight="1" x14ac:dyDescent="0.25">
      <c r="B21" s="24"/>
      <c r="C21" s="13"/>
      <c r="D21" s="65"/>
    </row>
    <row r="22" spans="1:8" s="11" customFormat="1" ht="15.95" customHeight="1" x14ac:dyDescent="0.25">
      <c r="B22" s="24"/>
      <c r="C22" s="13"/>
      <c r="D22" s="65"/>
    </row>
    <row r="23" spans="1:8" s="11" customFormat="1" ht="14.1" customHeight="1" x14ac:dyDescent="0.25">
      <c r="B23" s="66"/>
      <c r="C23" s="32"/>
      <c r="D23" s="59"/>
      <c r="E23" s="39"/>
      <c r="F23" s="39"/>
    </row>
    <row r="24" spans="1:8" s="11" customFormat="1" ht="14.1" customHeight="1" x14ac:dyDescent="0.25">
      <c r="A24" s="39"/>
      <c r="B24" s="46"/>
      <c r="C24" s="32"/>
      <c r="D24" s="59"/>
      <c r="E24" s="39"/>
      <c r="F24" s="39"/>
    </row>
    <row r="25" spans="1:8" s="11" customFormat="1" ht="14.1" customHeight="1" x14ac:dyDescent="0.25">
      <c r="A25" s="39"/>
      <c r="B25" s="46"/>
      <c r="C25" s="42"/>
      <c r="D25" s="43"/>
      <c r="E25" s="39"/>
      <c r="F25" s="39"/>
    </row>
    <row r="26" spans="1:8" s="11" customFormat="1" ht="15.95" customHeight="1" x14ac:dyDescent="0.25">
      <c r="B26" s="24">
        <f>SUM(B21:B25)</f>
        <v>0</v>
      </c>
      <c r="C26" s="13"/>
      <c r="D26" s="13"/>
    </row>
    <row r="27" spans="1:8" s="11" customFormat="1" ht="15.95" customHeight="1" x14ac:dyDescent="0.25">
      <c r="A27" s="11" t="s">
        <v>1</v>
      </c>
      <c r="B27" s="12">
        <f>B26+B19</f>
        <v>-165517</v>
      </c>
      <c r="C27" s="13"/>
      <c r="D27" s="13"/>
    </row>
    <row r="28" spans="1:8" s="11" customFormat="1" ht="15.95" customHeight="1" x14ac:dyDescent="0.25">
      <c r="A28" s="15" t="s">
        <v>0</v>
      </c>
      <c r="B28" s="16">
        <f>B27-B7</f>
        <v>0</v>
      </c>
      <c r="C28" s="13"/>
      <c r="D28" s="13"/>
    </row>
    <row r="29" spans="1:8" s="11" customFormat="1" ht="15.95" customHeight="1" x14ac:dyDescent="0.25">
      <c r="B29" s="12"/>
      <c r="C29" s="13"/>
      <c r="D29" s="13"/>
    </row>
    <row r="30" spans="1:8" s="11" customFormat="1" ht="20.100000000000001" customHeight="1" x14ac:dyDescent="0.25">
      <c r="A30" s="213"/>
      <c r="B30" s="214"/>
      <c r="C30" s="207"/>
      <c r="D30" s="207"/>
    </row>
    <row r="31" spans="1:8" s="11" customFormat="1" ht="20.100000000000001" customHeight="1" x14ac:dyDescent="0.25">
      <c r="A31" s="213"/>
      <c r="B31" s="214"/>
      <c r="C31" s="207"/>
      <c r="D31" s="207"/>
    </row>
    <row r="32" spans="1:8" s="11" customFormat="1" ht="20.100000000000001" customHeight="1" x14ac:dyDescent="0.3">
      <c r="A32" s="1"/>
      <c r="B32" s="3"/>
      <c r="C32" s="13"/>
      <c r="D32" s="13"/>
    </row>
    <row r="33" spans="1:9" s="11" customFormat="1" ht="20.100000000000001" customHeight="1" x14ac:dyDescent="0.3">
      <c r="A33" s="1"/>
      <c r="B33" s="3"/>
      <c r="C33" s="13"/>
      <c r="D33" s="13"/>
    </row>
    <row r="34" spans="1:9" s="11" customFormat="1" ht="20.100000000000001" customHeight="1" x14ac:dyDescent="0.3">
      <c r="A34" s="1"/>
      <c r="B34" s="3"/>
      <c r="C34" s="13"/>
      <c r="D34" s="13"/>
    </row>
    <row r="35" spans="1:9" s="13" customFormat="1" ht="20.100000000000001" customHeight="1" x14ac:dyDescent="0.3">
      <c r="A35" s="1"/>
      <c r="B35" s="3"/>
      <c r="E35" s="11"/>
      <c r="F35" s="11"/>
      <c r="G35" s="11"/>
      <c r="H35" s="11"/>
      <c r="I35" s="11"/>
    </row>
    <row r="36" spans="1:9" s="13" customFormat="1" ht="20.100000000000001" customHeight="1" x14ac:dyDescent="0.3">
      <c r="A36" s="1"/>
      <c r="B36" s="3"/>
      <c r="E36" s="11"/>
      <c r="F36" s="11"/>
      <c r="G36" s="11"/>
      <c r="H36" s="11"/>
      <c r="I36" s="11"/>
    </row>
    <row r="37" spans="1:9" s="13" customFormat="1" ht="20.100000000000001" customHeight="1" x14ac:dyDescent="0.3">
      <c r="A37" s="1"/>
      <c r="B37" s="3"/>
      <c r="E37" s="11"/>
      <c r="F37" s="11"/>
      <c r="G37" s="11"/>
      <c r="H37" s="11"/>
      <c r="I37" s="11"/>
    </row>
    <row r="38" spans="1:9" ht="20.100000000000001" customHeight="1" x14ac:dyDescent="0.3"/>
    <row r="39" spans="1:9" ht="20.100000000000001" customHeight="1" x14ac:dyDescent="0.3"/>
    <row r="40" spans="1:9" ht="20.100000000000001" customHeight="1" x14ac:dyDescent="0.3"/>
    <row r="41" spans="1:9" ht="20.100000000000001" customHeight="1" x14ac:dyDescent="0.3"/>
  </sheetData>
  <mergeCells count="4">
    <mergeCell ref="A30:A31"/>
    <mergeCell ref="B30:B31"/>
    <mergeCell ref="C30:C31"/>
    <mergeCell ref="D30:D31"/>
  </mergeCells>
  <pageMargins left="0.7" right="0.7" top="0.75" bottom="0.75" header="0.3" footer="0.3"/>
  <pageSetup fitToHeight="0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7434A-E113-409E-813D-FD2F57B00156}">
  <sheetPr>
    <pageSetUpPr fitToPage="1"/>
  </sheetPr>
  <dimension ref="A1:I41"/>
  <sheetViews>
    <sheetView workbookViewId="0">
      <selection activeCell="C10" sqref="C10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21.5703125" style="6" customWidth="1"/>
    <col min="4" max="4" width="19.7109375" style="6" customWidth="1"/>
    <col min="5" max="7" width="9.140625" style="1"/>
    <col min="8" max="8" width="17.7109375" style="1" customWidth="1"/>
    <col min="9" max="16384" width="9.140625" style="1"/>
  </cols>
  <sheetData>
    <row r="1" spans="1:8" s="11" customFormat="1" ht="20.100000000000001" customHeight="1" x14ac:dyDescent="0.25">
      <c r="A1" s="11" t="s">
        <v>304</v>
      </c>
      <c r="B1" s="12"/>
      <c r="C1" s="13"/>
      <c r="D1" s="13"/>
    </row>
    <row r="2" spans="1:8" s="11" customFormat="1" ht="20.100000000000001" customHeight="1" x14ac:dyDescent="0.25">
      <c r="A2" s="14">
        <v>44469</v>
      </c>
      <c r="B2" s="12"/>
      <c r="C2" s="13"/>
      <c r="D2" s="13"/>
    </row>
    <row r="3" spans="1:8" s="11" customFormat="1" ht="20.100000000000001" customHeight="1" x14ac:dyDescent="0.25">
      <c r="A3" s="11" t="s">
        <v>311</v>
      </c>
      <c r="B3" s="12">
        <v>4342896</v>
      </c>
      <c r="C3" s="13"/>
      <c r="D3" s="13"/>
    </row>
    <row r="4" spans="1:8" s="11" customFormat="1" ht="20.100000000000001" customHeight="1" x14ac:dyDescent="0.25">
      <c r="A4" s="11" t="s">
        <v>6</v>
      </c>
      <c r="B4" s="12"/>
      <c r="C4" s="13"/>
      <c r="D4" s="13"/>
    </row>
    <row r="5" spans="1:8" s="11" customFormat="1" ht="20.100000000000001" customHeight="1" x14ac:dyDescent="0.25">
      <c r="A5" s="11">
        <v>2100</v>
      </c>
      <c r="B5" s="12">
        <v>-4454841</v>
      </c>
      <c r="C5" s="13"/>
      <c r="D5" s="13"/>
    </row>
    <row r="6" spans="1:8" s="11" customFormat="1" ht="20.100000000000001" customHeight="1" x14ac:dyDescent="0.25">
      <c r="A6" s="11" t="s">
        <v>5</v>
      </c>
      <c r="B6" s="12">
        <f>SUM(B5)</f>
        <v>-4454841</v>
      </c>
      <c r="C6" s="13"/>
      <c r="D6" s="13"/>
    </row>
    <row r="7" spans="1:8" s="11" customFormat="1" ht="20.100000000000001" customHeight="1" x14ac:dyDescent="0.25">
      <c r="A7" s="15" t="s">
        <v>4</v>
      </c>
      <c r="B7" s="16">
        <f>B6+B3</f>
        <v>-111945</v>
      </c>
      <c r="C7" s="13"/>
      <c r="D7" s="13"/>
    </row>
    <row r="8" spans="1:8" s="11" customFormat="1" ht="15.95" customHeight="1" x14ac:dyDescent="0.25">
      <c r="A8" s="11" t="s">
        <v>3</v>
      </c>
      <c r="B8" s="12"/>
      <c r="C8" s="44" t="s">
        <v>628</v>
      </c>
      <c r="D8" s="52" t="s">
        <v>626</v>
      </c>
    </row>
    <row r="9" spans="1:8" s="11" customFormat="1" ht="15" customHeight="1" x14ac:dyDescent="0.25">
      <c r="A9" s="11" t="s">
        <v>975</v>
      </c>
      <c r="B9" s="24">
        <v>-53669</v>
      </c>
      <c r="C9" s="31">
        <v>44469</v>
      </c>
      <c r="D9" s="51">
        <v>44470</v>
      </c>
      <c r="E9" s="55"/>
      <c r="F9" s="55"/>
      <c r="G9" s="55"/>
      <c r="H9" s="47"/>
    </row>
    <row r="10" spans="1:8" s="11" customFormat="1" ht="15" customHeight="1" x14ac:dyDescent="0.25">
      <c r="A10" s="11" t="s">
        <v>976</v>
      </c>
      <c r="B10" s="24">
        <v>-58276</v>
      </c>
      <c r="C10" s="31">
        <v>44469</v>
      </c>
      <c r="D10" s="51">
        <v>44470</v>
      </c>
      <c r="E10" s="55"/>
      <c r="F10" s="55"/>
      <c r="G10" s="55"/>
      <c r="H10" s="47"/>
    </row>
    <row r="11" spans="1:8" s="11" customFormat="1" ht="15" customHeight="1" x14ac:dyDescent="0.25">
      <c r="B11" s="24"/>
      <c r="C11" s="31"/>
      <c r="D11" s="51"/>
      <c r="E11" s="55"/>
      <c r="F11" s="55"/>
      <c r="G11" s="55"/>
      <c r="H11" s="47"/>
    </row>
    <row r="12" spans="1:8" s="11" customFormat="1" ht="15" customHeight="1" x14ac:dyDescent="0.25">
      <c r="B12" s="66"/>
      <c r="C12" s="31"/>
      <c r="D12" s="51"/>
      <c r="E12" s="55"/>
      <c r="F12" s="55"/>
      <c r="G12" s="55"/>
      <c r="H12" s="47"/>
    </row>
    <row r="13" spans="1:8" s="11" customFormat="1" ht="15" customHeight="1" x14ac:dyDescent="0.25">
      <c r="B13" s="24"/>
      <c r="C13" s="32"/>
      <c r="D13" s="53"/>
      <c r="E13" s="55"/>
      <c r="F13" s="55"/>
      <c r="G13" s="55"/>
      <c r="H13" s="47"/>
    </row>
    <row r="14" spans="1:8" s="62" customFormat="1" ht="15" customHeight="1" x14ac:dyDescent="0.25">
      <c r="A14" s="60"/>
      <c r="B14" s="68"/>
      <c r="C14" s="67"/>
      <c r="D14" s="53"/>
      <c r="E14" s="54"/>
      <c r="F14" s="54"/>
      <c r="G14" s="54"/>
      <c r="H14" s="47"/>
    </row>
    <row r="15" spans="1:8" s="62" customFormat="1" ht="15" customHeight="1" x14ac:dyDescent="0.25">
      <c r="A15" s="60"/>
      <c r="B15" s="68"/>
      <c r="C15" s="67"/>
      <c r="D15" s="53"/>
      <c r="E15" s="54"/>
      <c r="F15" s="54"/>
      <c r="G15" s="54"/>
      <c r="H15" s="47"/>
    </row>
    <row r="16" spans="1:8" s="11" customFormat="1" ht="15" customHeight="1" x14ac:dyDescent="0.25">
      <c r="B16" s="24"/>
      <c r="C16" s="32"/>
      <c r="D16" s="53"/>
      <c r="E16" s="54"/>
      <c r="F16" s="54"/>
      <c r="G16" s="54"/>
      <c r="H16" s="47"/>
    </row>
    <row r="17" spans="1:8" s="11" customFormat="1" ht="14.1" customHeight="1" x14ac:dyDescent="0.25">
      <c r="B17" s="24"/>
      <c r="C17" s="32"/>
      <c r="D17" s="53"/>
      <c r="E17" s="54"/>
      <c r="F17" s="54"/>
      <c r="G17" s="54"/>
      <c r="H17" s="47"/>
    </row>
    <row r="18" spans="1:8" s="11" customFormat="1" ht="14.1" customHeight="1" x14ac:dyDescent="0.25">
      <c r="B18" s="24"/>
      <c r="C18" s="42"/>
      <c r="D18" s="53"/>
      <c r="E18" s="54"/>
      <c r="F18" s="54"/>
      <c r="G18" s="54"/>
      <c r="H18" s="47"/>
    </row>
    <row r="19" spans="1:8" s="11" customFormat="1" ht="15.95" customHeight="1" x14ac:dyDescent="0.25">
      <c r="B19" s="24">
        <f>SUM(B9:B18)</f>
        <v>-111945</v>
      </c>
      <c r="C19" s="18"/>
      <c r="D19" s="19"/>
      <c r="E19" s="19"/>
      <c r="F19" s="19"/>
      <c r="G19" s="19"/>
    </row>
    <row r="20" spans="1:8" s="11" customFormat="1" ht="15.95" customHeight="1" x14ac:dyDescent="0.25">
      <c r="A20" s="11" t="s">
        <v>2</v>
      </c>
      <c r="B20" s="24"/>
      <c r="C20" s="30" t="s">
        <v>702</v>
      </c>
      <c r="D20" s="63" t="s">
        <v>628</v>
      </c>
    </row>
    <row r="21" spans="1:8" s="11" customFormat="1" ht="15.95" customHeight="1" x14ac:dyDescent="0.25">
      <c r="B21" s="24"/>
      <c r="C21" s="13"/>
      <c r="D21" s="65"/>
    </row>
    <row r="22" spans="1:8" s="11" customFormat="1" ht="15.95" customHeight="1" x14ac:dyDescent="0.25">
      <c r="B22" s="24"/>
      <c r="C22" s="13"/>
      <c r="D22" s="65"/>
    </row>
    <row r="23" spans="1:8" s="11" customFormat="1" ht="14.1" customHeight="1" x14ac:dyDescent="0.25">
      <c r="B23" s="66"/>
      <c r="C23" s="32"/>
      <c r="D23" s="59"/>
      <c r="E23" s="39"/>
      <c r="F23" s="39"/>
    </row>
    <row r="24" spans="1:8" s="11" customFormat="1" ht="14.1" customHeight="1" x14ac:dyDescent="0.25">
      <c r="A24" s="39"/>
      <c r="B24" s="46"/>
      <c r="C24" s="32"/>
      <c r="D24" s="59"/>
      <c r="E24" s="39"/>
      <c r="F24" s="39"/>
    </row>
    <row r="25" spans="1:8" s="11" customFormat="1" ht="14.1" customHeight="1" x14ac:dyDescent="0.25">
      <c r="A25" s="39"/>
      <c r="B25" s="46"/>
      <c r="C25" s="42"/>
      <c r="D25" s="43"/>
      <c r="E25" s="39"/>
      <c r="F25" s="39"/>
    </row>
    <row r="26" spans="1:8" s="11" customFormat="1" ht="15.95" customHeight="1" x14ac:dyDescent="0.25">
      <c r="B26" s="24">
        <f>SUM(B21:B25)</f>
        <v>0</v>
      </c>
      <c r="C26" s="13"/>
      <c r="D26" s="13"/>
    </row>
    <row r="27" spans="1:8" s="11" customFormat="1" ht="15.95" customHeight="1" x14ac:dyDescent="0.25">
      <c r="A27" s="11" t="s">
        <v>1</v>
      </c>
      <c r="B27" s="12">
        <f>B26+B19</f>
        <v>-111945</v>
      </c>
      <c r="C27" s="13"/>
      <c r="D27" s="13"/>
    </row>
    <row r="28" spans="1:8" s="11" customFormat="1" ht="15.95" customHeight="1" x14ac:dyDescent="0.25">
      <c r="A28" s="15" t="s">
        <v>0</v>
      </c>
      <c r="B28" s="16">
        <f>B27-B7</f>
        <v>0</v>
      </c>
      <c r="C28" s="13"/>
      <c r="D28" s="13"/>
    </row>
    <row r="29" spans="1:8" s="11" customFormat="1" ht="15.95" customHeight="1" x14ac:dyDescent="0.25">
      <c r="B29" s="12"/>
      <c r="C29" s="13"/>
      <c r="D29" s="13"/>
    </row>
    <row r="30" spans="1:8" s="11" customFormat="1" ht="20.100000000000001" customHeight="1" x14ac:dyDescent="0.25">
      <c r="A30" s="213"/>
      <c r="B30" s="214"/>
      <c r="C30" s="207"/>
      <c r="D30" s="207"/>
    </row>
    <row r="31" spans="1:8" s="11" customFormat="1" ht="20.100000000000001" customHeight="1" x14ac:dyDescent="0.25">
      <c r="A31" s="213"/>
      <c r="B31" s="214"/>
      <c r="C31" s="207"/>
      <c r="D31" s="207"/>
    </row>
    <row r="32" spans="1:8" s="11" customFormat="1" ht="20.100000000000001" customHeight="1" x14ac:dyDescent="0.3">
      <c r="A32" s="1"/>
      <c r="B32" s="3"/>
      <c r="C32" s="13"/>
      <c r="D32" s="13"/>
    </row>
    <row r="33" spans="1:9" s="11" customFormat="1" ht="20.100000000000001" customHeight="1" x14ac:dyDescent="0.3">
      <c r="A33" s="1"/>
      <c r="B33" s="3"/>
      <c r="C33" s="13"/>
      <c r="D33" s="13"/>
    </row>
    <row r="34" spans="1:9" s="11" customFormat="1" ht="20.100000000000001" customHeight="1" x14ac:dyDescent="0.3">
      <c r="A34" s="1"/>
      <c r="B34" s="3"/>
      <c r="C34" s="13"/>
      <c r="D34" s="13"/>
    </row>
    <row r="35" spans="1:9" s="13" customFormat="1" ht="20.100000000000001" customHeight="1" x14ac:dyDescent="0.3">
      <c r="A35" s="1"/>
      <c r="B35" s="3"/>
      <c r="E35" s="11"/>
      <c r="F35" s="11"/>
      <c r="G35" s="11"/>
      <c r="H35" s="11"/>
      <c r="I35" s="11"/>
    </row>
    <row r="36" spans="1:9" s="13" customFormat="1" ht="20.100000000000001" customHeight="1" x14ac:dyDescent="0.3">
      <c r="A36" s="1"/>
      <c r="B36" s="3"/>
      <c r="E36" s="11"/>
      <c r="F36" s="11"/>
      <c r="G36" s="11"/>
      <c r="H36" s="11"/>
      <c r="I36" s="11"/>
    </row>
    <row r="37" spans="1:9" s="13" customFormat="1" ht="20.100000000000001" customHeight="1" x14ac:dyDescent="0.3">
      <c r="A37" s="1"/>
      <c r="B37" s="3"/>
      <c r="E37" s="11"/>
      <c r="F37" s="11"/>
      <c r="G37" s="11"/>
      <c r="H37" s="11"/>
      <c r="I37" s="11"/>
    </row>
    <row r="38" spans="1:9" ht="20.100000000000001" customHeight="1" x14ac:dyDescent="0.3"/>
    <row r="39" spans="1:9" ht="20.100000000000001" customHeight="1" x14ac:dyDescent="0.3"/>
    <row r="40" spans="1:9" ht="20.100000000000001" customHeight="1" x14ac:dyDescent="0.3"/>
    <row r="41" spans="1:9" ht="20.100000000000001" customHeight="1" x14ac:dyDescent="0.3"/>
  </sheetData>
  <mergeCells count="4">
    <mergeCell ref="A30:A31"/>
    <mergeCell ref="B30:B31"/>
    <mergeCell ref="C30:C31"/>
    <mergeCell ref="D30:D31"/>
  </mergeCells>
  <pageMargins left="0.7" right="0.7" top="0.75" bottom="0.75" header="0.3" footer="0.3"/>
  <pageSetup fitToHeight="0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FEB35-9949-4963-8B3C-5A6A047A8AA4}">
  <sheetPr>
    <pageSetUpPr fitToPage="1"/>
  </sheetPr>
  <dimension ref="A1:I39"/>
  <sheetViews>
    <sheetView workbookViewId="0">
      <selection activeCell="D10" sqref="D10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21.5703125" style="6" customWidth="1"/>
    <col min="4" max="4" width="19.7109375" style="6" customWidth="1"/>
    <col min="5" max="7" width="9.140625" style="1"/>
    <col min="8" max="8" width="17.7109375" style="1" customWidth="1"/>
    <col min="9" max="16384" width="9.140625" style="1"/>
  </cols>
  <sheetData>
    <row r="1" spans="1:8" s="11" customFormat="1" ht="20.100000000000001" customHeight="1" x14ac:dyDescent="0.25">
      <c r="A1" s="11" t="s">
        <v>304</v>
      </c>
      <c r="B1" s="12"/>
      <c r="C1" s="13"/>
      <c r="D1" s="13"/>
    </row>
    <row r="2" spans="1:8" s="11" customFormat="1" ht="20.100000000000001" customHeight="1" x14ac:dyDescent="0.25">
      <c r="A2" s="14">
        <v>44500</v>
      </c>
      <c r="B2" s="12"/>
      <c r="C2" s="13"/>
      <c r="D2" s="13"/>
    </row>
    <row r="3" spans="1:8" s="11" customFormat="1" ht="20.100000000000001" customHeight="1" x14ac:dyDescent="0.25">
      <c r="A3" s="11" t="s">
        <v>311</v>
      </c>
      <c r="B3" s="12">
        <v>2827663</v>
      </c>
      <c r="C3" s="13"/>
      <c r="D3" s="13"/>
    </row>
    <row r="4" spans="1:8" s="11" customFormat="1" ht="20.100000000000001" customHeight="1" x14ac:dyDescent="0.25">
      <c r="A4" s="11" t="s">
        <v>6</v>
      </c>
      <c r="B4" s="12"/>
      <c r="C4" s="13"/>
      <c r="D4" s="13"/>
    </row>
    <row r="5" spans="1:8" s="11" customFormat="1" ht="20.100000000000001" customHeight="1" x14ac:dyDescent="0.25">
      <c r="A5" s="11">
        <v>2100</v>
      </c>
      <c r="B5" s="12">
        <v>-2858864</v>
      </c>
      <c r="C5" s="13"/>
      <c r="D5" s="13"/>
    </row>
    <row r="6" spans="1:8" s="11" customFormat="1" ht="20.100000000000001" customHeight="1" x14ac:dyDescent="0.25">
      <c r="A6" s="11" t="s">
        <v>5</v>
      </c>
      <c r="B6" s="12">
        <f>SUM(B5)</f>
        <v>-2858864</v>
      </c>
      <c r="C6" s="13"/>
      <c r="D6" s="13"/>
    </row>
    <row r="7" spans="1:8" s="11" customFormat="1" ht="20.100000000000001" customHeight="1" x14ac:dyDescent="0.25">
      <c r="A7" s="15" t="s">
        <v>4</v>
      </c>
      <c r="B7" s="16">
        <f>B6+B3</f>
        <v>-31201</v>
      </c>
      <c r="C7" s="13"/>
      <c r="D7" s="13"/>
    </row>
    <row r="8" spans="1:8" s="11" customFormat="1" ht="15.95" customHeight="1" x14ac:dyDescent="0.25">
      <c r="A8" s="11" t="s">
        <v>3</v>
      </c>
      <c r="B8" s="12"/>
      <c r="C8" s="44" t="s">
        <v>628</v>
      </c>
      <c r="D8" s="52" t="s">
        <v>626</v>
      </c>
    </row>
    <row r="9" spans="1:8" s="11" customFormat="1" ht="15" customHeight="1" x14ac:dyDescent="0.25">
      <c r="A9" s="11" t="s">
        <v>977</v>
      </c>
      <c r="B9" s="24">
        <v>-31201</v>
      </c>
      <c r="C9" s="31">
        <v>44496</v>
      </c>
      <c r="D9" s="51">
        <v>44501</v>
      </c>
      <c r="E9" s="55"/>
      <c r="F9" s="55"/>
      <c r="G9" s="55"/>
      <c r="H9" s="47"/>
    </row>
    <row r="10" spans="1:8" s="11" customFormat="1" ht="15" customHeight="1" x14ac:dyDescent="0.25">
      <c r="B10" s="66"/>
      <c r="C10" s="31"/>
      <c r="D10" s="51"/>
      <c r="E10" s="55"/>
      <c r="F10" s="55"/>
      <c r="G10" s="55"/>
      <c r="H10" s="47"/>
    </row>
    <row r="11" spans="1:8" s="11" customFormat="1" ht="15" customHeight="1" x14ac:dyDescent="0.25">
      <c r="B11" s="24"/>
      <c r="C11" s="32"/>
      <c r="D11" s="53"/>
      <c r="E11" s="55"/>
      <c r="F11" s="55"/>
      <c r="G11" s="55"/>
      <c r="H11" s="47"/>
    </row>
    <row r="12" spans="1:8" s="62" customFormat="1" ht="15" customHeight="1" x14ac:dyDescent="0.25">
      <c r="A12" s="60"/>
      <c r="B12" s="68"/>
      <c r="C12" s="67"/>
      <c r="D12" s="53"/>
      <c r="E12" s="54"/>
      <c r="F12" s="54"/>
      <c r="G12" s="54"/>
      <c r="H12" s="47"/>
    </row>
    <row r="13" spans="1:8" s="62" customFormat="1" ht="15" customHeight="1" x14ac:dyDescent="0.25">
      <c r="A13" s="60"/>
      <c r="B13" s="68"/>
      <c r="C13" s="67"/>
      <c r="D13" s="53"/>
      <c r="E13" s="54"/>
      <c r="F13" s="54"/>
      <c r="G13" s="54"/>
      <c r="H13" s="47"/>
    </row>
    <row r="14" spans="1:8" s="11" customFormat="1" ht="15" customHeight="1" x14ac:dyDescent="0.25">
      <c r="B14" s="24"/>
      <c r="C14" s="32"/>
      <c r="D14" s="53"/>
      <c r="E14" s="54"/>
      <c r="F14" s="54"/>
      <c r="G14" s="54"/>
      <c r="H14" s="47"/>
    </row>
    <row r="15" spans="1:8" s="11" customFormat="1" ht="14.1" customHeight="1" x14ac:dyDescent="0.25">
      <c r="B15" s="24"/>
      <c r="C15" s="32"/>
      <c r="D15" s="53"/>
      <c r="E15" s="54"/>
      <c r="F15" s="54"/>
      <c r="G15" s="54"/>
      <c r="H15" s="47"/>
    </row>
    <row r="16" spans="1:8" s="11" customFormat="1" ht="14.1" customHeight="1" x14ac:dyDescent="0.25">
      <c r="B16" s="24"/>
      <c r="C16" s="42"/>
      <c r="D16" s="53"/>
      <c r="E16" s="54"/>
      <c r="F16" s="54"/>
      <c r="G16" s="54"/>
      <c r="H16" s="47"/>
    </row>
    <row r="17" spans="1:7" s="11" customFormat="1" ht="15.95" customHeight="1" x14ac:dyDescent="0.25">
      <c r="B17" s="24">
        <f>SUM(B9:B16)</f>
        <v>-31201</v>
      </c>
      <c r="C17" s="18"/>
      <c r="D17" s="19"/>
      <c r="E17" s="19"/>
      <c r="F17" s="19"/>
      <c r="G17" s="19"/>
    </row>
    <row r="18" spans="1:7" s="11" customFormat="1" ht="15.95" customHeight="1" x14ac:dyDescent="0.25">
      <c r="A18" s="11" t="s">
        <v>2</v>
      </c>
      <c r="B18" s="24"/>
      <c r="C18" s="30" t="s">
        <v>702</v>
      </c>
      <c r="D18" s="63" t="s">
        <v>628</v>
      </c>
    </row>
    <row r="19" spans="1:7" s="11" customFormat="1" ht="15.95" customHeight="1" x14ac:dyDescent="0.25">
      <c r="B19" s="24"/>
      <c r="C19" s="13"/>
      <c r="D19" s="65"/>
    </row>
    <row r="20" spans="1:7" s="11" customFormat="1" ht="15.95" customHeight="1" x14ac:dyDescent="0.25">
      <c r="B20" s="24"/>
      <c r="C20" s="13"/>
      <c r="D20" s="65"/>
    </row>
    <row r="21" spans="1:7" s="11" customFormat="1" ht="14.1" customHeight="1" x14ac:dyDescent="0.25">
      <c r="B21" s="66"/>
      <c r="C21" s="32"/>
      <c r="D21" s="59"/>
      <c r="E21" s="39"/>
      <c r="F21" s="39"/>
    </row>
    <row r="22" spans="1:7" s="11" customFormat="1" ht="14.1" customHeight="1" x14ac:dyDescent="0.25">
      <c r="A22" s="39"/>
      <c r="B22" s="46"/>
      <c r="C22" s="32"/>
      <c r="D22" s="59"/>
      <c r="E22" s="39"/>
      <c r="F22" s="39"/>
    </row>
    <row r="23" spans="1:7" s="11" customFormat="1" ht="14.1" customHeight="1" x14ac:dyDescent="0.25">
      <c r="A23" s="39"/>
      <c r="B23" s="46"/>
      <c r="C23" s="42"/>
      <c r="D23" s="43"/>
      <c r="E23" s="39"/>
      <c r="F23" s="39"/>
    </row>
    <row r="24" spans="1:7" s="11" customFormat="1" ht="15.95" customHeight="1" x14ac:dyDescent="0.25">
      <c r="B24" s="24">
        <f>SUM(B19:B23)</f>
        <v>0</v>
      </c>
      <c r="C24" s="13"/>
      <c r="D24" s="13"/>
    </row>
    <row r="25" spans="1:7" s="11" customFormat="1" ht="15.95" customHeight="1" x14ac:dyDescent="0.25">
      <c r="A25" s="11" t="s">
        <v>1</v>
      </c>
      <c r="B25" s="12">
        <f>B24+B17</f>
        <v>-31201</v>
      </c>
      <c r="C25" s="13"/>
      <c r="D25" s="13"/>
    </row>
    <row r="26" spans="1:7" s="11" customFormat="1" ht="15.95" customHeight="1" x14ac:dyDescent="0.25">
      <c r="A26" s="15" t="s">
        <v>0</v>
      </c>
      <c r="B26" s="16">
        <f>B25-B7</f>
        <v>0</v>
      </c>
      <c r="C26" s="13"/>
      <c r="D26" s="13"/>
    </row>
    <row r="27" spans="1:7" s="11" customFormat="1" ht="15.95" customHeight="1" x14ac:dyDescent="0.25">
      <c r="B27" s="12"/>
      <c r="C27" s="13"/>
      <c r="D27" s="13"/>
    </row>
    <row r="28" spans="1:7" s="11" customFormat="1" ht="20.100000000000001" customHeight="1" x14ac:dyDescent="0.25">
      <c r="A28" s="213"/>
      <c r="B28" s="214"/>
      <c r="C28" s="207"/>
      <c r="D28" s="207"/>
    </row>
    <row r="29" spans="1:7" s="11" customFormat="1" ht="20.100000000000001" customHeight="1" x14ac:dyDescent="0.25">
      <c r="A29" s="213"/>
      <c r="B29" s="214"/>
      <c r="C29" s="207"/>
      <c r="D29" s="207"/>
    </row>
    <row r="30" spans="1:7" s="11" customFormat="1" ht="20.100000000000001" customHeight="1" x14ac:dyDescent="0.3">
      <c r="A30" s="1"/>
      <c r="B30" s="3"/>
      <c r="C30" s="13"/>
      <c r="D30" s="13"/>
    </row>
    <row r="31" spans="1:7" s="11" customFormat="1" ht="20.100000000000001" customHeight="1" x14ac:dyDescent="0.3">
      <c r="A31" s="1"/>
      <c r="B31" s="3"/>
      <c r="C31" s="13"/>
      <c r="D31" s="13"/>
    </row>
    <row r="32" spans="1:7" s="11" customFormat="1" ht="20.100000000000001" customHeight="1" x14ac:dyDescent="0.3">
      <c r="A32" s="1"/>
      <c r="B32" s="3"/>
      <c r="C32" s="13"/>
      <c r="D32" s="13"/>
    </row>
    <row r="33" spans="1:9" s="13" customFormat="1" ht="20.100000000000001" customHeight="1" x14ac:dyDescent="0.3">
      <c r="A33" s="1"/>
      <c r="B33" s="3"/>
      <c r="E33" s="11"/>
      <c r="F33" s="11"/>
      <c r="G33" s="11"/>
      <c r="H33" s="11"/>
      <c r="I33" s="11"/>
    </row>
    <row r="34" spans="1:9" s="13" customFormat="1" ht="20.100000000000001" customHeight="1" x14ac:dyDescent="0.3">
      <c r="A34" s="1"/>
      <c r="B34" s="3"/>
      <c r="E34" s="11"/>
      <c r="F34" s="11"/>
      <c r="G34" s="11"/>
      <c r="H34" s="11"/>
      <c r="I34" s="11"/>
    </row>
    <row r="35" spans="1:9" s="13" customFormat="1" ht="20.100000000000001" customHeight="1" x14ac:dyDescent="0.3">
      <c r="A35" s="1"/>
      <c r="B35" s="3"/>
      <c r="E35" s="11"/>
      <c r="F35" s="11"/>
      <c r="G35" s="11"/>
      <c r="H35" s="11"/>
      <c r="I35" s="11"/>
    </row>
    <row r="36" spans="1:9" ht="20.100000000000001" customHeight="1" x14ac:dyDescent="0.3"/>
    <row r="37" spans="1:9" ht="20.100000000000001" customHeight="1" x14ac:dyDescent="0.3"/>
    <row r="38" spans="1:9" ht="20.100000000000001" customHeight="1" x14ac:dyDescent="0.3"/>
    <row r="39" spans="1:9" ht="20.100000000000001" customHeight="1" x14ac:dyDescent="0.3"/>
  </sheetData>
  <mergeCells count="4">
    <mergeCell ref="A28:A29"/>
    <mergeCell ref="B28:B29"/>
    <mergeCell ref="C28:C29"/>
    <mergeCell ref="D28:D29"/>
  </mergeCells>
  <pageMargins left="0.7" right="0.7" top="0.75" bottom="0.75" header="0.3" footer="0.3"/>
  <pageSetup fitToHeight="0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ECBDF-FDFD-46E4-865F-617368FC5E5A}">
  <sheetPr>
    <pageSetUpPr fitToPage="1"/>
  </sheetPr>
  <dimension ref="A1:I39"/>
  <sheetViews>
    <sheetView workbookViewId="0">
      <selection activeCell="D19" sqref="D19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21.5703125" style="6" customWidth="1"/>
    <col min="4" max="4" width="19.7109375" style="6" customWidth="1"/>
    <col min="5" max="7" width="9.140625" style="1"/>
    <col min="8" max="8" width="17.7109375" style="1" customWidth="1"/>
    <col min="9" max="16384" width="9.140625" style="1"/>
  </cols>
  <sheetData>
    <row r="1" spans="1:8" s="11" customFormat="1" ht="20.100000000000001" customHeight="1" x14ac:dyDescent="0.25">
      <c r="A1" s="11" t="s">
        <v>304</v>
      </c>
      <c r="B1" s="12"/>
      <c r="C1" s="13"/>
      <c r="D1" s="13"/>
    </row>
    <row r="2" spans="1:8" s="11" customFormat="1" ht="20.100000000000001" customHeight="1" x14ac:dyDescent="0.25">
      <c r="A2" s="14">
        <v>44530</v>
      </c>
      <c r="B2" s="12"/>
      <c r="C2" s="13"/>
      <c r="D2" s="13"/>
    </row>
    <row r="3" spans="1:8" s="11" customFormat="1" ht="20.100000000000001" customHeight="1" x14ac:dyDescent="0.25">
      <c r="A3" s="11" t="s">
        <v>311</v>
      </c>
      <c r="B3" s="12">
        <v>2355756</v>
      </c>
      <c r="C3" s="13"/>
      <c r="D3" s="13"/>
    </row>
    <row r="4" spans="1:8" s="11" customFormat="1" ht="20.100000000000001" customHeight="1" x14ac:dyDescent="0.25">
      <c r="A4" s="11" t="s">
        <v>6</v>
      </c>
      <c r="B4" s="12"/>
      <c r="C4" s="13"/>
      <c r="D4" s="13"/>
    </row>
    <row r="5" spans="1:8" s="11" customFormat="1" ht="20.100000000000001" customHeight="1" x14ac:dyDescent="0.25">
      <c r="A5" s="11">
        <v>2100</v>
      </c>
      <c r="B5" s="12">
        <v>-2439759</v>
      </c>
      <c r="C5" s="13"/>
      <c r="D5" s="13"/>
    </row>
    <row r="6" spans="1:8" s="11" customFormat="1" ht="20.100000000000001" customHeight="1" x14ac:dyDescent="0.25">
      <c r="A6" s="11" t="s">
        <v>5</v>
      </c>
      <c r="B6" s="12">
        <f>SUM(B5)</f>
        <v>-2439759</v>
      </c>
      <c r="C6" s="13"/>
      <c r="D6" s="13"/>
    </row>
    <row r="7" spans="1:8" s="11" customFormat="1" ht="20.100000000000001" customHeight="1" x14ac:dyDescent="0.25">
      <c r="A7" s="15" t="s">
        <v>4</v>
      </c>
      <c r="B7" s="16">
        <f>B6+B3</f>
        <v>-84003</v>
      </c>
      <c r="C7" s="13"/>
      <c r="D7" s="13"/>
    </row>
    <row r="8" spans="1:8" s="11" customFormat="1" ht="15.95" customHeight="1" x14ac:dyDescent="0.25">
      <c r="A8" s="11" t="s">
        <v>3</v>
      </c>
      <c r="B8" s="12"/>
      <c r="C8" s="44" t="s">
        <v>628</v>
      </c>
      <c r="D8" s="52" t="s">
        <v>626</v>
      </c>
    </row>
    <row r="9" spans="1:8" s="11" customFormat="1" ht="15" customHeight="1" x14ac:dyDescent="0.25">
      <c r="A9" s="11" t="s">
        <v>978</v>
      </c>
      <c r="B9" s="24">
        <v>-24886</v>
      </c>
      <c r="C9" s="31">
        <v>44530</v>
      </c>
      <c r="D9" s="51">
        <v>44531</v>
      </c>
      <c r="E9" s="55"/>
      <c r="F9" s="55"/>
      <c r="G9" s="55"/>
      <c r="H9" s="47"/>
    </row>
    <row r="10" spans="1:8" s="11" customFormat="1" ht="15" customHeight="1" x14ac:dyDescent="0.25">
      <c r="A10" s="11" t="s">
        <v>979</v>
      </c>
      <c r="B10" s="66">
        <v>-28964</v>
      </c>
      <c r="C10" s="31">
        <v>44530</v>
      </c>
      <c r="D10" s="51">
        <v>44531</v>
      </c>
      <c r="E10" s="55"/>
      <c r="F10" s="55"/>
      <c r="G10" s="55"/>
      <c r="H10" s="47"/>
    </row>
    <row r="11" spans="1:8" s="11" customFormat="1" ht="15" customHeight="1" x14ac:dyDescent="0.25">
      <c r="A11" s="11" t="s">
        <v>980</v>
      </c>
      <c r="B11" s="24">
        <v>-29044</v>
      </c>
      <c r="C11" s="32">
        <v>44530</v>
      </c>
      <c r="D11" s="53">
        <v>44531</v>
      </c>
      <c r="E11" s="55"/>
      <c r="F11" s="55"/>
      <c r="G11" s="55"/>
      <c r="H11" s="47"/>
    </row>
    <row r="12" spans="1:8" s="62" customFormat="1" ht="15" customHeight="1" x14ac:dyDescent="0.25">
      <c r="A12" s="60" t="s">
        <v>981</v>
      </c>
      <c r="B12" s="68">
        <v>-29044</v>
      </c>
      <c r="C12" s="67">
        <v>44530</v>
      </c>
      <c r="D12" s="53">
        <v>44531</v>
      </c>
      <c r="E12" s="54"/>
      <c r="F12" s="54"/>
      <c r="G12" s="54"/>
      <c r="H12" s="47"/>
    </row>
    <row r="13" spans="1:8" s="62" customFormat="1" ht="15" customHeight="1" x14ac:dyDescent="0.25">
      <c r="A13" s="60"/>
      <c r="B13" s="68"/>
      <c r="C13" s="67"/>
      <c r="D13" s="53"/>
      <c r="E13" s="54"/>
      <c r="F13" s="54"/>
      <c r="G13" s="54"/>
      <c r="H13" s="47"/>
    </row>
    <row r="14" spans="1:8" s="11" customFormat="1" ht="15" customHeight="1" x14ac:dyDescent="0.25">
      <c r="B14" s="24"/>
      <c r="C14" s="32"/>
      <c r="D14" s="53"/>
      <c r="E14" s="54"/>
      <c r="F14" s="54"/>
      <c r="G14" s="54"/>
      <c r="H14" s="47"/>
    </row>
    <row r="15" spans="1:8" s="11" customFormat="1" ht="14.1" customHeight="1" x14ac:dyDescent="0.25">
      <c r="B15" s="24"/>
      <c r="C15" s="32"/>
      <c r="D15" s="53"/>
      <c r="E15" s="54"/>
      <c r="F15" s="54"/>
      <c r="G15" s="54"/>
      <c r="H15" s="47"/>
    </row>
    <row r="16" spans="1:8" s="11" customFormat="1" ht="14.1" customHeight="1" x14ac:dyDescent="0.25">
      <c r="B16" s="24"/>
      <c r="C16" s="42"/>
      <c r="D16" s="53"/>
      <c r="E16" s="54"/>
      <c r="F16" s="54"/>
      <c r="G16" s="54"/>
      <c r="H16" s="47"/>
    </row>
    <row r="17" spans="1:7" s="11" customFormat="1" ht="15.95" customHeight="1" x14ac:dyDescent="0.25">
      <c r="B17" s="24">
        <f>SUM(B9:B16)</f>
        <v>-111938</v>
      </c>
      <c r="C17" s="18"/>
      <c r="D17" s="19"/>
      <c r="E17" s="19"/>
      <c r="F17" s="19"/>
      <c r="G17" s="19"/>
    </row>
    <row r="18" spans="1:7" s="11" customFormat="1" ht="15.95" customHeight="1" x14ac:dyDescent="0.25">
      <c r="A18" s="11" t="s">
        <v>2</v>
      </c>
      <c r="B18" s="24"/>
      <c r="C18" s="30" t="s">
        <v>702</v>
      </c>
      <c r="D18" s="63" t="s">
        <v>628</v>
      </c>
    </row>
    <row r="19" spans="1:7" s="11" customFormat="1" ht="15.95" customHeight="1" x14ac:dyDescent="0.25">
      <c r="A19" s="11" t="s">
        <v>982</v>
      </c>
      <c r="B19" s="24">
        <v>27935</v>
      </c>
      <c r="C19" s="13" t="s">
        <v>983</v>
      </c>
      <c r="D19" s="65" t="s">
        <v>984</v>
      </c>
    </row>
    <row r="20" spans="1:7" s="11" customFormat="1" ht="15.95" customHeight="1" x14ac:dyDescent="0.25">
      <c r="B20" s="24"/>
      <c r="C20" s="13"/>
      <c r="D20" s="65"/>
    </row>
    <row r="21" spans="1:7" s="11" customFormat="1" ht="14.1" customHeight="1" x14ac:dyDescent="0.25">
      <c r="B21" s="66"/>
      <c r="C21" s="32"/>
      <c r="D21" s="59"/>
      <c r="E21" s="39"/>
      <c r="F21" s="39"/>
    </row>
    <row r="22" spans="1:7" s="11" customFormat="1" ht="14.1" customHeight="1" x14ac:dyDescent="0.25">
      <c r="A22" s="39"/>
      <c r="B22" s="46"/>
      <c r="C22" s="32"/>
      <c r="D22" s="59"/>
      <c r="E22" s="39"/>
      <c r="F22" s="39"/>
    </row>
    <row r="23" spans="1:7" s="11" customFormat="1" ht="14.1" customHeight="1" x14ac:dyDescent="0.25">
      <c r="A23" s="39"/>
      <c r="B23" s="46"/>
      <c r="C23" s="42"/>
      <c r="D23" s="43"/>
      <c r="E23" s="39"/>
      <c r="F23" s="39"/>
    </row>
    <row r="24" spans="1:7" s="11" customFormat="1" ht="15.95" customHeight="1" x14ac:dyDescent="0.25">
      <c r="B24" s="24">
        <f>SUM(B19:B23)</f>
        <v>27935</v>
      </c>
      <c r="C24" s="13"/>
      <c r="D24" s="13"/>
    </row>
    <row r="25" spans="1:7" s="11" customFormat="1" ht="15.95" customHeight="1" x14ac:dyDescent="0.25">
      <c r="A25" s="11" t="s">
        <v>1</v>
      </c>
      <c r="B25" s="12">
        <f>B24+B17</f>
        <v>-84003</v>
      </c>
      <c r="C25" s="13"/>
      <c r="D25" s="13"/>
    </row>
    <row r="26" spans="1:7" s="11" customFormat="1" ht="15.95" customHeight="1" x14ac:dyDescent="0.25">
      <c r="A26" s="15" t="s">
        <v>0</v>
      </c>
      <c r="B26" s="16">
        <f>B25-B7</f>
        <v>0</v>
      </c>
      <c r="C26" s="13"/>
      <c r="D26" s="13"/>
    </row>
    <row r="27" spans="1:7" s="11" customFormat="1" ht="15.95" customHeight="1" x14ac:dyDescent="0.25">
      <c r="B27" s="12"/>
      <c r="C27" s="13"/>
      <c r="D27" s="13"/>
    </row>
    <row r="28" spans="1:7" s="11" customFormat="1" ht="20.100000000000001" customHeight="1" x14ac:dyDescent="0.25">
      <c r="A28" s="213"/>
      <c r="B28" s="214"/>
      <c r="C28" s="207"/>
      <c r="D28" s="207"/>
    </row>
    <row r="29" spans="1:7" s="11" customFormat="1" ht="20.100000000000001" customHeight="1" x14ac:dyDescent="0.25">
      <c r="A29" s="213"/>
      <c r="B29" s="214"/>
      <c r="C29" s="207"/>
      <c r="D29" s="207"/>
    </row>
    <row r="30" spans="1:7" s="11" customFormat="1" ht="20.100000000000001" customHeight="1" x14ac:dyDescent="0.3">
      <c r="A30" s="1"/>
      <c r="B30" s="3"/>
      <c r="C30" s="13"/>
      <c r="D30" s="13"/>
    </row>
    <row r="31" spans="1:7" s="11" customFormat="1" ht="20.100000000000001" customHeight="1" x14ac:dyDescent="0.3">
      <c r="A31" s="1"/>
      <c r="B31" s="3"/>
      <c r="C31" s="13"/>
      <c r="D31" s="13"/>
    </row>
    <row r="32" spans="1:7" s="11" customFormat="1" ht="20.100000000000001" customHeight="1" x14ac:dyDescent="0.3">
      <c r="A32" s="1"/>
      <c r="B32" s="3"/>
      <c r="C32" s="13"/>
      <c r="D32" s="13"/>
    </row>
    <row r="33" spans="1:9" s="13" customFormat="1" ht="20.100000000000001" customHeight="1" x14ac:dyDescent="0.3">
      <c r="A33" s="1"/>
      <c r="B33" s="3"/>
      <c r="E33" s="11"/>
      <c r="F33" s="11"/>
      <c r="G33" s="11"/>
      <c r="H33" s="11"/>
      <c r="I33" s="11"/>
    </row>
    <row r="34" spans="1:9" s="13" customFormat="1" ht="20.100000000000001" customHeight="1" x14ac:dyDescent="0.3">
      <c r="A34" s="1"/>
      <c r="B34" s="3"/>
      <c r="E34" s="11"/>
      <c r="F34" s="11"/>
      <c r="G34" s="11"/>
      <c r="H34" s="11"/>
      <c r="I34" s="11"/>
    </row>
    <row r="35" spans="1:9" s="13" customFormat="1" ht="20.100000000000001" customHeight="1" x14ac:dyDescent="0.3">
      <c r="A35" s="1"/>
      <c r="B35" s="3"/>
      <c r="E35" s="11"/>
      <c r="F35" s="11"/>
      <c r="G35" s="11"/>
      <c r="H35" s="11"/>
      <c r="I35" s="11"/>
    </row>
    <row r="36" spans="1:9" ht="20.100000000000001" customHeight="1" x14ac:dyDescent="0.3"/>
    <row r="37" spans="1:9" ht="20.100000000000001" customHeight="1" x14ac:dyDescent="0.3"/>
    <row r="38" spans="1:9" ht="20.100000000000001" customHeight="1" x14ac:dyDescent="0.3"/>
    <row r="39" spans="1:9" ht="20.100000000000001" customHeight="1" x14ac:dyDescent="0.3"/>
  </sheetData>
  <mergeCells count="4">
    <mergeCell ref="A28:A29"/>
    <mergeCell ref="B28:B29"/>
    <mergeCell ref="C28:C29"/>
    <mergeCell ref="D28:D29"/>
  </mergeCells>
  <pageMargins left="0.7" right="0.7" top="0.75" bottom="0.75" header="0.3" footer="0.3"/>
  <pageSetup fitToHeight="0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C9094-666B-47B3-B44A-D7E95C7A251F}">
  <sheetPr>
    <pageSetUpPr fitToPage="1"/>
  </sheetPr>
  <dimension ref="A1:I39"/>
  <sheetViews>
    <sheetView workbookViewId="0">
      <selection activeCell="B6" sqref="B6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21.5703125" style="6" customWidth="1"/>
    <col min="4" max="4" width="19.7109375" style="6" customWidth="1"/>
    <col min="5" max="7" width="9.140625" style="1"/>
    <col min="8" max="8" width="17.7109375" style="1" customWidth="1"/>
    <col min="9" max="16384" width="9.140625" style="1"/>
  </cols>
  <sheetData>
    <row r="1" spans="1:8" s="11" customFormat="1" ht="20.100000000000001" customHeight="1" x14ac:dyDescent="0.25">
      <c r="A1" s="11" t="s">
        <v>304</v>
      </c>
      <c r="B1" s="12"/>
      <c r="C1" s="13"/>
      <c r="D1" s="13"/>
    </row>
    <row r="2" spans="1:8" s="11" customFormat="1" ht="20.100000000000001" customHeight="1" x14ac:dyDescent="0.25">
      <c r="A2" s="14">
        <v>44561</v>
      </c>
      <c r="B2" s="12"/>
      <c r="C2" s="13"/>
      <c r="D2" s="13"/>
    </row>
    <row r="3" spans="1:8" s="11" customFormat="1" ht="20.100000000000001" customHeight="1" x14ac:dyDescent="0.25">
      <c r="A3" s="11" t="s">
        <v>311</v>
      </c>
      <c r="B3" s="12">
        <v>1967330</v>
      </c>
      <c r="C3" s="13"/>
      <c r="D3" s="13"/>
    </row>
    <row r="4" spans="1:8" s="11" customFormat="1" ht="20.100000000000001" customHeight="1" x14ac:dyDescent="0.25">
      <c r="A4" s="11" t="s">
        <v>6</v>
      </c>
      <c r="B4" s="12"/>
      <c r="C4" s="13"/>
      <c r="D4" s="13"/>
    </row>
    <row r="5" spans="1:8" s="11" customFormat="1" ht="20.100000000000001" customHeight="1" x14ac:dyDescent="0.25">
      <c r="A5" s="11">
        <v>2100</v>
      </c>
      <c r="B5" s="12">
        <v>-1967330</v>
      </c>
      <c r="C5" s="13"/>
      <c r="D5" s="13"/>
    </row>
    <row r="6" spans="1:8" s="11" customFormat="1" ht="20.100000000000001" customHeight="1" x14ac:dyDescent="0.25">
      <c r="A6" s="11" t="s">
        <v>5</v>
      </c>
      <c r="B6" s="12">
        <f>SUM(B5)</f>
        <v>-1967330</v>
      </c>
      <c r="C6" s="13"/>
      <c r="D6" s="13"/>
    </row>
    <row r="7" spans="1:8" s="11" customFormat="1" ht="20.100000000000001" customHeight="1" x14ac:dyDescent="0.25">
      <c r="A7" s="15" t="s">
        <v>4</v>
      </c>
      <c r="B7" s="16">
        <f>B6+B3</f>
        <v>0</v>
      </c>
      <c r="C7" s="13"/>
      <c r="D7" s="13"/>
    </row>
    <row r="8" spans="1:8" s="11" customFormat="1" ht="15.95" customHeight="1" x14ac:dyDescent="0.25">
      <c r="A8" s="11" t="s">
        <v>3</v>
      </c>
      <c r="B8" s="12"/>
      <c r="C8" s="44" t="s">
        <v>628</v>
      </c>
      <c r="D8" s="52" t="s">
        <v>626</v>
      </c>
    </row>
    <row r="9" spans="1:8" s="11" customFormat="1" ht="15" customHeight="1" x14ac:dyDescent="0.25">
      <c r="B9" s="24"/>
      <c r="C9" s="31"/>
      <c r="D9" s="51"/>
      <c r="E9" s="55"/>
      <c r="F9" s="55"/>
      <c r="G9" s="55"/>
      <c r="H9" s="47"/>
    </row>
    <row r="10" spans="1:8" s="11" customFormat="1" ht="15" customHeight="1" x14ac:dyDescent="0.25">
      <c r="B10" s="66"/>
      <c r="C10" s="31"/>
      <c r="D10" s="51"/>
      <c r="E10" s="55"/>
      <c r="F10" s="55"/>
      <c r="G10" s="55"/>
      <c r="H10" s="47"/>
    </row>
    <row r="11" spans="1:8" s="11" customFormat="1" ht="15" customHeight="1" x14ac:dyDescent="0.25">
      <c r="B11" s="24"/>
      <c r="C11" s="32"/>
      <c r="D11" s="53"/>
      <c r="E11" s="55"/>
      <c r="F11" s="55"/>
      <c r="G11" s="55"/>
      <c r="H11" s="47"/>
    </row>
    <row r="12" spans="1:8" s="62" customFormat="1" ht="15" customHeight="1" x14ac:dyDescent="0.25">
      <c r="A12" s="60"/>
      <c r="B12" s="68"/>
      <c r="C12" s="67"/>
      <c r="D12" s="53"/>
      <c r="E12" s="54"/>
      <c r="F12" s="54"/>
      <c r="G12" s="54"/>
      <c r="H12" s="47"/>
    </row>
    <row r="13" spans="1:8" s="62" customFormat="1" ht="15" customHeight="1" x14ac:dyDescent="0.25">
      <c r="A13" s="60"/>
      <c r="B13" s="68"/>
      <c r="C13" s="67"/>
      <c r="D13" s="53"/>
      <c r="E13" s="54"/>
      <c r="F13" s="54"/>
      <c r="G13" s="54"/>
      <c r="H13" s="47"/>
    </row>
    <row r="14" spans="1:8" s="11" customFormat="1" ht="15" customHeight="1" x14ac:dyDescent="0.25">
      <c r="B14" s="24"/>
      <c r="C14" s="32"/>
      <c r="D14" s="53"/>
      <c r="E14" s="54"/>
      <c r="F14" s="54"/>
      <c r="G14" s="54"/>
      <c r="H14" s="47"/>
    </row>
    <row r="15" spans="1:8" s="11" customFormat="1" ht="14.1" customHeight="1" x14ac:dyDescent="0.25">
      <c r="B15" s="24"/>
      <c r="C15" s="32"/>
      <c r="D15" s="53"/>
      <c r="E15" s="54"/>
      <c r="F15" s="54"/>
      <c r="G15" s="54"/>
      <c r="H15" s="47"/>
    </row>
    <row r="16" spans="1:8" s="11" customFormat="1" ht="14.1" customHeight="1" x14ac:dyDescent="0.25">
      <c r="B16" s="24"/>
      <c r="C16" s="42"/>
      <c r="D16" s="53"/>
      <c r="E16" s="54"/>
      <c r="F16" s="54"/>
      <c r="G16" s="54"/>
      <c r="H16" s="47"/>
    </row>
    <row r="17" spans="1:7" s="11" customFormat="1" ht="15.95" customHeight="1" x14ac:dyDescent="0.25">
      <c r="B17" s="24">
        <f>SUM(B9:B16)</f>
        <v>0</v>
      </c>
      <c r="C17" s="18"/>
      <c r="D17" s="19"/>
      <c r="E17" s="19"/>
      <c r="F17" s="19"/>
      <c r="G17" s="19"/>
    </row>
    <row r="18" spans="1:7" s="11" customFormat="1" ht="15.95" customHeight="1" x14ac:dyDescent="0.25">
      <c r="A18" s="11" t="s">
        <v>2</v>
      </c>
      <c r="B18" s="24"/>
      <c r="C18" s="30" t="s">
        <v>702</v>
      </c>
      <c r="D18" s="63" t="s">
        <v>628</v>
      </c>
    </row>
    <row r="19" spans="1:7" s="11" customFormat="1" ht="15.95" customHeight="1" x14ac:dyDescent="0.25">
      <c r="B19" s="24"/>
      <c r="C19" s="13"/>
      <c r="D19" s="65"/>
    </row>
    <row r="20" spans="1:7" s="11" customFormat="1" ht="15.95" customHeight="1" x14ac:dyDescent="0.25">
      <c r="B20" s="24"/>
      <c r="C20" s="13"/>
      <c r="D20" s="65"/>
    </row>
    <row r="21" spans="1:7" s="11" customFormat="1" ht="14.1" customHeight="1" x14ac:dyDescent="0.25">
      <c r="B21" s="66"/>
      <c r="C21" s="32"/>
      <c r="D21" s="59"/>
      <c r="E21" s="39"/>
      <c r="F21" s="39"/>
    </row>
    <row r="22" spans="1:7" s="11" customFormat="1" ht="14.1" customHeight="1" x14ac:dyDescent="0.25">
      <c r="A22" s="39"/>
      <c r="B22" s="46"/>
      <c r="C22" s="32"/>
      <c r="D22" s="59"/>
      <c r="E22" s="39"/>
      <c r="F22" s="39"/>
    </row>
    <row r="23" spans="1:7" s="11" customFormat="1" ht="14.1" customHeight="1" x14ac:dyDescent="0.25">
      <c r="A23" s="39"/>
      <c r="B23" s="46"/>
      <c r="C23" s="42"/>
      <c r="D23" s="43"/>
      <c r="E23" s="39"/>
      <c r="F23" s="39"/>
    </row>
    <row r="24" spans="1:7" s="11" customFormat="1" ht="15.95" customHeight="1" x14ac:dyDescent="0.25">
      <c r="B24" s="24">
        <f>SUM(B19:B23)</f>
        <v>0</v>
      </c>
      <c r="C24" s="13"/>
      <c r="D24" s="13"/>
    </row>
    <row r="25" spans="1:7" s="11" customFormat="1" ht="15.95" customHeight="1" x14ac:dyDescent="0.25">
      <c r="A25" s="11" t="s">
        <v>1</v>
      </c>
      <c r="B25" s="12">
        <f>B24+B17</f>
        <v>0</v>
      </c>
      <c r="C25" s="13"/>
      <c r="D25" s="13"/>
    </row>
    <row r="26" spans="1:7" s="11" customFormat="1" ht="15.95" customHeight="1" x14ac:dyDescent="0.25">
      <c r="A26" s="15" t="s">
        <v>0</v>
      </c>
      <c r="B26" s="16">
        <f>B25-B7</f>
        <v>0</v>
      </c>
      <c r="C26" s="13"/>
      <c r="D26" s="13"/>
    </row>
    <row r="27" spans="1:7" s="11" customFormat="1" ht="15.95" customHeight="1" x14ac:dyDescent="0.25">
      <c r="B27" s="12"/>
      <c r="C27" s="13"/>
      <c r="D27" s="13"/>
    </row>
    <row r="28" spans="1:7" s="11" customFormat="1" ht="20.100000000000001" customHeight="1" x14ac:dyDescent="0.25">
      <c r="A28" s="213"/>
      <c r="B28" s="214"/>
      <c r="C28" s="207"/>
      <c r="D28" s="207"/>
    </row>
    <row r="29" spans="1:7" s="11" customFormat="1" ht="20.100000000000001" customHeight="1" x14ac:dyDescent="0.25">
      <c r="A29" s="213"/>
      <c r="B29" s="214"/>
      <c r="C29" s="207"/>
      <c r="D29" s="207"/>
    </row>
    <row r="30" spans="1:7" s="11" customFormat="1" ht="20.100000000000001" customHeight="1" x14ac:dyDescent="0.3">
      <c r="A30" s="1"/>
      <c r="B30" s="3"/>
      <c r="C30" s="13"/>
      <c r="D30" s="13"/>
    </row>
    <row r="31" spans="1:7" s="11" customFormat="1" ht="20.100000000000001" customHeight="1" x14ac:dyDescent="0.3">
      <c r="A31" s="1"/>
      <c r="B31" s="3"/>
      <c r="C31" s="13"/>
      <c r="D31" s="13"/>
    </row>
    <row r="32" spans="1:7" s="11" customFormat="1" ht="20.100000000000001" customHeight="1" x14ac:dyDescent="0.3">
      <c r="A32" s="1"/>
      <c r="B32" s="3"/>
      <c r="C32" s="13"/>
      <c r="D32" s="13"/>
    </row>
    <row r="33" spans="1:9" s="13" customFormat="1" ht="20.100000000000001" customHeight="1" x14ac:dyDescent="0.3">
      <c r="A33" s="1"/>
      <c r="B33" s="3"/>
      <c r="E33" s="11"/>
      <c r="F33" s="11"/>
      <c r="G33" s="11"/>
      <c r="H33" s="11"/>
      <c r="I33" s="11"/>
    </row>
    <row r="34" spans="1:9" s="13" customFormat="1" ht="20.100000000000001" customHeight="1" x14ac:dyDescent="0.3">
      <c r="A34" s="1"/>
      <c r="B34" s="3"/>
      <c r="E34" s="11"/>
      <c r="F34" s="11"/>
      <c r="G34" s="11"/>
      <c r="H34" s="11"/>
      <c r="I34" s="11"/>
    </row>
    <row r="35" spans="1:9" s="13" customFormat="1" ht="20.100000000000001" customHeight="1" x14ac:dyDescent="0.3">
      <c r="A35" s="1"/>
      <c r="B35" s="3"/>
      <c r="E35" s="11"/>
      <c r="F35" s="11"/>
      <c r="G35" s="11"/>
      <c r="H35" s="11"/>
      <c r="I35" s="11"/>
    </row>
    <row r="36" spans="1:9" ht="20.100000000000001" customHeight="1" x14ac:dyDescent="0.3"/>
    <row r="37" spans="1:9" ht="20.100000000000001" customHeight="1" x14ac:dyDescent="0.3"/>
    <row r="38" spans="1:9" ht="20.100000000000001" customHeight="1" x14ac:dyDescent="0.3"/>
    <row r="39" spans="1:9" ht="20.100000000000001" customHeight="1" x14ac:dyDescent="0.3"/>
  </sheetData>
  <mergeCells count="4">
    <mergeCell ref="A28:A29"/>
    <mergeCell ref="B28:B29"/>
    <mergeCell ref="C28:C29"/>
    <mergeCell ref="D28:D29"/>
  </mergeCells>
  <pageMargins left="0.7" right="0.7" top="0.75" bottom="0.75" header="0.3" footer="0.3"/>
  <pageSetup fitToHeight="0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3F559-FBC9-41CD-B422-F6F8A5399196}">
  <sheetPr>
    <pageSetUpPr fitToPage="1"/>
  </sheetPr>
  <dimension ref="A1:I44"/>
  <sheetViews>
    <sheetView workbookViewId="0">
      <selection activeCell="D12" sqref="D12:F13"/>
    </sheetView>
  </sheetViews>
  <sheetFormatPr defaultRowHeight="18.75" x14ac:dyDescent="0.3"/>
  <cols>
    <col min="1" max="1" width="19.42578125" style="1" customWidth="1"/>
    <col min="2" max="2" width="16.85546875" style="3" customWidth="1"/>
    <col min="3" max="3" width="21.5703125" style="6" customWidth="1"/>
    <col min="4" max="4" width="19.7109375" style="6" customWidth="1"/>
    <col min="5" max="7" width="9.140625" style="1"/>
    <col min="8" max="8" width="17.7109375" style="1" customWidth="1"/>
    <col min="9" max="16384" width="9.140625" style="1"/>
  </cols>
  <sheetData>
    <row r="1" spans="1:8" s="11" customFormat="1" ht="20.100000000000001" customHeight="1" x14ac:dyDescent="0.25">
      <c r="A1" s="11" t="s">
        <v>304</v>
      </c>
      <c r="B1" s="12"/>
      <c r="C1" s="13"/>
      <c r="D1" s="13"/>
    </row>
    <row r="2" spans="1:8" s="11" customFormat="1" ht="20.100000000000001" customHeight="1" x14ac:dyDescent="0.25">
      <c r="A2" s="14">
        <v>44592</v>
      </c>
      <c r="B2" s="12"/>
      <c r="C2" s="13"/>
      <c r="D2" s="13"/>
    </row>
    <row r="3" spans="1:8" s="11" customFormat="1" ht="20.100000000000001" customHeight="1" x14ac:dyDescent="0.25">
      <c r="A3" s="11" t="s">
        <v>311</v>
      </c>
      <c r="B3" s="12">
        <v>2800188</v>
      </c>
      <c r="C3" s="13"/>
      <c r="D3" s="13"/>
    </row>
    <row r="4" spans="1:8" s="11" customFormat="1" ht="20.100000000000001" customHeight="1" x14ac:dyDescent="0.25">
      <c r="A4" s="11" t="s">
        <v>6</v>
      </c>
      <c r="B4" s="12"/>
      <c r="C4" s="13"/>
      <c r="D4" s="13"/>
    </row>
    <row r="5" spans="1:8" s="11" customFormat="1" ht="20.100000000000001" customHeight="1" x14ac:dyDescent="0.25">
      <c r="A5" s="11">
        <v>2100</v>
      </c>
      <c r="B5" s="12">
        <v>-3503111</v>
      </c>
      <c r="C5" s="13"/>
      <c r="D5" s="13"/>
    </row>
    <row r="6" spans="1:8" s="11" customFormat="1" ht="20.100000000000001" customHeight="1" x14ac:dyDescent="0.25">
      <c r="A6" s="11" t="s">
        <v>5</v>
      </c>
      <c r="B6" s="12">
        <f>SUM(B5)</f>
        <v>-3503111</v>
      </c>
      <c r="C6" s="13"/>
      <c r="D6" s="13"/>
    </row>
    <row r="7" spans="1:8" s="11" customFormat="1" ht="20.100000000000001" customHeight="1" x14ac:dyDescent="0.25">
      <c r="A7" s="15" t="s">
        <v>4</v>
      </c>
      <c r="B7" s="16">
        <f>B6+B3</f>
        <v>-702923</v>
      </c>
      <c r="C7" s="13"/>
      <c r="D7" s="13"/>
    </row>
    <row r="8" spans="1:8" s="11" customFormat="1" ht="15.95" customHeight="1" x14ac:dyDescent="0.25">
      <c r="A8" s="11" t="s">
        <v>3</v>
      </c>
      <c r="B8" s="12"/>
      <c r="C8" s="44" t="s">
        <v>628</v>
      </c>
      <c r="D8" s="52" t="s">
        <v>626</v>
      </c>
    </row>
    <row r="9" spans="1:8" s="11" customFormat="1" ht="15" customHeight="1" x14ac:dyDescent="0.25">
      <c r="A9" s="11" t="s">
        <v>985</v>
      </c>
      <c r="B9" s="66">
        <v>-37801</v>
      </c>
      <c r="C9" s="31">
        <v>44592</v>
      </c>
      <c r="D9" s="51">
        <v>44593</v>
      </c>
      <c r="E9" s="55"/>
      <c r="F9" s="55"/>
      <c r="G9" s="55"/>
      <c r="H9" s="47"/>
    </row>
    <row r="10" spans="1:8" s="11" customFormat="1" ht="15" customHeight="1" x14ac:dyDescent="0.25">
      <c r="A10" s="11" t="s">
        <v>986</v>
      </c>
      <c r="B10" s="66">
        <v>-44356</v>
      </c>
      <c r="C10" s="31">
        <v>44590</v>
      </c>
      <c r="D10" s="51">
        <v>44593</v>
      </c>
      <c r="E10" s="55"/>
      <c r="F10" s="55"/>
      <c r="G10" s="55"/>
      <c r="H10" s="47"/>
    </row>
    <row r="11" spans="1:8" s="11" customFormat="1" ht="15" customHeight="1" x14ac:dyDescent="0.25">
      <c r="A11" s="11" t="s">
        <v>987</v>
      </c>
      <c r="B11" s="66">
        <v>-44562</v>
      </c>
      <c r="C11" s="31">
        <v>44592</v>
      </c>
      <c r="D11" s="51">
        <v>44593</v>
      </c>
      <c r="E11" s="55"/>
      <c r="F11" s="55"/>
      <c r="G11" s="55"/>
      <c r="H11" s="47"/>
    </row>
    <row r="12" spans="1:8" s="11" customFormat="1" ht="15" customHeight="1" x14ac:dyDescent="0.25">
      <c r="A12" s="11" t="s">
        <v>988</v>
      </c>
      <c r="B12" s="66">
        <v>-49338</v>
      </c>
      <c r="C12" s="31">
        <v>44579</v>
      </c>
      <c r="D12" s="219" t="s">
        <v>997</v>
      </c>
      <c r="E12" s="220"/>
      <c r="F12" s="220"/>
      <c r="G12" s="55"/>
      <c r="H12" s="47"/>
    </row>
    <row r="13" spans="1:8" s="11" customFormat="1" ht="15" customHeight="1" x14ac:dyDescent="0.25">
      <c r="B13" s="66"/>
      <c r="C13" s="31"/>
      <c r="D13" s="219"/>
      <c r="E13" s="220"/>
      <c r="F13" s="220"/>
      <c r="G13" s="55"/>
      <c r="H13" s="47"/>
    </row>
    <row r="14" spans="1:8" s="11" customFormat="1" ht="15" customHeight="1" x14ac:dyDescent="0.25">
      <c r="A14" s="11" t="s">
        <v>989</v>
      </c>
      <c r="B14" s="66">
        <v>-49717</v>
      </c>
      <c r="C14" s="31">
        <v>44592</v>
      </c>
      <c r="D14" s="51">
        <v>44593</v>
      </c>
      <c r="E14" s="55"/>
      <c r="F14" s="55"/>
      <c r="G14" s="55"/>
      <c r="H14" s="47"/>
    </row>
    <row r="15" spans="1:8" s="11" customFormat="1" ht="15" customHeight="1" x14ac:dyDescent="0.25">
      <c r="A15" s="11" t="s">
        <v>990</v>
      </c>
      <c r="B15" s="66">
        <v>-53539</v>
      </c>
      <c r="C15" s="31">
        <v>44590</v>
      </c>
      <c r="D15" s="51">
        <v>44593</v>
      </c>
      <c r="E15" s="55"/>
      <c r="F15" s="55"/>
      <c r="G15" s="55"/>
      <c r="H15" s="47"/>
    </row>
    <row r="16" spans="1:8" s="11" customFormat="1" ht="15" customHeight="1" x14ac:dyDescent="0.25">
      <c r="A16" s="11" t="s">
        <v>991</v>
      </c>
      <c r="B16" s="66">
        <v>-58267</v>
      </c>
      <c r="C16" s="31">
        <v>44590</v>
      </c>
      <c r="D16" s="51">
        <v>44593</v>
      </c>
      <c r="E16" s="55"/>
      <c r="F16" s="55"/>
      <c r="G16" s="55"/>
      <c r="H16" s="47"/>
    </row>
    <row r="17" spans="1:8" s="11" customFormat="1" ht="15" customHeight="1" x14ac:dyDescent="0.25">
      <c r="A17" s="11" t="s">
        <v>992</v>
      </c>
      <c r="B17" s="24">
        <v>-58267</v>
      </c>
      <c r="C17" s="32">
        <v>44592</v>
      </c>
      <c r="D17" s="53">
        <v>44593</v>
      </c>
      <c r="E17" s="55"/>
      <c r="F17" s="55"/>
      <c r="G17" s="55"/>
      <c r="H17" s="47"/>
    </row>
    <row r="18" spans="1:8" s="62" customFormat="1" ht="15" customHeight="1" x14ac:dyDescent="0.25">
      <c r="A18" s="60" t="s">
        <v>993</v>
      </c>
      <c r="B18" s="68">
        <v>-66445</v>
      </c>
      <c r="C18" s="67">
        <v>44590</v>
      </c>
      <c r="D18" s="53">
        <v>44593</v>
      </c>
      <c r="E18" s="54"/>
      <c r="F18" s="54"/>
      <c r="G18" s="54"/>
      <c r="H18" s="47"/>
    </row>
    <row r="19" spans="1:8" s="62" customFormat="1" ht="15" customHeight="1" x14ac:dyDescent="0.25">
      <c r="A19" s="60" t="s">
        <v>994</v>
      </c>
      <c r="B19" s="68">
        <v>-71439</v>
      </c>
      <c r="C19" s="67">
        <v>44590</v>
      </c>
      <c r="D19" s="53">
        <v>44593</v>
      </c>
      <c r="E19" s="54"/>
      <c r="F19" s="54"/>
      <c r="G19" s="54"/>
      <c r="H19" s="47"/>
    </row>
    <row r="20" spans="1:8" s="11" customFormat="1" ht="15" customHeight="1" x14ac:dyDescent="0.25">
      <c r="A20" s="11" t="s">
        <v>995</v>
      </c>
      <c r="B20" s="24">
        <v>-80135</v>
      </c>
      <c r="C20" s="32">
        <v>44590</v>
      </c>
      <c r="D20" s="53">
        <v>44593</v>
      </c>
      <c r="E20" s="54"/>
      <c r="F20" s="54"/>
      <c r="G20" s="54"/>
      <c r="H20" s="47"/>
    </row>
    <row r="21" spans="1:8" s="11" customFormat="1" ht="14.1" customHeight="1" x14ac:dyDescent="0.25">
      <c r="A21" s="11" t="s">
        <v>996</v>
      </c>
      <c r="B21" s="24">
        <v>-89057</v>
      </c>
      <c r="C21" s="32">
        <v>44592</v>
      </c>
      <c r="D21" s="53">
        <v>44593</v>
      </c>
      <c r="E21" s="54"/>
      <c r="F21" s="54"/>
      <c r="G21" s="54"/>
      <c r="H21" s="47"/>
    </row>
    <row r="22" spans="1:8" s="11" customFormat="1" ht="14.1" customHeight="1" x14ac:dyDescent="0.25">
      <c r="B22" s="24"/>
      <c r="C22" s="42"/>
      <c r="D22" s="53"/>
      <c r="E22" s="54"/>
      <c r="F22" s="54"/>
      <c r="G22" s="54"/>
      <c r="H22" s="47"/>
    </row>
    <row r="23" spans="1:8" s="11" customFormat="1" ht="15.95" customHeight="1" x14ac:dyDescent="0.25">
      <c r="B23" s="24">
        <f>SUM(B9:B22)</f>
        <v>-702923</v>
      </c>
      <c r="C23" s="18"/>
      <c r="D23" s="19"/>
      <c r="E23" s="19"/>
      <c r="F23" s="19"/>
      <c r="G23" s="19"/>
    </row>
    <row r="24" spans="1:8" s="11" customFormat="1" ht="15.95" customHeight="1" x14ac:dyDescent="0.25">
      <c r="A24" s="11" t="s">
        <v>2</v>
      </c>
      <c r="B24" s="24"/>
      <c r="C24" s="30" t="s">
        <v>702</v>
      </c>
      <c r="D24" s="63" t="s">
        <v>628</v>
      </c>
    </row>
    <row r="25" spans="1:8" s="11" customFormat="1" ht="15.95" customHeight="1" x14ac:dyDescent="0.25">
      <c r="B25" s="24"/>
      <c r="C25" s="13"/>
      <c r="D25" s="65"/>
    </row>
    <row r="26" spans="1:8" s="11" customFormat="1" ht="14.1" customHeight="1" x14ac:dyDescent="0.25">
      <c r="B26" s="66"/>
      <c r="C26" s="32"/>
      <c r="D26" s="59"/>
      <c r="E26" s="39"/>
      <c r="F26" s="39"/>
    </row>
    <row r="27" spans="1:8" s="11" customFormat="1" ht="14.1" customHeight="1" x14ac:dyDescent="0.25">
      <c r="A27" s="39"/>
      <c r="B27" s="46"/>
      <c r="C27" s="32"/>
      <c r="D27" s="59"/>
      <c r="E27" s="39"/>
      <c r="F27" s="39"/>
    </row>
    <row r="28" spans="1:8" s="11" customFormat="1" ht="14.1" customHeight="1" x14ac:dyDescent="0.25">
      <c r="A28" s="39"/>
      <c r="B28" s="46"/>
      <c r="C28" s="42"/>
      <c r="D28" s="43"/>
      <c r="E28" s="39"/>
      <c r="F28" s="39"/>
    </row>
    <row r="29" spans="1:8" s="11" customFormat="1" ht="15.95" customHeight="1" x14ac:dyDescent="0.25">
      <c r="B29" s="24">
        <f>SUM(B25:B28)</f>
        <v>0</v>
      </c>
      <c r="C29" s="13"/>
      <c r="D29" s="13"/>
    </row>
    <row r="30" spans="1:8" s="11" customFormat="1" ht="15.95" customHeight="1" x14ac:dyDescent="0.25">
      <c r="A30" s="11" t="s">
        <v>1</v>
      </c>
      <c r="B30" s="12">
        <f>B29+B23</f>
        <v>-702923</v>
      </c>
      <c r="C30" s="13"/>
      <c r="D30" s="13"/>
    </row>
    <row r="31" spans="1:8" s="11" customFormat="1" ht="15.95" customHeight="1" x14ac:dyDescent="0.25">
      <c r="A31" s="15" t="s">
        <v>0</v>
      </c>
      <c r="B31" s="16">
        <f>B30-B7</f>
        <v>0</v>
      </c>
      <c r="C31" s="13"/>
      <c r="D31" s="13"/>
    </row>
    <row r="32" spans="1:8" s="11" customFormat="1" ht="15.95" customHeight="1" x14ac:dyDescent="0.25">
      <c r="B32" s="12"/>
      <c r="C32" s="13"/>
      <c r="D32" s="13"/>
    </row>
    <row r="33" spans="1:9" s="11" customFormat="1" ht="20.100000000000001" customHeight="1" x14ac:dyDescent="0.25">
      <c r="A33" s="213"/>
      <c r="B33" s="214"/>
      <c r="C33" s="207"/>
      <c r="D33" s="207"/>
    </row>
    <row r="34" spans="1:9" s="11" customFormat="1" ht="20.100000000000001" customHeight="1" x14ac:dyDescent="0.25">
      <c r="A34" s="213"/>
      <c r="B34" s="214"/>
      <c r="C34" s="207"/>
      <c r="D34" s="207"/>
    </row>
    <row r="35" spans="1:9" s="11" customFormat="1" ht="20.100000000000001" customHeight="1" x14ac:dyDescent="0.3">
      <c r="A35" s="1"/>
      <c r="B35" s="3"/>
      <c r="C35" s="13"/>
      <c r="D35" s="13"/>
    </row>
    <row r="36" spans="1:9" s="11" customFormat="1" ht="20.100000000000001" customHeight="1" x14ac:dyDescent="0.3">
      <c r="A36" s="1"/>
      <c r="B36" s="3"/>
      <c r="C36" s="13"/>
      <c r="D36" s="13"/>
    </row>
    <row r="37" spans="1:9" s="11" customFormat="1" ht="20.100000000000001" customHeight="1" x14ac:dyDescent="0.3">
      <c r="A37" s="1"/>
      <c r="B37" s="3"/>
      <c r="C37" s="13"/>
      <c r="D37" s="13"/>
    </row>
    <row r="38" spans="1:9" s="13" customFormat="1" ht="20.100000000000001" customHeight="1" x14ac:dyDescent="0.3">
      <c r="A38" s="1"/>
      <c r="B38" s="3"/>
      <c r="E38" s="11"/>
      <c r="F38" s="11"/>
      <c r="G38" s="11"/>
      <c r="H38" s="11"/>
      <c r="I38" s="11"/>
    </row>
    <row r="39" spans="1:9" s="13" customFormat="1" ht="20.100000000000001" customHeight="1" x14ac:dyDescent="0.3">
      <c r="A39" s="1"/>
      <c r="B39" s="3"/>
      <c r="E39" s="11"/>
      <c r="F39" s="11"/>
      <c r="G39" s="11"/>
      <c r="H39" s="11"/>
      <c r="I39" s="11"/>
    </row>
    <row r="40" spans="1:9" s="13" customFormat="1" ht="20.100000000000001" customHeight="1" x14ac:dyDescent="0.3">
      <c r="A40" s="1"/>
      <c r="B40" s="3"/>
      <c r="E40" s="11"/>
      <c r="F40" s="11"/>
      <c r="G40" s="11"/>
      <c r="H40" s="11"/>
      <c r="I40" s="11"/>
    </row>
    <row r="41" spans="1:9" ht="20.100000000000001" customHeight="1" x14ac:dyDescent="0.3"/>
    <row r="42" spans="1:9" ht="20.100000000000001" customHeight="1" x14ac:dyDescent="0.3"/>
    <row r="43" spans="1:9" ht="20.100000000000001" customHeight="1" x14ac:dyDescent="0.3"/>
    <row r="44" spans="1:9" ht="20.100000000000001" customHeight="1" x14ac:dyDescent="0.3"/>
  </sheetData>
  <mergeCells count="5">
    <mergeCell ref="A33:A34"/>
    <mergeCell ref="B33:B34"/>
    <mergeCell ref="C33:C34"/>
    <mergeCell ref="D33:D34"/>
    <mergeCell ref="D12:F13"/>
  </mergeCells>
  <pageMargins left="0.7" right="0.7" top="0.75" bottom="0.75" header="0.3" footer="0.3"/>
  <pageSetup scale="94" fitToHeight="0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11CF-7F81-4537-AF9A-FA50898A3F5F}">
  <sheetPr>
    <pageSetUpPr fitToPage="1"/>
  </sheetPr>
  <dimension ref="A1:I124"/>
  <sheetViews>
    <sheetView workbookViewId="0">
      <selection activeCell="D94" sqref="D94"/>
    </sheetView>
  </sheetViews>
  <sheetFormatPr defaultRowHeight="18.75" x14ac:dyDescent="0.3"/>
  <cols>
    <col min="1" max="1" width="20.7109375" style="1" customWidth="1"/>
    <col min="2" max="2" width="16.85546875" style="10" customWidth="1"/>
    <col min="3" max="3" width="21.5703125" style="6" customWidth="1"/>
    <col min="4" max="4" width="19.7109375" style="82" customWidth="1"/>
    <col min="5" max="5" width="9.85546875" style="76" bestFit="1" customWidth="1"/>
    <col min="6" max="7" width="9.140625" style="1"/>
    <col min="8" max="8" width="17.7109375" style="1" customWidth="1"/>
    <col min="9" max="16384" width="9.140625" style="1"/>
  </cols>
  <sheetData>
    <row r="1" spans="1:8" s="11" customFormat="1" ht="20.100000000000001" customHeight="1" x14ac:dyDescent="0.25">
      <c r="A1" s="11" t="s">
        <v>304</v>
      </c>
      <c r="B1" s="17"/>
      <c r="C1" s="13"/>
      <c r="D1" s="51"/>
      <c r="E1" s="70"/>
    </row>
    <row r="2" spans="1:8" s="11" customFormat="1" ht="20.100000000000001" customHeight="1" x14ac:dyDescent="0.25">
      <c r="A2" s="14">
        <v>44620</v>
      </c>
      <c r="B2" s="17"/>
      <c r="C2" s="13"/>
      <c r="D2" s="51"/>
      <c r="E2" s="70"/>
    </row>
    <row r="3" spans="1:8" s="11" customFormat="1" ht="20.100000000000001" customHeight="1" x14ac:dyDescent="0.25">
      <c r="A3" s="11" t="s">
        <v>311</v>
      </c>
      <c r="B3" s="17">
        <v>1858807</v>
      </c>
      <c r="C3" s="13"/>
      <c r="D3" s="51"/>
      <c r="E3" s="70"/>
    </row>
    <row r="4" spans="1:8" s="11" customFormat="1" ht="20.100000000000001" customHeight="1" x14ac:dyDescent="0.25">
      <c r="A4" s="11" t="s">
        <v>6</v>
      </c>
      <c r="B4" s="17"/>
      <c r="C4" s="13"/>
      <c r="D4" s="51"/>
      <c r="E4" s="70"/>
    </row>
    <row r="5" spans="1:8" s="11" customFormat="1" ht="20.100000000000001" customHeight="1" x14ac:dyDescent="0.25">
      <c r="A5" s="11">
        <v>2100</v>
      </c>
      <c r="B5" s="17">
        <v>-5002520</v>
      </c>
      <c r="C5" s="13"/>
      <c r="D5" s="51"/>
      <c r="E5" s="70"/>
    </row>
    <row r="6" spans="1:8" s="11" customFormat="1" ht="20.100000000000001" customHeight="1" x14ac:dyDescent="0.25">
      <c r="A6" s="11" t="s">
        <v>5</v>
      </c>
      <c r="B6" s="17">
        <f>SUM(B5)</f>
        <v>-5002520</v>
      </c>
      <c r="C6" s="13"/>
      <c r="D6" s="51"/>
      <c r="E6" s="70"/>
    </row>
    <row r="7" spans="1:8" s="11" customFormat="1" ht="20.100000000000001" customHeight="1" x14ac:dyDescent="0.25">
      <c r="A7" s="11" t="s">
        <v>4</v>
      </c>
      <c r="B7" s="17">
        <f>B6+B3</f>
        <v>-3143713</v>
      </c>
      <c r="C7" s="13"/>
      <c r="D7" s="51"/>
      <c r="E7" s="70"/>
    </row>
    <row r="8" spans="1:8" s="11" customFormat="1" ht="15.95" customHeight="1" x14ac:dyDescent="0.25">
      <c r="A8" s="11" t="s">
        <v>3</v>
      </c>
      <c r="B8" s="17"/>
      <c r="C8" s="44" t="s">
        <v>628</v>
      </c>
      <c r="D8" s="80" t="s">
        <v>626</v>
      </c>
      <c r="E8" s="70"/>
    </row>
    <row r="9" spans="1:8" s="11" customFormat="1" ht="15" customHeight="1" x14ac:dyDescent="0.25">
      <c r="A9" s="77" t="s">
        <v>998</v>
      </c>
      <c r="B9" s="66">
        <v>-22902</v>
      </c>
      <c r="C9" s="31">
        <v>44609</v>
      </c>
      <c r="D9" s="13" t="s">
        <v>1089</v>
      </c>
      <c r="E9" s="71"/>
      <c r="F9" s="55"/>
      <c r="G9" s="55"/>
      <c r="H9" s="47"/>
    </row>
    <row r="10" spans="1:8" s="11" customFormat="1" ht="15" customHeight="1" x14ac:dyDescent="0.25">
      <c r="A10" s="77" t="s">
        <v>999</v>
      </c>
      <c r="B10" s="66">
        <v>-26208</v>
      </c>
      <c r="C10" s="31">
        <v>44609</v>
      </c>
      <c r="D10" s="13" t="s">
        <v>1089</v>
      </c>
      <c r="E10" s="71"/>
      <c r="F10" s="55"/>
      <c r="G10" s="55"/>
      <c r="H10" s="47"/>
    </row>
    <row r="11" spans="1:8" s="11" customFormat="1" ht="15" customHeight="1" x14ac:dyDescent="0.25">
      <c r="A11" s="77" t="s">
        <v>1000</v>
      </c>
      <c r="B11" s="66">
        <v>-27216</v>
      </c>
      <c r="C11" s="31">
        <v>44609</v>
      </c>
      <c r="D11" s="13" t="s">
        <v>1090</v>
      </c>
      <c r="E11" s="71"/>
      <c r="F11" s="55"/>
      <c r="G11" s="55"/>
      <c r="H11" s="47"/>
    </row>
    <row r="12" spans="1:8" s="11" customFormat="1" ht="15" customHeight="1" x14ac:dyDescent="0.25">
      <c r="A12" s="77" t="s">
        <v>1001</v>
      </c>
      <c r="B12" s="66">
        <v>-27618</v>
      </c>
      <c r="C12" s="31">
        <v>44609</v>
      </c>
      <c r="D12" s="13">
        <v>44621</v>
      </c>
      <c r="E12" s="71"/>
      <c r="F12" s="55"/>
      <c r="G12" s="55"/>
      <c r="H12" s="47"/>
    </row>
    <row r="13" spans="1:8" s="11" customFormat="1" ht="15" customHeight="1" x14ac:dyDescent="0.25">
      <c r="A13" s="77" t="s">
        <v>1002</v>
      </c>
      <c r="B13" s="66">
        <v>-28322</v>
      </c>
      <c r="C13" s="31">
        <v>44608</v>
      </c>
      <c r="D13" s="13">
        <v>44636</v>
      </c>
      <c r="E13" s="71"/>
      <c r="F13" s="55"/>
      <c r="G13" s="55"/>
      <c r="H13" s="47"/>
    </row>
    <row r="14" spans="1:8" s="11" customFormat="1" ht="15" customHeight="1" x14ac:dyDescent="0.25">
      <c r="A14" s="77" t="s">
        <v>1003</v>
      </c>
      <c r="B14" s="66">
        <v>-28450</v>
      </c>
      <c r="C14" s="31">
        <v>44608</v>
      </c>
      <c r="D14" s="13">
        <v>44637</v>
      </c>
      <c r="E14" s="71"/>
      <c r="F14" s="55"/>
      <c r="G14" s="55"/>
      <c r="H14" s="47"/>
    </row>
    <row r="15" spans="1:8" s="11" customFormat="1" ht="15" customHeight="1" x14ac:dyDescent="0.25">
      <c r="A15" s="77" t="s">
        <v>1004</v>
      </c>
      <c r="B15" s="66">
        <v>-28502</v>
      </c>
      <c r="C15" s="31">
        <v>44608</v>
      </c>
      <c r="D15" s="13">
        <v>44644</v>
      </c>
      <c r="E15" s="71"/>
      <c r="F15" s="55"/>
      <c r="G15" s="55"/>
      <c r="H15" s="47"/>
    </row>
    <row r="16" spans="1:8" s="11" customFormat="1" ht="15" customHeight="1" x14ac:dyDescent="0.25">
      <c r="A16" s="77" t="s">
        <v>1005</v>
      </c>
      <c r="B16" s="66">
        <v>-28674</v>
      </c>
      <c r="C16" s="31">
        <v>44608</v>
      </c>
      <c r="D16" s="13">
        <v>44644</v>
      </c>
      <c r="E16" s="71"/>
      <c r="F16" s="55"/>
      <c r="G16" s="55"/>
      <c r="H16" s="47"/>
    </row>
    <row r="17" spans="1:8" s="11" customFormat="1" ht="15" customHeight="1" x14ac:dyDescent="0.25">
      <c r="A17" s="77" t="s">
        <v>1006</v>
      </c>
      <c r="B17" s="66">
        <v>-28693</v>
      </c>
      <c r="C17" s="31">
        <v>44609</v>
      </c>
      <c r="D17" s="13" t="s">
        <v>1089</v>
      </c>
      <c r="E17" s="71"/>
      <c r="F17" s="55"/>
      <c r="G17" s="55"/>
      <c r="H17" s="47"/>
    </row>
    <row r="18" spans="1:8" s="11" customFormat="1" ht="15" customHeight="1" x14ac:dyDescent="0.25">
      <c r="A18" s="77" t="s">
        <v>1007</v>
      </c>
      <c r="B18" s="66">
        <v>-28852</v>
      </c>
      <c r="C18" s="31">
        <v>44608</v>
      </c>
      <c r="D18" s="13">
        <v>44636</v>
      </c>
      <c r="E18" s="71"/>
      <c r="F18" s="55"/>
      <c r="G18" s="55"/>
      <c r="H18" s="47"/>
    </row>
    <row r="19" spans="1:8" s="11" customFormat="1" ht="15" customHeight="1" x14ac:dyDescent="0.25">
      <c r="A19" s="77" t="s">
        <v>1008</v>
      </c>
      <c r="B19" s="66">
        <v>-28852</v>
      </c>
      <c r="C19" s="31">
        <v>44608</v>
      </c>
      <c r="D19" s="13">
        <v>44642</v>
      </c>
      <c r="E19" s="71"/>
      <c r="F19" s="55"/>
      <c r="G19" s="55"/>
      <c r="H19" s="47"/>
    </row>
    <row r="20" spans="1:8" s="11" customFormat="1" ht="15" customHeight="1" x14ac:dyDescent="0.25">
      <c r="A20" s="77" t="s">
        <v>1009</v>
      </c>
      <c r="B20" s="66">
        <v>-29104</v>
      </c>
      <c r="C20" s="31">
        <v>44608</v>
      </c>
      <c r="D20" s="13">
        <v>44644</v>
      </c>
      <c r="E20" s="71"/>
      <c r="F20" s="55"/>
      <c r="G20" s="55"/>
      <c r="H20" s="47"/>
    </row>
    <row r="21" spans="1:8" s="11" customFormat="1" ht="15" customHeight="1" x14ac:dyDescent="0.25">
      <c r="A21" s="77" t="s">
        <v>1010</v>
      </c>
      <c r="B21" s="66">
        <v>-29680</v>
      </c>
      <c r="C21" s="31">
        <v>44608</v>
      </c>
      <c r="D21" s="13">
        <v>44637</v>
      </c>
      <c r="E21" s="71"/>
      <c r="F21" s="55"/>
      <c r="G21" s="55"/>
      <c r="H21" s="47"/>
    </row>
    <row r="22" spans="1:8" s="11" customFormat="1" ht="15" customHeight="1" x14ac:dyDescent="0.25">
      <c r="A22" s="77" t="s">
        <v>1011</v>
      </c>
      <c r="B22" s="66">
        <v>-29680</v>
      </c>
      <c r="C22" s="31">
        <v>44608</v>
      </c>
      <c r="D22" s="13">
        <v>44637</v>
      </c>
      <c r="E22" s="71"/>
      <c r="F22" s="55"/>
      <c r="G22" s="55"/>
      <c r="H22" s="47"/>
    </row>
    <row r="23" spans="1:8" s="11" customFormat="1" ht="15" customHeight="1" x14ac:dyDescent="0.25">
      <c r="A23" s="77" t="s">
        <v>1012</v>
      </c>
      <c r="B23" s="66">
        <v>-29680</v>
      </c>
      <c r="C23" s="31">
        <v>44608</v>
      </c>
      <c r="D23" s="13">
        <v>44645</v>
      </c>
      <c r="E23" s="71"/>
      <c r="F23" s="55"/>
      <c r="G23" s="55"/>
      <c r="H23" s="47"/>
    </row>
    <row r="24" spans="1:8" s="11" customFormat="1" ht="15" customHeight="1" x14ac:dyDescent="0.25">
      <c r="A24" s="77" t="s">
        <v>1013</v>
      </c>
      <c r="B24" s="66">
        <v>-29690</v>
      </c>
      <c r="C24" s="31">
        <v>44609</v>
      </c>
      <c r="D24" s="13">
        <v>44621</v>
      </c>
      <c r="E24" s="71"/>
      <c r="F24" s="55"/>
      <c r="G24" s="55"/>
      <c r="H24" s="47"/>
    </row>
    <row r="25" spans="1:8" s="11" customFormat="1" ht="15" customHeight="1" x14ac:dyDescent="0.25">
      <c r="A25" s="77" t="s">
        <v>1014</v>
      </c>
      <c r="B25" s="66">
        <v>-29690</v>
      </c>
      <c r="C25" s="31">
        <v>44609</v>
      </c>
      <c r="D25" s="13" t="s">
        <v>1090</v>
      </c>
      <c r="E25" s="71"/>
      <c r="F25" s="55"/>
      <c r="G25" s="55"/>
      <c r="H25" s="47"/>
    </row>
    <row r="26" spans="1:8" s="11" customFormat="1" ht="15" customHeight="1" x14ac:dyDescent="0.25">
      <c r="A26" s="77" t="s">
        <v>1015</v>
      </c>
      <c r="B26" s="66">
        <v>-29708</v>
      </c>
      <c r="C26" s="31">
        <v>44608</v>
      </c>
      <c r="D26" s="13">
        <v>44644</v>
      </c>
      <c r="E26" s="71"/>
      <c r="F26" s="55"/>
      <c r="G26" s="55"/>
      <c r="H26" s="47"/>
    </row>
    <row r="27" spans="1:8" s="11" customFormat="1" ht="15" customHeight="1" x14ac:dyDescent="0.25">
      <c r="A27" s="77" t="s">
        <v>1016</v>
      </c>
      <c r="B27" s="66">
        <v>-29760</v>
      </c>
      <c r="C27" s="31">
        <v>44608</v>
      </c>
      <c r="D27" s="13">
        <v>44642</v>
      </c>
      <c r="E27" s="71"/>
      <c r="F27" s="55"/>
      <c r="G27" s="55"/>
      <c r="H27" s="47"/>
    </row>
    <row r="28" spans="1:8" s="11" customFormat="1" ht="15" customHeight="1" x14ac:dyDescent="0.25">
      <c r="A28" s="77" t="s">
        <v>1017</v>
      </c>
      <c r="B28" s="66">
        <v>-29760</v>
      </c>
      <c r="C28" s="31">
        <v>44608</v>
      </c>
      <c r="D28" s="13" t="s">
        <v>1095</v>
      </c>
      <c r="E28" s="71"/>
      <c r="F28" s="55"/>
      <c r="G28" s="55"/>
      <c r="H28" s="47"/>
    </row>
    <row r="29" spans="1:8" s="11" customFormat="1" ht="15" customHeight="1" x14ac:dyDescent="0.25">
      <c r="A29" s="77" t="s">
        <v>1018</v>
      </c>
      <c r="B29" s="66">
        <v>-29760</v>
      </c>
      <c r="C29" s="31">
        <v>44608</v>
      </c>
      <c r="D29" s="13" t="s">
        <v>1091</v>
      </c>
      <c r="E29" s="71"/>
      <c r="F29" s="55"/>
      <c r="G29" s="55"/>
      <c r="H29" s="47"/>
    </row>
    <row r="30" spans="1:8" s="11" customFormat="1" ht="15" customHeight="1" x14ac:dyDescent="0.25">
      <c r="A30" s="77" t="s">
        <v>1019</v>
      </c>
      <c r="B30" s="66">
        <v>-29780</v>
      </c>
      <c r="C30" s="31">
        <v>44608</v>
      </c>
      <c r="D30" s="13">
        <v>44649</v>
      </c>
      <c r="E30" s="71"/>
      <c r="F30" s="55"/>
      <c r="G30" s="55"/>
      <c r="H30" s="47"/>
    </row>
    <row r="31" spans="1:8" s="11" customFormat="1" ht="15" customHeight="1" x14ac:dyDescent="0.25">
      <c r="A31" s="77" t="s">
        <v>1020</v>
      </c>
      <c r="B31" s="66">
        <v>-29820</v>
      </c>
      <c r="C31" s="31">
        <v>44608</v>
      </c>
      <c r="D31" s="13" t="s">
        <v>1089</v>
      </c>
      <c r="E31" s="71"/>
      <c r="F31" s="55"/>
      <c r="G31" s="55"/>
      <c r="H31" s="47"/>
    </row>
    <row r="32" spans="1:8" s="11" customFormat="1" ht="15" customHeight="1" x14ac:dyDescent="0.25">
      <c r="A32" s="77" t="s">
        <v>1021</v>
      </c>
      <c r="B32" s="66">
        <v>-29960</v>
      </c>
      <c r="C32" s="31">
        <v>44608</v>
      </c>
      <c r="D32" s="13">
        <v>44621</v>
      </c>
      <c r="E32" s="71"/>
      <c r="F32" s="55"/>
      <c r="G32" s="55"/>
      <c r="H32" s="47"/>
    </row>
    <row r="33" spans="1:8" s="11" customFormat="1" ht="15" customHeight="1" x14ac:dyDescent="0.25">
      <c r="A33" s="77" t="s">
        <v>1022</v>
      </c>
      <c r="B33" s="66">
        <v>-29980</v>
      </c>
      <c r="C33" s="31">
        <v>44608</v>
      </c>
      <c r="D33" s="13">
        <v>44645</v>
      </c>
      <c r="E33" s="71"/>
      <c r="F33" s="55"/>
      <c r="G33" s="55"/>
      <c r="H33" s="47"/>
    </row>
    <row r="34" spans="1:8" s="11" customFormat="1" ht="15" customHeight="1" x14ac:dyDescent="0.25">
      <c r="A34" s="77" t="s">
        <v>1023</v>
      </c>
      <c r="B34" s="66">
        <v>-30012</v>
      </c>
      <c r="C34" s="31">
        <v>44608</v>
      </c>
      <c r="D34" s="13">
        <v>44628</v>
      </c>
      <c r="E34" s="71"/>
      <c r="F34" s="55"/>
      <c r="G34" s="55"/>
      <c r="H34" s="47"/>
    </row>
    <row r="35" spans="1:8" s="11" customFormat="1" ht="15" customHeight="1" x14ac:dyDescent="0.25">
      <c r="A35" s="77" t="s">
        <v>1024</v>
      </c>
      <c r="B35" s="66">
        <v>-30032</v>
      </c>
      <c r="C35" s="31">
        <v>44608</v>
      </c>
      <c r="D35" s="13">
        <v>44649</v>
      </c>
      <c r="E35" s="71"/>
      <c r="F35" s="55"/>
      <c r="G35" s="55"/>
      <c r="H35" s="47"/>
    </row>
    <row r="36" spans="1:8" s="11" customFormat="1" ht="15" customHeight="1" x14ac:dyDescent="0.25">
      <c r="A36" s="77" t="s">
        <v>1025</v>
      </c>
      <c r="B36" s="66">
        <v>-30080</v>
      </c>
      <c r="C36" s="31">
        <v>44608</v>
      </c>
      <c r="D36" s="51">
        <v>44649</v>
      </c>
      <c r="E36" s="71"/>
      <c r="F36" s="55"/>
      <c r="G36" s="55"/>
      <c r="H36" s="47"/>
    </row>
    <row r="37" spans="1:8" s="11" customFormat="1" ht="15" customHeight="1" x14ac:dyDescent="0.25">
      <c r="A37" s="77" t="s">
        <v>1026</v>
      </c>
      <c r="B37" s="66">
        <v>-30132</v>
      </c>
      <c r="C37" s="31">
        <v>44608</v>
      </c>
      <c r="D37" s="51">
        <v>44649</v>
      </c>
      <c r="E37" s="71"/>
      <c r="F37" s="55"/>
      <c r="G37" s="55"/>
      <c r="H37" s="47"/>
    </row>
    <row r="38" spans="1:8" s="11" customFormat="1" ht="15" customHeight="1" x14ac:dyDescent="0.25">
      <c r="A38" s="77" t="s">
        <v>1027</v>
      </c>
      <c r="B38" s="66">
        <v>-30202</v>
      </c>
      <c r="C38" s="31">
        <v>44609</v>
      </c>
      <c r="D38" s="51">
        <v>44642</v>
      </c>
      <c r="E38" s="71"/>
      <c r="F38" s="55"/>
      <c r="G38" s="55"/>
      <c r="H38" s="47"/>
    </row>
    <row r="39" spans="1:8" s="11" customFormat="1" ht="15" customHeight="1" x14ac:dyDescent="0.25">
      <c r="A39" s="77" t="s">
        <v>1028</v>
      </c>
      <c r="B39" s="66">
        <v>-30210</v>
      </c>
      <c r="C39" s="31">
        <v>44608</v>
      </c>
      <c r="D39" s="51">
        <v>44635</v>
      </c>
      <c r="E39" s="71"/>
      <c r="F39" s="55"/>
      <c r="G39" s="55"/>
      <c r="H39" s="47"/>
    </row>
    <row r="40" spans="1:8" s="11" customFormat="1" ht="15" customHeight="1" x14ac:dyDescent="0.25">
      <c r="A40" s="77" t="s">
        <v>1029</v>
      </c>
      <c r="B40" s="66">
        <v>-30252</v>
      </c>
      <c r="C40" s="31">
        <v>44608</v>
      </c>
      <c r="D40" s="51">
        <v>44649</v>
      </c>
      <c r="E40" s="71"/>
      <c r="F40" s="55"/>
      <c r="G40" s="55"/>
      <c r="H40" s="47"/>
    </row>
    <row r="41" spans="1:8" s="11" customFormat="1" ht="15" customHeight="1" x14ac:dyDescent="0.25">
      <c r="A41" s="77" t="s">
        <v>1030</v>
      </c>
      <c r="B41" s="66">
        <v>-30342</v>
      </c>
      <c r="C41" s="31">
        <v>44608</v>
      </c>
      <c r="D41" s="51">
        <v>44635</v>
      </c>
      <c r="E41" s="71"/>
      <c r="F41" s="55"/>
      <c r="G41" s="55"/>
      <c r="H41" s="47"/>
    </row>
    <row r="42" spans="1:8" s="11" customFormat="1" ht="15" customHeight="1" x14ac:dyDescent="0.25">
      <c r="A42" s="77" t="s">
        <v>1031</v>
      </c>
      <c r="B42" s="66">
        <v>-30410</v>
      </c>
      <c r="C42" s="31">
        <v>44608</v>
      </c>
      <c r="D42" s="51">
        <v>44644</v>
      </c>
      <c r="E42" s="71"/>
      <c r="F42" s="55"/>
      <c r="G42" s="55"/>
      <c r="H42" s="47"/>
    </row>
    <row r="43" spans="1:8" s="11" customFormat="1" ht="15" customHeight="1" x14ac:dyDescent="0.25">
      <c r="A43" s="77" t="s">
        <v>1032</v>
      </c>
      <c r="B43" s="66">
        <v>-30410</v>
      </c>
      <c r="C43" s="31">
        <v>44608</v>
      </c>
      <c r="D43" s="51">
        <v>44650</v>
      </c>
      <c r="E43" s="71"/>
      <c r="F43" s="55"/>
      <c r="G43" s="55"/>
      <c r="H43" s="47"/>
    </row>
    <row r="44" spans="1:8" s="11" customFormat="1" ht="15" customHeight="1" x14ac:dyDescent="0.25">
      <c r="A44" s="77" t="s">
        <v>1033</v>
      </c>
      <c r="B44" s="66">
        <v>-30532</v>
      </c>
      <c r="C44" s="31">
        <v>44608</v>
      </c>
      <c r="D44" s="51">
        <v>44642</v>
      </c>
      <c r="E44" s="71"/>
      <c r="F44" s="55"/>
      <c r="G44" s="55"/>
      <c r="H44" s="47"/>
    </row>
    <row r="45" spans="1:8" s="11" customFormat="1" ht="15" customHeight="1" x14ac:dyDescent="0.25">
      <c r="A45" s="77" t="s">
        <v>1034</v>
      </c>
      <c r="B45" s="66">
        <v>-30610</v>
      </c>
      <c r="C45" s="31">
        <v>44608</v>
      </c>
      <c r="D45" s="51">
        <v>44649</v>
      </c>
      <c r="E45" s="71"/>
      <c r="F45" s="55"/>
      <c r="G45" s="55"/>
      <c r="H45" s="47"/>
    </row>
    <row r="46" spans="1:8" s="11" customFormat="1" ht="15" customHeight="1" x14ac:dyDescent="0.25">
      <c r="A46" s="77" t="s">
        <v>1035</v>
      </c>
      <c r="B46" s="66">
        <v>-30667</v>
      </c>
      <c r="C46" s="31">
        <v>44608</v>
      </c>
      <c r="D46" s="51">
        <v>44644</v>
      </c>
      <c r="E46" s="71"/>
      <c r="F46" s="55"/>
      <c r="G46" s="55"/>
      <c r="H46" s="47"/>
    </row>
    <row r="47" spans="1:8" s="11" customFormat="1" ht="15" customHeight="1" x14ac:dyDescent="0.25">
      <c r="A47" s="77" t="s">
        <v>1036</v>
      </c>
      <c r="B47" s="66">
        <v>-30667</v>
      </c>
      <c r="C47" s="31">
        <v>44608</v>
      </c>
      <c r="D47" s="51">
        <v>44649</v>
      </c>
      <c r="E47" s="71"/>
      <c r="F47" s="55"/>
      <c r="G47" s="55"/>
      <c r="H47" s="47"/>
    </row>
    <row r="48" spans="1:8" s="11" customFormat="1" ht="15" customHeight="1" x14ac:dyDescent="0.25">
      <c r="A48" s="77" t="s">
        <v>1037</v>
      </c>
      <c r="B48" s="66">
        <v>-30747</v>
      </c>
      <c r="C48" s="31">
        <v>44608</v>
      </c>
      <c r="D48" s="51">
        <v>44621</v>
      </c>
      <c r="E48" s="71"/>
      <c r="F48" s="55"/>
      <c r="G48" s="55"/>
      <c r="H48" s="47"/>
    </row>
    <row r="49" spans="1:8" s="11" customFormat="1" ht="15" customHeight="1" x14ac:dyDescent="0.25">
      <c r="A49" s="77" t="s">
        <v>1038</v>
      </c>
      <c r="B49" s="66">
        <v>-30747</v>
      </c>
      <c r="C49" s="31">
        <v>44608</v>
      </c>
      <c r="D49" s="51">
        <v>44644</v>
      </c>
      <c r="E49" s="71"/>
      <c r="F49" s="55"/>
      <c r="G49" s="55"/>
      <c r="H49" s="47"/>
    </row>
    <row r="50" spans="1:8" s="11" customFormat="1" ht="15" customHeight="1" x14ac:dyDescent="0.25">
      <c r="A50" s="77" t="s">
        <v>1039</v>
      </c>
      <c r="B50" s="66">
        <v>-30767</v>
      </c>
      <c r="C50" s="31">
        <v>44608</v>
      </c>
      <c r="D50" s="51">
        <v>44631</v>
      </c>
      <c r="E50" s="71"/>
      <c r="F50" s="55"/>
      <c r="G50" s="55"/>
      <c r="H50" s="47"/>
    </row>
    <row r="51" spans="1:8" s="11" customFormat="1" ht="15" customHeight="1" x14ac:dyDescent="0.25">
      <c r="A51" s="77" t="s">
        <v>1040</v>
      </c>
      <c r="B51" s="66">
        <v>-30799</v>
      </c>
      <c r="C51" s="31">
        <v>44608</v>
      </c>
      <c r="D51" s="51">
        <v>44637</v>
      </c>
      <c r="E51" s="71"/>
      <c r="F51" s="55"/>
      <c r="G51" s="55"/>
      <c r="H51" s="47"/>
    </row>
    <row r="52" spans="1:8" s="11" customFormat="1" ht="15" customHeight="1" x14ac:dyDescent="0.25">
      <c r="A52" s="77" t="s">
        <v>1041</v>
      </c>
      <c r="B52" s="66">
        <v>-30819</v>
      </c>
      <c r="C52" s="31">
        <v>44608</v>
      </c>
      <c r="D52" s="51">
        <v>44621</v>
      </c>
      <c r="E52" s="71"/>
      <c r="F52" s="55"/>
      <c r="G52" s="55"/>
      <c r="H52" s="47"/>
    </row>
    <row r="53" spans="1:8" s="11" customFormat="1" ht="15" customHeight="1" x14ac:dyDescent="0.25">
      <c r="A53" s="77" t="s">
        <v>1042</v>
      </c>
      <c r="B53" s="66">
        <v>-30827</v>
      </c>
      <c r="C53" s="31">
        <v>44608</v>
      </c>
      <c r="D53" s="51">
        <v>44644</v>
      </c>
      <c r="E53" s="71"/>
      <c r="F53" s="55"/>
      <c r="G53" s="55"/>
      <c r="H53" s="47"/>
    </row>
    <row r="54" spans="1:8" s="11" customFormat="1" ht="15" customHeight="1" x14ac:dyDescent="0.25">
      <c r="A54" s="77" t="s">
        <v>1043</v>
      </c>
      <c r="B54" s="66">
        <v>-30827</v>
      </c>
      <c r="C54" s="31">
        <v>44608</v>
      </c>
      <c r="D54" s="13" t="s">
        <v>1090</v>
      </c>
      <c r="E54" s="71"/>
      <c r="F54" s="55"/>
      <c r="G54" s="55"/>
      <c r="H54" s="47"/>
    </row>
    <row r="55" spans="1:8" s="11" customFormat="1" ht="15" customHeight="1" x14ac:dyDescent="0.25">
      <c r="A55" s="77" t="s">
        <v>1044</v>
      </c>
      <c r="B55" s="66">
        <v>-30827</v>
      </c>
      <c r="C55" s="31">
        <v>44608</v>
      </c>
      <c r="D55" s="51">
        <v>44650</v>
      </c>
      <c r="E55" s="71"/>
      <c r="F55" s="55"/>
      <c r="G55" s="55"/>
      <c r="H55" s="47"/>
    </row>
    <row r="56" spans="1:8" s="11" customFormat="1" ht="15" customHeight="1" x14ac:dyDescent="0.25">
      <c r="A56" s="77" t="s">
        <v>1045</v>
      </c>
      <c r="B56" s="66">
        <v>-30867</v>
      </c>
      <c r="C56" s="31">
        <v>44608</v>
      </c>
      <c r="D56" s="51">
        <v>44638</v>
      </c>
      <c r="E56" s="71"/>
      <c r="F56" s="55"/>
      <c r="G56" s="55"/>
      <c r="H56" s="47"/>
    </row>
    <row r="57" spans="1:8" s="11" customFormat="1" ht="15" customHeight="1" x14ac:dyDescent="0.25">
      <c r="A57" s="77" t="s">
        <v>1046</v>
      </c>
      <c r="B57" s="66">
        <v>-30899</v>
      </c>
      <c r="C57" s="31">
        <v>44608</v>
      </c>
      <c r="D57" s="51">
        <v>44628</v>
      </c>
      <c r="E57" s="71"/>
      <c r="F57" s="55"/>
      <c r="G57" s="55"/>
      <c r="H57" s="47"/>
    </row>
    <row r="58" spans="1:8" s="11" customFormat="1" ht="15" customHeight="1" x14ac:dyDescent="0.25">
      <c r="A58" s="77" t="s">
        <v>1047</v>
      </c>
      <c r="B58" s="66">
        <v>-31207</v>
      </c>
      <c r="C58" s="31">
        <v>44608</v>
      </c>
      <c r="D58" s="51">
        <v>44637</v>
      </c>
      <c r="E58" s="71"/>
      <c r="F58" s="55"/>
      <c r="G58" s="55"/>
      <c r="H58" s="47"/>
    </row>
    <row r="59" spans="1:8" s="11" customFormat="1" ht="15" customHeight="1" x14ac:dyDescent="0.25">
      <c r="A59" s="77" t="s">
        <v>1048</v>
      </c>
      <c r="B59" s="66">
        <v>-31802</v>
      </c>
      <c r="C59" s="31">
        <v>44609</v>
      </c>
      <c r="D59" s="51">
        <v>44621</v>
      </c>
      <c r="E59" s="71"/>
      <c r="F59" s="55"/>
      <c r="G59" s="55"/>
      <c r="H59" s="47"/>
    </row>
    <row r="60" spans="1:8" s="11" customFormat="1" ht="15" customHeight="1" x14ac:dyDescent="0.25">
      <c r="A60" s="77" t="s">
        <v>1049</v>
      </c>
      <c r="B60" s="66">
        <v>-32731</v>
      </c>
      <c r="C60" s="31">
        <v>44608</v>
      </c>
      <c r="D60" s="51">
        <v>44621</v>
      </c>
      <c r="E60" s="71"/>
      <c r="F60" s="55"/>
      <c r="G60" s="55"/>
      <c r="H60" s="47"/>
    </row>
    <row r="61" spans="1:8" s="11" customFormat="1" ht="15" customHeight="1" x14ac:dyDescent="0.25">
      <c r="A61" s="77" t="s">
        <v>1050</v>
      </c>
      <c r="B61" s="66">
        <v>-33051</v>
      </c>
      <c r="C61" s="31">
        <v>44608</v>
      </c>
      <c r="D61" s="13" t="s">
        <v>1089</v>
      </c>
      <c r="E61" s="71"/>
      <c r="F61" s="55"/>
      <c r="G61" s="55"/>
      <c r="H61" s="47"/>
    </row>
    <row r="62" spans="1:8" s="11" customFormat="1" ht="15" customHeight="1" x14ac:dyDescent="0.25">
      <c r="A62" s="77" t="s">
        <v>1051</v>
      </c>
      <c r="B62" s="66">
        <v>-33189</v>
      </c>
      <c r="C62" s="31">
        <v>44608</v>
      </c>
      <c r="D62" s="51">
        <v>44650</v>
      </c>
      <c r="E62" s="71"/>
      <c r="F62" s="55"/>
      <c r="G62" s="55"/>
      <c r="H62" s="47"/>
    </row>
    <row r="63" spans="1:8" s="11" customFormat="1" ht="15" customHeight="1" x14ac:dyDescent="0.25">
      <c r="A63" s="77" t="s">
        <v>1052</v>
      </c>
      <c r="B63" s="66">
        <v>-33269</v>
      </c>
      <c r="C63" s="31">
        <v>44608</v>
      </c>
      <c r="D63" s="51">
        <v>44621</v>
      </c>
      <c r="E63" s="71"/>
      <c r="F63" s="55"/>
      <c r="G63" s="55"/>
      <c r="H63" s="47"/>
    </row>
    <row r="64" spans="1:8" s="11" customFormat="1" ht="15" customHeight="1" x14ac:dyDescent="0.25">
      <c r="A64" s="77" t="s">
        <v>1053</v>
      </c>
      <c r="B64" s="66">
        <v>-33855</v>
      </c>
      <c r="C64" s="31">
        <v>44608</v>
      </c>
      <c r="D64" s="13" t="s">
        <v>1089</v>
      </c>
      <c r="E64" s="71"/>
      <c r="F64" s="55"/>
      <c r="G64" s="55"/>
      <c r="H64" s="47"/>
    </row>
    <row r="65" spans="1:8" s="11" customFormat="1" ht="15" customHeight="1" x14ac:dyDescent="0.25">
      <c r="A65" s="77" t="s">
        <v>1054</v>
      </c>
      <c r="B65" s="66">
        <v>-33955</v>
      </c>
      <c r="C65" s="31">
        <v>44608</v>
      </c>
      <c r="D65" s="51">
        <v>44622</v>
      </c>
      <c r="E65" s="71"/>
      <c r="F65" s="55"/>
      <c r="G65" s="55"/>
      <c r="H65" s="47"/>
    </row>
    <row r="66" spans="1:8" s="11" customFormat="1" ht="15" customHeight="1" x14ac:dyDescent="0.25">
      <c r="A66" s="77" t="s">
        <v>1055</v>
      </c>
      <c r="B66" s="66">
        <v>-33955</v>
      </c>
      <c r="C66" s="31">
        <v>44608</v>
      </c>
      <c r="D66" s="51">
        <v>44650</v>
      </c>
      <c r="E66" s="71"/>
      <c r="F66" s="55"/>
      <c r="G66" s="55"/>
      <c r="H66" s="47"/>
    </row>
    <row r="67" spans="1:8" s="11" customFormat="1" ht="15" customHeight="1" x14ac:dyDescent="0.25">
      <c r="A67" s="77" t="s">
        <v>1056</v>
      </c>
      <c r="B67" s="66">
        <v>-33955</v>
      </c>
      <c r="C67" s="31">
        <v>44608</v>
      </c>
      <c r="D67" s="51">
        <v>44649</v>
      </c>
      <c r="E67" s="71"/>
      <c r="F67" s="55"/>
      <c r="G67" s="55"/>
      <c r="H67" s="47"/>
    </row>
    <row r="68" spans="1:8" s="11" customFormat="1" ht="15" customHeight="1" x14ac:dyDescent="0.25">
      <c r="A68" s="77" t="s">
        <v>1057</v>
      </c>
      <c r="B68" s="66">
        <v>-34035</v>
      </c>
      <c r="C68" s="31">
        <v>44608</v>
      </c>
      <c r="D68" s="51">
        <v>44621</v>
      </c>
      <c r="E68" s="71"/>
      <c r="F68" s="55"/>
      <c r="G68" s="55"/>
      <c r="H68" s="47"/>
    </row>
    <row r="69" spans="1:8" s="11" customFormat="1" ht="15" customHeight="1" x14ac:dyDescent="0.25">
      <c r="A69" s="77" t="s">
        <v>1058</v>
      </c>
      <c r="B69" s="66">
        <v>-34207</v>
      </c>
      <c r="C69" s="31">
        <v>44608</v>
      </c>
      <c r="D69" s="51">
        <v>44621</v>
      </c>
      <c r="E69" s="71"/>
      <c r="F69" s="55"/>
      <c r="G69" s="55"/>
      <c r="H69" s="47"/>
    </row>
    <row r="70" spans="1:8" s="11" customFormat="1" ht="15" customHeight="1" x14ac:dyDescent="0.25">
      <c r="A70" s="77" t="s">
        <v>1094</v>
      </c>
      <c r="B70" s="66">
        <v>-34235</v>
      </c>
      <c r="C70" s="31">
        <v>44608</v>
      </c>
      <c r="D70" s="51">
        <v>44622</v>
      </c>
      <c r="E70" s="71"/>
      <c r="F70" s="55"/>
      <c r="G70" s="55"/>
      <c r="H70" s="47"/>
    </row>
    <row r="71" spans="1:8" s="11" customFormat="1" ht="15" customHeight="1" x14ac:dyDescent="0.25">
      <c r="A71" s="77" t="s">
        <v>1059</v>
      </c>
      <c r="B71" s="66">
        <v>-34587</v>
      </c>
      <c r="C71" s="31">
        <v>44608</v>
      </c>
      <c r="D71" s="13" t="s">
        <v>1089</v>
      </c>
      <c r="E71" s="71"/>
      <c r="F71" s="55"/>
      <c r="G71" s="55"/>
      <c r="H71" s="47"/>
    </row>
    <row r="72" spans="1:8" s="11" customFormat="1" ht="15" customHeight="1" x14ac:dyDescent="0.25">
      <c r="A72" s="77" t="s">
        <v>1060</v>
      </c>
      <c r="B72" s="66">
        <v>-34607</v>
      </c>
      <c r="C72" s="31">
        <v>44608</v>
      </c>
      <c r="D72" s="51">
        <v>44645</v>
      </c>
      <c r="E72" s="71"/>
      <c r="F72" s="55"/>
      <c r="G72" s="55"/>
      <c r="H72" s="47"/>
    </row>
    <row r="73" spans="1:8" s="11" customFormat="1" ht="15" customHeight="1" x14ac:dyDescent="0.25">
      <c r="A73" s="77" t="s">
        <v>1061</v>
      </c>
      <c r="B73" s="66">
        <v>-34665</v>
      </c>
      <c r="C73" s="31">
        <v>44608</v>
      </c>
      <c r="D73" s="51">
        <v>44650</v>
      </c>
      <c r="E73" s="71"/>
      <c r="F73" s="55"/>
      <c r="G73" s="55"/>
      <c r="H73" s="47"/>
    </row>
    <row r="74" spans="1:8" s="11" customFormat="1" ht="15" customHeight="1" x14ac:dyDescent="0.25">
      <c r="A74" s="77" t="s">
        <v>1062</v>
      </c>
      <c r="B74" s="66">
        <v>-34732</v>
      </c>
      <c r="C74" s="31">
        <v>44608</v>
      </c>
      <c r="D74" s="51">
        <v>44631</v>
      </c>
      <c r="E74" s="71"/>
      <c r="F74" s="55"/>
      <c r="G74" s="55"/>
      <c r="H74" s="47"/>
    </row>
    <row r="75" spans="1:8" s="11" customFormat="1" ht="15" customHeight="1" x14ac:dyDescent="0.25">
      <c r="A75" s="77" t="s">
        <v>1063</v>
      </c>
      <c r="B75" s="66">
        <v>-35201</v>
      </c>
      <c r="C75" s="31">
        <v>44608</v>
      </c>
      <c r="D75" s="51">
        <v>44638</v>
      </c>
      <c r="E75" s="71"/>
      <c r="F75" s="55"/>
      <c r="G75" s="55"/>
      <c r="H75" s="47"/>
    </row>
    <row r="76" spans="1:8" s="11" customFormat="1" ht="15" customHeight="1" x14ac:dyDescent="0.25">
      <c r="A76" s="77" t="s">
        <v>1064</v>
      </c>
      <c r="B76" s="66">
        <v>-35253</v>
      </c>
      <c r="C76" s="31">
        <v>44608</v>
      </c>
      <c r="D76" s="51">
        <v>44631</v>
      </c>
      <c r="E76" s="71"/>
      <c r="F76" s="55"/>
      <c r="G76" s="55"/>
      <c r="H76" s="47"/>
    </row>
    <row r="77" spans="1:8" s="11" customFormat="1" ht="15" customHeight="1" x14ac:dyDescent="0.25">
      <c r="A77" s="77" t="s">
        <v>1065</v>
      </c>
      <c r="B77" s="66">
        <v>-35373</v>
      </c>
      <c r="C77" s="31">
        <v>44608</v>
      </c>
      <c r="D77" s="51">
        <v>44628</v>
      </c>
      <c r="E77" s="71"/>
      <c r="F77" s="55"/>
      <c r="G77" s="55"/>
      <c r="H77" s="47"/>
    </row>
    <row r="78" spans="1:8" s="11" customFormat="1" ht="15" customHeight="1" x14ac:dyDescent="0.25">
      <c r="A78" s="77" t="s">
        <v>1066</v>
      </c>
      <c r="B78" s="66">
        <v>-37197</v>
      </c>
      <c r="C78" s="31">
        <v>44608</v>
      </c>
      <c r="D78" s="51">
        <v>44649</v>
      </c>
      <c r="E78" s="71"/>
      <c r="F78" s="55"/>
      <c r="G78" s="55"/>
      <c r="H78" s="47"/>
    </row>
    <row r="79" spans="1:8" s="11" customFormat="1" ht="15" customHeight="1" x14ac:dyDescent="0.25">
      <c r="A79" s="77" t="s">
        <v>1067</v>
      </c>
      <c r="B79" s="66">
        <v>-37666</v>
      </c>
      <c r="C79" s="31">
        <v>44609</v>
      </c>
      <c r="D79" s="13" t="s">
        <v>1089</v>
      </c>
      <c r="E79" s="71"/>
      <c r="F79" s="55"/>
      <c r="G79" s="55"/>
      <c r="H79" s="47"/>
    </row>
    <row r="80" spans="1:8" s="11" customFormat="1" ht="15" customHeight="1" x14ac:dyDescent="0.25">
      <c r="A80" s="77" t="s">
        <v>1068</v>
      </c>
      <c r="B80" s="66">
        <v>-37811</v>
      </c>
      <c r="C80" s="31">
        <v>44620</v>
      </c>
      <c r="D80" s="83" t="s">
        <v>1093</v>
      </c>
      <c r="E80" s="72"/>
      <c r="F80" s="47"/>
      <c r="G80" s="55"/>
      <c r="H80" s="47"/>
    </row>
    <row r="81" spans="1:8" s="11" customFormat="1" ht="15" customHeight="1" x14ac:dyDescent="0.25">
      <c r="A81" s="77" t="s">
        <v>1069</v>
      </c>
      <c r="B81" s="66">
        <v>-38506</v>
      </c>
      <c r="C81" s="31">
        <v>44608</v>
      </c>
      <c r="D81" s="78">
        <v>44631</v>
      </c>
      <c r="E81" s="72"/>
      <c r="F81" s="47"/>
      <c r="G81" s="55"/>
      <c r="H81" s="47"/>
    </row>
    <row r="82" spans="1:8" s="11" customFormat="1" ht="15" customHeight="1" x14ac:dyDescent="0.25">
      <c r="A82" s="77" t="s">
        <v>1070</v>
      </c>
      <c r="B82" s="66">
        <v>-38763</v>
      </c>
      <c r="C82" s="31">
        <v>44609</v>
      </c>
      <c r="D82" s="51">
        <v>44621</v>
      </c>
      <c r="E82" s="73"/>
      <c r="F82" s="69"/>
      <c r="G82" s="55"/>
      <c r="H82" s="47"/>
    </row>
    <row r="83" spans="1:8" s="11" customFormat="1" ht="15" customHeight="1" x14ac:dyDescent="0.25">
      <c r="A83" s="77" t="s">
        <v>1071</v>
      </c>
      <c r="B83" s="66">
        <v>-39000</v>
      </c>
      <c r="C83" s="31">
        <v>44608</v>
      </c>
      <c r="D83" s="51">
        <v>44625</v>
      </c>
      <c r="E83" s="73"/>
      <c r="F83" s="69"/>
      <c r="G83" s="55"/>
      <c r="H83" s="47"/>
    </row>
    <row r="84" spans="1:8" s="11" customFormat="1" ht="15" customHeight="1" x14ac:dyDescent="0.25">
      <c r="A84" s="77" t="s">
        <v>1072</v>
      </c>
      <c r="B84" s="66">
        <v>-39380</v>
      </c>
      <c r="C84" s="31">
        <v>44608</v>
      </c>
      <c r="D84" s="51">
        <v>44630</v>
      </c>
      <c r="E84" s="73"/>
      <c r="F84" s="69"/>
      <c r="G84" s="55"/>
      <c r="H84" s="47"/>
    </row>
    <row r="85" spans="1:8" s="11" customFormat="1" ht="15" customHeight="1" x14ac:dyDescent="0.25">
      <c r="A85" s="77" t="s">
        <v>1073</v>
      </c>
      <c r="B85" s="66">
        <v>-40636</v>
      </c>
      <c r="C85" s="31">
        <v>44609</v>
      </c>
      <c r="D85" s="51">
        <v>44631</v>
      </c>
      <c r="E85" s="73"/>
      <c r="F85" s="69"/>
      <c r="G85" s="55"/>
      <c r="H85" s="47"/>
    </row>
    <row r="86" spans="1:8" s="11" customFormat="1" ht="15" customHeight="1" x14ac:dyDescent="0.25">
      <c r="A86" s="77" t="s">
        <v>1074</v>
      </c>
      <c r="B86" s="66">
        <v>-40796</v>
      </c>
      <c r="C86" s="31">
        <v>44609</v>
      </c>
      <c r="D86" s="13" t="s">
        <v>1095</v>
      </c>
      <c r="E86" s="73"/>
      <c r="F86" s="69"/>
      <c r="G86" s="55"/>
      <c r="H86" s="47"/>
    </row>
    <row r="87" spans="1:8" s="11" customFormat="1" ht="15" customHeight="1" x14ac:dyDescent="0.25">
      <c r="A87" s="77" t="s">
        <v>1075</v>
      </c>
      <c r="B87" s="66">
        <v>-40956</v>
      </c>
      <c r="C87" s="31">
        <v>44609</v>
      </c>
      <c r="D87" s="51">
        <v>44630</v>
      </c>
      <c r="E87" s="73"/>
      <c r="F87" s="69"/>
      <c r="G87" s="55"/>
      <c r="H87" s="47"/>
    </row>
    <row r="88" spans="1:8" s="11" customFormat="1" ht="15" customHeight="1" x14ac:dyDescent="0.25">
      <c r="A88" s="77" t="s">
        <v>1077</v>
      </c>
      <c r="B88" s="66">
        <v>-40956</v>
      </c>
      <c r="C88" s="31">
        <v>44609</v>
      </c>
      <c r="D88" s="51">
        <v>44631</v>
      </c>
      <c r="E88" s="73"/>
      <c r="F88" s="69"/>
      <c r="G88" s="55"/>
      <c r="H88" s="47"/>
    </row>
    <row r="89" spans="1:8" s="11" customFormat="1" ht="15" customHeight="1" x14ac:dyDescent="0.25">
      <c r="A89" s="77" t="s">
        <v>1076</v>
      </c>
      <c r="B89" s="66">
        <v>-42451</v>
      </c>
      <c r="C89" s="31">
        <v>44609</v>
      </c>
      <c r="D89" s="51">
        <v>44621</v>
      </c>
      <c r="E89" s="73"/>
      <c r="F89" s="69"/>
      <c r="G89" s="55"/>
      <c r="H89" s="47"/>
    </row>
    <row r="90" spans="1:8" s="11" customFormat="1" ht="15" customHeight="1" x14ac:dyDescent="0.25">
      <c r="A90" s="77" t="s">
        <v>1078</v>
      </c>
      <c r="B90" s="66">
        <v>-42611</v>
      </c>
      <c r="C90" s="31">
        <v>44609</v>
      </c>
      <c r="D90" s="13" t="s">
        <v>1089</v>
      </c>
      <c r="E90" s="73"/>
      <c r="F90" s="69"/>
      <c r="G90" s="55"/>
      <c r="H90" s="47"/>
    </row>
    <row r="91" spans="1:8" s="11" customFormat="1" ht="15" customHeight="1" x14ac:dyDescent="0.25">
      <c r="A91" s="77" t="s">
        <v>1079</v>
      </c>
      <c r="B91" s="66">
        <v>-43071</v>
      </c>
      <c r="C91" s="31">
        <v>44609</v>
      </c>
      <c r="D91" s="13" t="s">
        <v>1096</v>
      </c>
      <c r="E91" s="73"/>
      <c r="F91" s="69"/>
      <c r="G91" s="55"/>
      <c r="H91" s="47"/>
    </row>
    <row r="92" spans="1:8" s="11" customFormat="1" ht="15" customHeight="1" x14ac:dyDescent="0.25">
      <c r="A92" s="77" t="s">
        <v>1080</v>
      </c>
      <c r="B92" s="66">
        <v>-43231</v>
      </c>
      <c r="C92" s="31">
        <v>44609</v>
      </c>
      <c r="D92" s="51">
        <v>44622</v>
      </c>
      <c r="E92" s="73"/>
      <c r="F92" s="69"/>
      <c r="G92" s="55"/>
      <c r="H92" s="47"/>
    </row>
    <row r="93" spans="1:8" s="11" customFormat="1" ht="15" customHeight="1" x14ac:dyDescent="0.25">
      <c r="A93" s="77" t="s">
        <v>1081</v>
      </c>
      <c r="B93" s="66">
        <v>-43382</v>
      </c>
      <c r="C93" s="31">
        <v>44609</v>
      </c>
      <c r="D93" s="13" t="s">
        <v>1097</v>
      </c>
      <c r="E93" s="73"/>
      <c r="F93" s="69"/>
      <c r="G93" s="55"/>
      <c r="H93" s="47"/>
    </row>
    <row r="94" spans="1:8" s="11" customFormat="1" ht="15" customHeight="1" x14ac:dyDescent="0.25">
      <c r="A94" s="77" t="s">
        <v>1082</v>
      </c>
      <c r="B94" s="66">
        <v>-43702</v>
      </c>
      <c r="C94" s="31">
        <v>44609</v>
      </c>
      <c r="D94" s="51">
        <v>44630</v>
      </c>
      <c r="E94" s="73"/>
      <c r="F94" s="69"/>
      <c r="G94" s="55"/>
      <c r="H94" s="47"/>
    </row>
    <row r="95" spans="1:8" s="11" customFormat="1" ht="15" customHeight="1" x14ac:dyDescent="0.25">
      <c r="A95" s="77" t="s">
        <v>1083</v>
      </c>
      <c r="B95" s="66">
        <v>-43942</v>
      </c>
      <c r="C95" s="31">
        <v>44609</v>
      </c>
      <c r="D95" s="51">
        <v>44621</v>
      </c>
      <c r="E95" s="73"/>
      <c r="F95" s="69"/>
      <c r="G95" s="55"/>
      <c r="H95" s="47"/>
    </row>
    <row r="96" spans="1:8" s="11" customFormat="1" ht="15" customHeight="1" x14ac:dyDescent="0.25">
      <c r="A96" s="77" t="s">
        <v>1084</v>
      </c>
      <c r="B96" s="66">
        <v>-43942</v>
      </c>
      <c r="C96" s="31">
        <v>44609</v>
      </c>
      <c r="D96" s="51">
        <v>44638</v>
      </c>
      <c r="E96" s="73"/>
      <c r="F96" s="69"/>
      <c r="G96" s="55"/>
      <c r="H96" s="47"/>
    </row>
    <row r="97" spans="1:8" s="11" customFormat="1" ht="15" customHeight="1" x14ac:dyDescent="0.25">
      <c r="A97" s="77" t="s">
        <v>1085</v>
      </c>
      <c r="B97" s="66">
        <v>-44054</v>
      </c>
      <c r="C97" s="31">
        <v>44609</v>
      </c>
      <c r="D97" s="13" t="s">
        <v>1092</v>
      </c>
      <c r="E97" s="73"/>
      <c r="F97" s="69"/>
      <c r="G97" s="55"/>
      <c r="H97" s="47"/>
    </row>
    <row r="98" spans="1:8" s="11" customFormat="1" ht="15" customHeight="1" x14ac:dyDescent="0.25">
      <c r="A98" s="77" t="s">
        <v>1086</v>
      </c>
      <c r="B98" s="66">
        <v>-47063</v>
      </c>
      <c r="C98" s="31">
        <v>44609</v>
      </c>
      <c r="D98" s="51">
        <v>44642</v>
      </c>
      <c r="E98" s="71"/>
      <c r="F98" s="55"/>
      <c r="G98" s="55"/>
      <c r="H98" s="47"/>
    </row>
    <row r="99" spans="1:8" s="11" customFormat="1" ht="15" customHeight="1" x14ac:dyDescent="0.25">
      <c r="A99" s="77" t="s">
        <v>1087</v>
      </c>
      <c r="B99" s="66">
        <v>-47135</v>
      </c>
      <c r="C99" s="31">
        <v>44609</v>
      </c>
      <c r="D99" s="51">
        <v>44628</v>
      </c>
      <c r="E99" s="71"/>
      <c r="F99" s="55"/>
      <c r="G99" s="55"/>
      <c r="H99" s="47"/>
    </row>
    <row r="100" spans="1:8" s="11" customFormat="1" ht="15" customHeight="1" x14ac:dyDescent="0.25">
      <c r="A100" s="77" t="s">
        <v>1088</v>
      </c>
      <c r="B100" s="66">
        <v>-47235</v>
      </c>
      <c r="C100" s="31">
        <v>44609</v>
      </c>
      <c r="D100" s="13" t="s">
        <v>1092</v>
      </c>
      <c r="E100" s="71"/>
      <c r="F100" s="55"/>
      <c r="G100" s="55"/>
      <c r="H100" s="47"/>
    </row>
    <row r="101" spans="1:8" s="11" customFormat="1" ht="15" customHeight="1" x14ac:dyDescent="0.25">
      <c r="A101" s="77" t="s">
        <v>988</v>
      </c>
      <c r="B101" s="25">
        <v>-49338</v>
      </c>
      <c r="C101" s="32">
        <v>44579</v>
      </c>
      <c r="D101" s="53">
        <v>44635</v>
      </c>
      <c r="E101" s="71"/>
      <c r="F101" s="55"/>
      <c r="G101" s="55"/>
      <c r="H101" s="47"/>
    </row>
    <row r="102" spans="1:8" s="62" customFormat="1" ht="15" customHeight="1" x14ac:dyDescent="0.25">
      <c r="A102" s="60"/>
      <c r="B102" s="79"/>
      <c r="C102" s="67"/>
      <c r="D102" s="53"/>
      <c r="E102" s="74"/>
      <c r="F102" s="54"/>
      <c r="G102" s="54"/>
      <c r="H102" s="47"/>
    </row>
    <row r="103" spans="1:8" s="11" customFormat="1" ht="15.95" customHeight="1" x14ac:dyDescent="0.25">
      <c r="B103" s="25">
        <f>SUM(B9:B102)</f>
        <v>-3143713</v>
      </c>
      <c r="C103" s="18"/>
      <c r="D103" s="18"/>
      <c r="E103" s="75"/>
      <c r="F103" s="19"/>
      <c r="G103" s="19"/>
    </row>
    <row r="104" spans="1:8" s="11" customFormat="1" ht="15.95" customHeight="1" x14ac:dyDescent="0.25">
      <c r="A104" s="11" t="s">
        <v>2</v>
      </c>
      <c r="B104" s="25"/>
      <c r="C104" s="30" t="s">
        <v>702</v>
      </c>
      <c r="D104" s="81" t="s">
        <v>628</v>
      </c>
      <c r="E104" s="70"/>
    </row>
    <row r="105" spans="1:8" s="11" customFormat="1" ht="15.95" customHeight="1" x14ac:dyDescent="0.25">
      <c r="B105" s="25"/>
      <c r="C105" s="13"/>
      <c r="D105" s="78"/>
      <c r="E105" s="70"/>
    </row>
    <row r="106" spans="1:8" s="11" customFormat="1" ht="14.1" customHeight="1" x14ac:dyDescent="0.25">
      <c r="B106" s="66"/>
      <c r="C106" s="32"/>
      <c r="D106" s="59"/>
      <c r="E106" s="75"/>
      <c r="F106" s="39"/>
    </row>
    <row r="107" spans="1:8" s="11" customFormat="1" ht="14.1" customHeight="1" x14ac:dyDescent="0.25">
      <c r="A107" s="39"/>
      <c r="B107" s="46"/>
      <c r="C107" s="32"/>
      <c r="D107" s="59"/>
      <c r="E107" s="75"/>
      <c r="F107" s="39"/>
    </row>
    <row r="108" spans="1:8" s="11" customFormat="1" ht="14.1" customHeight="1" x14ac:dyDescent="0.25">
      <c r="A108" s="39"/>
      <c r="B108" s="46"/>
      <c r="C108" s="42"/>
      <c r="D108" s="43"/>
      <c r="E108" s="75"/>
      <c r="F108" s="39"/>
    </row>
    <row r="109" spans="1:8" s="11" customFormat="1" ht="15.95" customHeight="1" x14ac:dyDescent="0.25">
      <c r="B109" s="25">
        <f>SUM(B105:B108)</f>
        <v>0</v>
      </c>
      <c r="C109" s="13"/>
      <c r="D109" s="51"/>
      <c r="E109" s="70"/>
    </row>
    <row r="110" spans="1:8" s="11" customFormat="1" ht="15.95" customHeight="1" x14ac:dyDescent="0.25">
      <c r="A110" s="11" t="s">
        <v>1</v>
      </c>
      <c r="B110" s="17">
        <f>B109+B103</f>
        <v>-3143713</v>
      </c>
      <c r="C110" s="13"/>
      <c r="D110" s="51"/>
      <c r="E110" s="70"/>
    </row>
    <row r="111" spans="1:8" s="11" customFormat="1" ht="15.95" customHeight="1" x14ac:dyDescent="0.25">
      <c r="A111" s="11" t="s">
        <v>0</v>
      </c>
      <c r="B111" s="17">
        <f>B110-B7</f>
        <v>0</v>
      </c>
      <c r="C111" s="13"/>
      <c r="D111" s="51"/>
      <c r="E111" s="70"/>
    </row>
    <row r="112" spans="1:8" s="11" customFormat="1" ht="15.95" customHeight="1" x14ac:dyDescent="0.25">
      <c r="B112" s="17"/>
      <c r="C112" s="13"/>
      <c r="D112" s="51"/>
      <c r="E112" s="70"/>
    </row>
    <row r="113" spans="1:9" s="11" customFormat="1" ht="20.100000000000001" customHeight="1" x14ac:dyDescent="0.25">
      <c r="A113" s="213"/>
      <c r="B113" s="221"/>
      <c r="C113" s="207"/>
      <c r="D113" s="207"/>
      <c r="E113" s="70"/>
    </row>
    <row r="114" spans="1:9" s="11" customFormat="1" ht="20.100000000000001" customHeight="1" x14ac:dyDescent="0.25">
      <c r="A114" s="213"/>
      <c r="B114" s="221"/>
      <c r="C114" s="207"/>
      <c r="D114" s="207"/>
      <c r="E114" s="70"/>
    </row>
    <row r="115" spans="1:9" s="11" customFormat="1" ht="20.100000000000001" customHeight="1" x14ac:dyDescent="0.3">
      <c r="A115" s="1"/>
      <c r="B115" s="10"/>
      <c r="C115" s="13"/>
      <c r="D115" s="51"/>
      <c r="E115" s="70"/>
    </row>
    <row r="116" spans="1:9" s="11" customFormat="1" ht="20.100000000000001" customHeight="1" x14ac:dyDescent="0.3">
      <c r="A116" s="1"/>
      <c r="B116" s="10"/>
      <c r="C116" s="13"/>
      <c r="D116" s="51"/>
      <c r="E116" s="70"/>
    </row>
    <row r="117" spans="1:9" s="11" customFormat="1" ht="20.100000000000001" customHeight="1" x14ac:dyDescent="0.3">
      <c r="A117" s="1"/>
      <c r="B117" s="10"/>
      <c r="C117" s="13"/>
      <c r="D117" s="51"/>
      <c r="E117" s="70"/>
    </row>
    <row r="118" spans="1:9" s="13" customFormat="1" ht="20.100000000000001" customHeight="1" x14ac:dyDescent="0.3">
      <c r="A118" s="1"/>
      <c r="B118" s="10"/>
      <c r="D118" s="51"/>
      <c r="E118" s="70"/>
      <c r="F118" s="11"/>
      <c r="G118" s="11"/>
      <c r="H118" s="11"/>
      <c r="I118" s="11"/>
    </row>
    <row r="119" spans="1:9" s="13" customFormat="1" ht="20.100000000000001" customHeight="1" x14ac:dyDescent="0.3">
      <c r="A119" s="1"/>
      <c r="B119" s="10"/>
      <c r="D119" s="51"/>
      <c r="E119" s="70"/>
      <c r="F119" s="11"/>
      <c r="G119" s="11"/>
      <c r="H119" s="11"/>
      <c r="I119" s="11"/>
    </row>
    <row r="120" spans="1:9" s="13" customFormat="1" ht="20.100000000000001" customHeight="1" x14ac:dyDescent="0.3">
      <c r="A120" s="1"/>
      <c r="B120" s="10"/>
      <c r="D120" s="51"/>
      <c r="E120" s="70"/>
      <c r="F120" s="11"/>
      <c r="G120" s="11"/>
      <c r="H120" s="11"/>
      <c r="I120" s="11"/>
    </row>
    <row r="121" spans="1:9" ht="20.100000000000001" customHeight="1" x14ac:dyDescent="0.3"/>
    <row r="122" spans="1:9" ht="20.100000000000001" customHeight="1" x14ac:dyDescent="0.3"/>
    <row r="123" spans="1:9" ht="20.100000000000001" customHeight="1" x14ac:dyDescent="0.3"/>
    <row r="124" spans="1:9" ht="20.100000000000001" customHeight="1" x14ac:dyDescent="0.3"/>
  </sheetData>
  <mergeCells count="4">
    <mergeCell ref="A113:A114"/>
    <mergeCell ref="B113:B114"/>
    <mergeCell ref="C113:C114"/>
    <mergeCell ref="D113:D114"/>
  </mergeCells>
  <pageMargins left="0.7" right="0.7" top="0.75" bottom="0.75" header="0.3" footer="0.3"/>
  <pageSetup scale="72" fitToHeight="0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9D04-0C73-4374-A1D5-BBDFDD594778}">
  <sheetPr>
    <pageSetUpPr fitToPage="1"/>
  </sheetPr>
  <dimension ref="A1:J69"/>
  <sheetViews>
    <sheetView workbookViewId="0">
      <selection activeCell="D33" sqref="D33"/>
    </sheetView>
  </sheetViews>
  <sheetFormatPr defaultRowHeight="18.75" x14ac:dyDescent="0.3"/>
  <cols>
    <col min="1" max="1" width="20.7109375" style="1" customWidth="1"/>
    <col min="2" max="2" width="16.85546875" style="10" customWidth="1"/>
    <col min="3" max="3" width="21.5703125" style="6" customWidth="1"/>
    <col min="4" max="4" width="19.7109375" style="82" customWidth="1"/>
    <col min="5" max="5" width="9.85546875" style="76" bestFit="1" customWidth="1"/>
    <col min="6" max="7" width="9.140625" style="1"/>
    <col min="8" max="8" width="17.7109375" style="1" customWidth="1"/>
    <col min="9" max="16384" width="9.140625" style="1"/>
  </cols>
  <sheetData>
    <row r="1" spans="1:8" s="11" customFormat="1" ht="20.100000000000001" customHeight="1" x14ac:dyDescent="0.25">
      <c r="A1" s="11" t="s">
        <v>304</v>
      </c>
      <c r="B1" s="17"/>
      <c r="C1" s="13"/>
      <c r="D1" s="51"/>
      <c r="E1" s="70"/>
    </row>
    <row r="2" spans="1:8" s="11" customFormat="1" ht="20.100000000000001" customHeight="1" x14ac:dyDescent="0.25">
      <c r="A2" s="14">
        <v>44651</v>
      </c>
      <c r="B2" s="17"/>
      <c r="C2" s="13"/>
      <c r="D2" s="51"/>
      <c r="E2" s="70"/>
    </row>
    <row r="3" spans="1:8" s="11" customFormat="1" ht="20.100000000000001" customHeight="1" x14ac:dyDescent="0.25">
      <c r="A3" s="11" t="s">
        <v>311</v>
      </c>
      <c r="B3" s="17">
        <v>3382848</v>
      </c>
      <c r="C3" s="13"/>
      <c r="D3" s="51"/>
      <c r="E3" s="70"/>
    </row>
    <row r="4" spans="1:8" s="11" customFormat="1" ht="20.100000000000001" customHeight="1" x14ac:dyDescent="0.25">
      <c r="A4" s="11" t="s">
        <v>6</v>
      </c>
      <c r="B4" s="17"/>
      <c r="C4" s="13"/>
      <c r="D4" s="51"/>
      <c r="E4" s="70"/>
    </row>
    <row r="5" spans="1:8" s="11" customFormat="1" ht="20.100000000000001" customHeight="1" x14ac:dyDescent="0.25">
      <c r="A5" s="11">
        <v>2100</v>
      </c>
      <c r="B5" s="17">
        <v>-4543584</v>
      </c>
      <c r="C5" s="13"/>
      <c r="D5" s="51"/>
      <c r="E5" s="70"/>
    </row>
    <row r="6" spans="1:8" s="11" customFormat="1" ht="20.100000000000001" customHeight="1" x14ac:dyDescent="0.25">
      <c r="A6" s="11" t="s">
        <v>5</v>
      </c>
      <c r="B6" s="17">
        <f>SUM(B5)</f>
        <v>-4543584</v>
      </c>
      <c r="C6" s="13"/>
      <c r="D6" s="51"/>
      <c r="E6" s="70"/>
    </row>
    <row r="7" spans="1:8" s="11" customFormat="1" ht="20.100000000000001" customHeight="1" x14ac:dyDescent="0.25">
      <c r="A7" s="11" t="s">
        <v>4</v>
      </c>
      <c r="B7" s="17">
        <f>B6+B3</f>
        <v>-1160736</v>
      </c>
      <c r="C7" s="13"/>
      <c r="D7" s="51"/>
      <c r="E7" s="70"/>
    </row>
    <row r="8" spans="1:8" s="11" customFormat="1" ht="15.95" customHeight="1" x14ac:dyDescent="0.25">
      <c r="A8" s="11" t="s">
        <v>3</v>
      </c>
      <c r="B8" s="17"/>
      <c r="C8" s="44" t="s">
        <v>628</v>
      </c>
      <c r="D8" s="80" t="s">
        <v>626</v>
      </c>
      <c r="E8" s="70"/>
    </row>
    <row r="9" spans="1:8" s="11" customFormat="1" ht="15" customHeight="1" x14ac:dyDescent="0.25">
      <c r="A9" s="77" t="s">
        <v>998</v>
      </c>
      <c r="B9" s="66">
        <v>-22902</v>
      </c>
      <c r="C9" s="31">
        <v>44609</v>
      </c>
      <c r="D9" s="51">
        <v>44655</v>
      </c>
      <c r="E9" s="71"/>
      <c r="F9" s="55"/>
      <c r="G9" s="55"/>
      <c r="H9" s="47"/>
    </row>
    <row r="10" spans="1:8" s="11" customFormat="1" ht="15" customHeight="1" x14ac:dyDescent="0.25">
      <c r="A10" s="77" t="s">
        <v>999</v>
      </c>
      <c r="B10" s="66">
        <v>-26208</v>
      </c>
      <c r="C10" s="31">
        <v>44609</v>
      </c>
      <c r="D10" s="51">
        <v>44655</v>
      </c>
      <c r="E10" s="71"/>
      <c r="F10" s="55"/>
      <c r="G10" s="55"/>
      <c r="H10" s="47"/>
    </row>
    <row r="11" spans="1:8" s="11" customFormat="1" ht="15" customHeight="1" x14ac:dyDescent="0.25">
      <c r="A11" s="77" t="s">
        <v>1000</v>
      </c>
      <c r="B11" s="66">
        <v>-27216</v>
      </c>
      <c r="C11" s="31">
        <v>44609</v>
      </c>
      <c r="D11" s="51">
        <v>44655</v>
      </c>
      <c r="E11" s="71"/>
      <c r="F11" s="55"/>
      <c r="G11" s="55"/>
      <c r="H11" s="47"/>
    </row>
    <row r="12" spans="1:8" s="11" customFormat="1" ht="15" customHeight="1" x14ac:dyDescent="0.25">
      <c r="A12" s="77" t="s">
        <v>1098</v>
      </c>
      <c r="B12" s="66">
        <v>-27272</v>
      </c>
      <c r="C12" s="31">
        <v>44627</v>
      </c>
      <c r="D12" s="13" t="s">
        <v>1124</v>
      </c>
      <c r="E12" s="71"/>
      <c r="F12" s="55"/>
      <c r="G12" s="55"/>
      <c r="H12" s="47"/>
    </row>
    <row r="13" spans="1:8" s="11" customFormat="1" ht="15" customHeight="1" x14ac:dyDescent="0.25">
      <c r="A13" s="77" t="s">
        <v>1099</v>
      </c>
      <c r="B13" s="66">
        <v>-28422</v>
      </c>
      <c r="C13" s="31">
        <v>44627</v>
      </c>
      <c r="D13" s="13" t="s">
        <v>1125</v>
      </c>
      <c r="E13" s="71"/>
      <c r="F13" s="55"/>
      <c r="G13" s="55"/>
      <c r="H13" s="47"/>
    </row>
    <row r="14" spans="1:8" s="11" customFormat="1" ht="15" customHeight="1" x14ac:dyDescent="0.25">
      <c r="A14" s="77" t="s">
        <v>1006</v>
      </c>
      <c r="B14" s="66">
        <v>-28693</v>
      </c>
      <c r="C14" s="31">
        <v>44609</v>
      </c>
      <c r="D14" s="65">
        <v>44655</v>
      </c>
      <c r="E14" s="72"/>
      <c r="F14" s="47"/>
      <c r="G14" s="55"/>
      <c r="H14" s="47"/>
    </row>
    <row r="15" spans="1:8" s="11" customFormat="1" ht="15" customHeight="1" x14ac:dyDescent="0.25">
      <c r="A15" s="77" t="s">
        <v>1100</v>
      </c>
      <c r="B15" s="66">
        <v>-28852</v>
      </c>
      <c r="C15" s="31">
        <v>44627</v>
      </c>
      <c r="D15" s="78">
        <v>44664</v>
      </c>
      <c r="E15" s="72"/>
      <c r="F15" s="47"/>
      <c r="G15" s="55"/>
      <c r="H15" s="47"/>
    </row>
    <row r="16" spans="1:8" s="11" customFormat="1" ht="15" customHeight="1" x14ac:dyDescent="0.25">
      <c r="A16" s="77" t="s">
        <v>1101</v>
      </c>
      <c r="B16" s="66">
        <v>-28852</v>
      </c>
      <c r="C16" s="31">
        <v>44627</v>
      </c>
      <c r="D16" s="51">
        <v>44664</v>
      </c>
      <c r="E16" s="73"/>
      <c r="F16" s="69"/>
      <c r="G16" s="55"/>
      <c r="H16" s="47"/>
    </row>
    <row r="17" spans="1:10" s="11" customFormat="1" ht="15" customHeight="1" x14ac:dyDescent="0.25">
      <c r="A17" s="77" t="s">
        <v>1102</v>
      </c>
      <c r="B17" s="66">
        <v>-29690</v>
      </c>
      <c r="C17" s="31">
        <v>44609</v>
      </c>
      <c r="D17" s="51">
        <v>44655</v>
      </c>
      <c r="E17" s="73"/>
      <c r="F17" s="69"/>
      <c r="G17" s="55"/>
      <c r="H17" s="47"/>
    </row>
    <row r="18" spans="1:10" s="11" customFormat="1" ht="15" customHeight="1" x14ac:dyDescent="0.25">
      <c r="A18" s="77" t="s">
        <v>1018</v>
      </c>
      <c r="B18" s="66">
        <v>-29760</v>
      </c>
      <c r="C18" s="31">
        <v>44608</v>
      </c>
      <c r="D18" s="13">
        <v>44669</v>
      </c>
      <c r="E18" s="73"/>
      <c r="F18" s="69"/>
      <c r="G18" s="55"/>
      <c r="H18" s="47"/>
    </row>
    <row r="19" spans="1:10" s="11" customFormat="1" ht="15" customHeight="1" x14ac:dyDescent="0.25">
      <c r="A19" s="77" t="s">
        <v>1020</v>
      </c>
      <c r="B19" s="66">
        <v>-29820</v>
      </c>
      <c r="C19" s="31">
        <v>44608</v>
      </c>
      <c r="D19" s="51">
        <v>44655</v>
      </c>
      <c r="E19" s="73"/>
      <c r="F19" s="69"/>
      <c r="G19" s="55"/>
      <c r="H19" s="47"/>
    </row>
    <row r="20" spans="1:10" s="11" customFormat="1" ht="15" customHeight="1" x14ac:dyDescent="0.25">
      <c r="A20" s="77" t="s">
        <v>1042</v>
      </c>
      <c r="B20" s="66">
        <v>-30827</v>
      </c>
      <c r="C20" s="31" t="s">
        <v>1122</v>
      </c>
      <c r="D20" s="51"/>
      <c r="E20" s="73"/>
      <c r="F20" s="69"/>
      <c r="G20" s="55"/>
      <c r="H20" s="47"/>
    </row>
    <row r="21" spans="1:10" s="11" customFormat="1" ht="15" customHeight="1" x14ac:dyDescent="0.25">
      <c r="A21" s="77" t="s">
        <v>1043</v>
      </c>
      <c r="B21" s="66">
        <v>-30827</v>
      </c>
      <c r="C21" s="31">
        <v>44608</v>
      </c>
      <c r="D21" s="51">
        <v>44655</v>
      </c>
      <c r="E21" s="73"/>
      <c r="F21" s="69"/>
      <c r="G21" s="55"/>
      <c r="H21" s="47"/>
    </row>
    <row r="22" spans="1:10" s="11" customFormat="1" ht="15" customHeight="1" x14ac:dyDescent="0.25">
      <c r="A22" s="77" t="s">
        <v>1103</v>
      </c>
      <c r="B22" s="66">
        <v>-30827</v>
      </c>
      <c r="C22" s="31">
        <v>44627</v>
      </c>
      <c r="D22" s="51">
        <v>44655</v>
      </c>
      <c r="E22" s="73"/>
      <c r="F22" s="69"/>
      <c r="G22" s="55"/>
      <c r="H22" s="47"/>
    </row>
    <row r="23" spans="1:10" s="11" customFormat="1" ht="15" customHeight="1" x14ac:dyDescent="0.25">
      <c r="A23" s="77" t="s">
        <v>1104</v>
      </c>
      <c r="B23" s="66">
        <v>-30827</v>
      </c>
      <c r="C23" s="31">
        <v>44627</v>
      </c>
      <c r="D23" s="51">
        <v>44655</v>
      </c>
      <c r="E23" s="73"/>
      <c r="F23" s="69"/>
      <c r="G23" s="55"/>
      <c r="H23" s="47"/>
    </row>
    <row r="24" spans="1:10" s="11" customFormat="1" ht="15" customHeight="1" x14ac:dyDescent="0.25">
      <c r="A24" s="77" t="s">
        <v>1105</v>
      </c>
      <c r="B24" s="66">
        <v>-31287</v>
      </c>
      <c r="C24" s="31">
        <v>44627</v>
      </c>
      <c r="D24" s="13" t="s">
        <v>1126</v>
      </c>
      <c r="E24" s="73"/>
      <c r="F24" s="69"/>
      <c r="G24" s="55"/>
      <c r="H24" s="47"/>
    </row>
    <row r="25" spans="1:10" s="11" customFormat="1" ht="15" customHeight="1" x14ac:dyDescent="0.25">
      <c r="A25" s="77" t="s">
        <v>1106</v>
      </c>
      <c r="B25" s="66">
        <v>-31690</v>
      </c>
      <c r="C25" s="31">
        <v>44651</v>
      </c>
      <c r="D25" s="51">
        <v>44652</v>
      </c>
      <c r="E25" s="73"/>
      <c r="F25" s="69"/>
      <c r="G25" s="55"/>
      <c r="H25" s="47"/>
    </row>
    <row r="26" spans="1:10" s="11" customFormat="1" ht="15" customHeight="1" x14ac:dyDescent="0.25">
      <c r="A26" s="77" t="s">
        <v>1107</v>
      </c>
      <c r="B26" s="66">
        <v>-32831</v>
      </c>
      <c r="C26" s="31">
        <v>44627</v>
      </c>
      <c r="D26" s="13">
        <v>44670</v>
      </c>
      <c r="E26" s="73"/>
      <c r="F26" s="69"/>
      <c r="G26" s="55"/>
      <c r="H26" s="47"/>
    </row>
    <row r="27" spans="1:10" s="11" customFormat="1" ht="15" customHeight="1" x14ac:dyDescent="0.25">
      <c r="A27" s="77" t="s">
        <v>1050</v>
      </c>
      <c r="B27" s="66">
        <v>-33051</v>
      </c>
      <c r="C27" s="31">
        <v>44608</v>
      </c>
      <c r="D27" s="51">
        <v>44655</v>
      </c>
      <c r="E27" s="73"/>
      <c r="F27" s="69"/>
      <c r="G27" s="55"/>
      <c r="H27" s="47"/>
    </row>
    <row r="28" spans="1:10" s="11" customFormat="1" ht="15" customHeight="1" x14ac:dyDescent="0.25">
      <c r="A28" s="77" t="s">
        <v>1053</v>
      </c>
      <c r="B28" s="66">
        <v>-33855</v>
      </c>
      <c r="C28" s="31">
        <v>44608</v>
      </c>
      <c r="D28" s="51">
        <v>44655</v>
      </c>
      <c r="E28" s="73"/>
      <c r="F28" s="69"/>
      <c r="G28" s="55"/>
      <c r="H28" s="47"/>
    </row>
    <row r="29" spans="1:10" s="11" customFormat="1" ht="15" customHeight="1" x14ac:dyDescent="0.25">
      <c r="A29" s="77" t="s">
        <v>1108</v>
      </c>
      <c r="B29" s="66">
        <v>-33935</v>
      </c>
      <c r="C29" s="31">
        <v>44627</v>
      </c>
      <c r="D29" s="13" t="s">
        <v>1124</v>
      </c>
      <c r="E29" s="73"/>
      <c r="F29" s="69"/>
      <c r="G29" s="55"/>
      <c r="H29" s="47"/>
      <c r="J29" s="11" t="s">
        <v>1128</v>
      </c>
    </row>
    <row r="30" spans="1:10" s="11" customFormat="1" ht="15" customHeight="1" x14ac:dyDescent="0.25">
      <c r="A30" s="77" t="s">
        <v>1109</v>
      </c>
      <c r="B30" s="66">
        <v>-34035</v>
      </c>
      <c r="C30" s="31">
        <v>44629</v>
      </c>
      <c r="D30" s="51">
        <v>44655</v>
      </c>
      <c r="E30" s="73"/>
      <c r="F30" s="69"/>
      <c r="G30" s="55"/>
      <c r="H30" s="47"/>
    </row>
    <row r="31" spans="1:10" s="11" customFormat="1" ht="15" customHeight="1" x14ac:dyDescent="0.25">
      <c r="A31" s="77" t="s">
        <v>1110</v>
      </c>
      <c r="B31" s="66">
        <v>-34207</v>
      </c>
      <c r="C31" s="31">
        <v>44627</v>
      </c>
      <c r="D31" s="51">
        <v>44664</v>
      </c>
      <c r="E31" s="73"/>
      <c r="F31" s="69"/>
      <c r="G31" s="55"/>
      <c r="H31" s="47"/>
    </row>
    <row r="32" spans="1:10" s="11" customFormat="1" ht="15" customHeight="1" x14ac:dyDescent="0.25">
      <c r="A32" s="77" t="s">
        <v>1111</v>
      </c>
      <c r="B32" s="66">
        <v>-34465</v>
      </c>
      <c r="C32" s="31">
        <v>44627</v>
      </c>
      <c r="D32" s="13">
        <v>44670</v>
      </c>
      <c r="E32" s="73"/>
      <c r="F32" s="69"/>
      <c r="G32" s="55"/>
      <c r="H32" s="47"/>
    </row>
    <row r="33" spans="1:8" s="11" customFormat="1" ht="15" customHeight="1" x14ac:dyDescent="0.25">
      <c r="A33" s="77" t="s">
        <v>1112</v>
      </c>
      <c r="B33" s="66">
        <v>-34565</v>
      </c>
      <c r="C33" s="31">
        <v>44627</v>
      </c>
      <c r="D33" s="51">
        <v>44655</v>
      </c>
      <c r="E33" s="73"/>
      <c r="F33" s="69"/>
      <c r="G33" s="55"/>
      <c r="H33" s="47"/>
    </row>
    <row r="34" spans="1:8" s="11" customFormat="1" ht="15" customHeight="1" x14ac:dyDescent="0.25">
      <c r="A34" s="77" t="s">
        <v>1059</v>
      </c>
      <c r="B34" s="66">
        <v>-34587</v>
      </c>
      <c r="C34" s="31">
        <v>44608</v>
      </c>
      <c r="D34" s="51">
        <v>44655</v>
      </c>
      <c r="E34" s="73"/>
      <c r="F34" s="69"/>
      <c r="G34" s="55"/>
      <c r="H34" s="47"/>
    </row>
    <row r="35" spans="1:8" s="11" customFormat="1" ht="15" customHeight="1" x14ac:dyDescent="0.25">
      <c r="A35" s="77" t="s">
        <v>1113</v>
      </c>
      <c r="B35" s="66">
        <v>-37455</v>
      </c>
      <c r="C35" s="31">
        <v>44651</v>
      </c>
      <c r="D35" s="51">
        <v>44655</v>
      </c>
      <c r="E35" s="73"/>
      <c r="F35" s="69"/>
      <c r="G35" s="55"/>
      <c r="H35" s="47"/>
    </row>
    <row r="36" spans="1:8" s="11" customFormat="1" ht="15" customHeight="1" x14ac:dyDescent="0.25">
      <c r="A36" s="77" t="s">
        <v>1114</v>
      </c>
      <c r="B36" s="66">
        <v>-37455</v>
      </c>
      <c r="C36" s="31">
        <v>44651</v>
      </c>
      <c r="D36" s="51">
        <v>44655</v>
      </c>
      <c r="E36" s="73"/>
      <c r="F36" s="69"/>
      <c r="G36" s="55"/>
      <c r="H36" s="47"/>
    </row>
    <row r="37" spans="1:8" s="11" customFormat="1" ht="15" customHeight="1" x14ac:dyDescent="0.25">
      <c r="A37" s="77" t="s">
        <v>1067</v>
      </c>
      <c r="B37" s="66">
        <v>-37666</v>
      </c>
      <c r="C37" s="31">
        <v>44609</v>
      </c>
      <c r="D37" s="51">
        <v>44655</v>
      </c>
      <c r="E37" s="73"/>
      <c r="F37" s="69"/>
      <c r="G37" s="55"/>
      <c r="H37" s="47"/>
    </row>
    <row r="38" spans="1:8" s="11" customFormat="1" ht="15" customHeight="1" x14ac:dyDescent="0.25">
      <c r="A38" s="77" t="s">
        <v>1068</v>
      </c>
      <c r="B38" s="66">
        <v>-37811</v>
      </c>
      <c r="C38" s="31">
        <v>44620</v>
      </c>
      <c r="D38" s="13" t="s">
        <v>1127</v>
      </c>
      <c r="E38" s="73"/>
      <c r="F38" s="69"/>
      <c r="G38" s="55"/>
      <c r="H38" s="47"/>
    </row>
    <row r="39" spans="1:8" s="11" customFormat="1" ht="15" customHeight="1" x14ac:dyDescent="0.25">
      <c r="A39" s="77" t="s">
        <v>1115</v>
      </c>
      <c r="B39" s="66">
        <v>-42426</v>
      </c>
      <c r="C39" s="31">
        <v>44651</v>
      </c>
      <c r="D39" s="51">
        <v>44655</v>
      </c>
      <c r="E39" s="73"/>
      <c r="F39" s="69"/>
      <c r="G39" s="55"/>
      <c r="H39" s="47"/>
    </row>
    <row r="40" spans="1:8" s="11" customFormat="1" ht="15" customHeight="1" x14ac:dyDescent="0.25">
      <c r="A40" s="77" t="s">
        <v>1078</v>
      </c>
      <c r="B40" s="66">
        <v>-42611</v>
      </c>
      <c r="C40" s="31">
        <v>44609</v>
      </c>
      <c r="D40" s="51">
        <v>44655</v>
      </c>
      <c r="E40" s="73"/>
      <c r="F40" s="69"/>
      <c r="G40" s="55"/>
      <c r="H40" s="47"/>
    </row>
    <row r="41" spans="1:8" s="11" customFormat="1" ht="15" customHeight="1" x14ac:dyDescent="0.25">
      <c r="A41" s="77" t="s">
        <v>1116</v>
      </c>
      <c r="B41" s="66">
        <v>-46843</v>
      </c>
      <c r="C41" s="32" t="s">
        <v>1123</v>
      </c>
      <c r="D41" s="51"/>
      <c r="E41" s="73"/>
      <c r="F41" s="69"/>
      <c r="G41" s="55"/>
      <c r="H41" s="47"/>
    </row>
    <row r="42" spans="1:8" s="11" customFormat="1" ht="15" customHeight="1" x14ac:dyDescent="0.25">
      <c r="A42" s="77" t="s">
        <v>1117</v>
      </c>
      <c r="B42" s="66">
        <v>-50306</v>
      </c>
      <c r="C42" s="31">
        <v>44651</v>
      </c>
      <c r="D42" s="51">
        <v>44652</v>
      </c>
      <c r="E42" s="73"/>
      <c r="F42" s="69"/>
      <c r="G42" s="55"/>
      <c r="H42" s="47"/>
    </row>
    <row r="43" spans="1:8" s="11" customFormat="1" ht="15" customHeight="1" x14ac:dyDescent="0.25">
      <c r="A43" s="77" t="s">
        <v>1118</v>
      </c>
      <c r="B43" s="66">
        <v>-52469</v>
      </c>
      <c r="C43" s="31">
        <v>44651</v>
      </c>
      <c r="D43" s="51">
        <v>44652</v>
      </c>
      <c r="E43" s="73"/>
      <c r="F43" s="69"/>
      <c r="G43" s="55"/>
      <c r="H43" s="47"/>
    </row>
    <row r="44" spans="1:8" s="11" customFormat="1" ht="15" customHeight="1" x14ac:dyDescent="0.25">
      <c r="A44" s="77" t="s">
        <v>1119</v>
      </c>
      <c r="B44" s="66">
        <v>-53081</v>
      </c>
      <c r="C44" s="31">
        <v>44651</v>
      </c>
      <c r="D44" s="51">
        <v>44652</v>
      </c>
      <c r="E44" s="73"/>
      <c r="F44" s="69"/>
      <c r="G44" s="55"/>
      <c r="H44" s="47"/>
    </row>
    <row r="45" spans="1:8" s="11" customFormat="1" ht="15" customHeight="1" x14ac:dyDescent="0.25">
      <c r="A45" s="77"/>
      <c r="B45" s="25"/>
      <c r="C45" s="32"/>
      <c r="D45" s="53"/>
      <c r="E45" s="71"/>
      <c r="F45" s="55"/>
      <c r="G45" s="55"/>
      <c r="H45" s="47"/>
    </row>
    <row r="46" spans="1:8" s="62" customFormat="1" ht="15" customHeight="1" x14ac:dyDescent="0.25">
      <c r="A46" s="60"/>
      <c r="B46" s="79"/>
      <c r="C46" s="67"/>
      <c r="D46" s="53"/>
      <c r="E46" s="74"/>
      <c r="F46" s="54"/>
      <c r="G46" s="54"/>
      <c r="H46" s="47"/>
    </row>
    <row r="47" spans="1:8" s="11" customFormat="1" ht="15.95" customHeight="1" x14ac:dyDescent="0.25">
      <c r="B47" s="25">
        <f>SUM(B9:B46)</f>
        <v>-1237626</v>
      </c>
      <c r="C47" s="18"/>
      <c r="D47" s="18"/>
      <c r="E47" s="75"/>
      <c r="F47" s="19"/>
      <c r="G47" s="19"/>
    </row>
    <row r="48" spans="1:8" s="11" customFormat="1" ht="15.95" customHeight="1" x14ac:dyDescent="0.25">
      <c r="A48" s="11" t="s">
        <v>2</v>
      </c>
      <c r="B48" s="25"/>
      <c r="C48" s="30" t="s">
        <v>702</v>
      </c>
      <c r="D48" s="81" t="s">
        <v>628</v>
      </c>
      <c r="E48" s="70"/>
    </row>
    <row r="49" spans="1:9" s="11" customFormat="1" ht="15.95" customHeight="1" x14ac:dyDescent="0.25">
      <c r="A49" s="11" t="s">
        <v>1120</v>
      </c>
      <c r="B49" s="25">
        <v>30667</v>
      </c>
      <c r="C49" s="31" t="s">
        <v>1122</v>
      </c>
      <c r="D49" s="78"/>
      <c r="E49" s="70"/>
    </row>
    <row r="50" spans="1:9" s="11" customFormat="1" ht="14.1" customHeight="1" x14ac:dyDescent="0.25">
      <c r="A50" s="11" t="s">
        <v>1121</v>
      </c>
      <c r="B50" s="66">
        <v>46223</v>
      </c>
      <c r="C50" s="32" t="s">
        <v>1123</v>
      </c>
      <c r="D50" s="59"/>
      <c r="E50" s="75"/>
      <c r="F50" s="39"/>
    </row>
    <row r="51" spans="1:9" s="11" customFormat="1" ht="14.1" customHeight="1" x14ac:dyDescent="0.25">
      <c r="B51" s="66"/>
      <c r="C51" s="32"/>
      <c r="D51" s="59"/>
      <c r="E51" s="75"/>
      <c r="F51" s="39"/>
    </row>
    <row r="52" spans="1:9" s="11" customFormat="1" ht="14.1" customHeight="1" x14ac:dyDescent="0.25">
      <c r="A52" s="39"/>
      <c r="B52" s="46"/>
      <c r="C52" s="32"/>
      <c r="D52" s="59"/>
      <c r="E52" s="75"/>
      <c r="F52" s="39"/>
    </row>
    <row r="53" spans="1:9" s="11" customFormat="1" ht="14.1" customHeight="1" x14ac:dyDescent="0.25">
      <c r="A53" s="39"/>
      <c r="B53" s="46"/>
      <c r="C53" s="42"/>
      <c r="D53" s="43"/>
      <c r="E53" s="75"/>
      <c r="F53" s="39"/>
    </row>
    <row r="54" spans="1:9" s="11" customFormat="1" ht="15.95" customHeight="1" x14ac:dyDescent="0.25">
      <c r="B54" s="25">
        <f>SUM(B49:B53)</f>
        <v>76890</v>
      </c>
      <c r="C54" s="13"/>
      <c r="D54" s="51"/>
      <c r="E54" s="70"/>
    </row>
    <row r="55" spans="1:9" s="11" customFormat="1" ht="15.95" customHeight="1" x14ac:dyDescent="0.25">
      <c r="A55" s="11" t="s">
        <v>1</v>
      </c>
      <c r="B55" s="17">
        <f>B54+B47</f>
        <v>-1160736</v>
      </c>
      <c r="C55" s="13"/>
      <c r="D55" s="51"/>
      <c r="E55" s="70"/>
    </row>
    <row r="56" spans="1:9" s="11" customFormat="1" ht="15.95" customHeight="1" x14ac:dyDescent="0.25">
      <c r="A56" s="11" t="s">
        <v>0</v>
      </c>
      <c r="B56" s="17">
        <f>B55-B7</f>
        <v>0</v>
      </c>
      <c r="C56" s="13"/>
      <c r="D56" s="51"/>
      <c r="E56" s="70"/>
    </row>
    <row r="57" spans="1:9" s="11" customFormat="1" ht="15.95" customHeight="1" x14ac:dyDescent="0.25">
      <c r="B57" s="17"/>
      <c r="C57" s="13"/>
      <c r="D57" s="51"/>
      <c r="E57" s="70"/>
    </row>
    <row r="58" spans="1:9" s="11" customFormat="1" ht="20.100000000000001" customHeight="1" x14ac:dyDescent="0.25">
      <c r="A58" s="213"/>
      <c r="B58" s="221"/>
      <c r="C58" s="207"/>
      <c r="D58" s="207"/>
      <c r="E58" s="70"/>
    </row>
    <row r="59" spans="1:9" s="11" customFormat="1" ht="20.100000000000001" customHeight="1" x14ac:dyDescent="0.25">
      <c r="A59" s="213"/>
      <c r="B59" s="221"/>
      <c r="C59" s="207"/>
      <c r="D59" s="207"/>
      <c r="E59" s="70"/>
    </row>
    <row r="60" spans="1:9" s="11" customFormat="1" ht="20.100000000000001" customHeight="1" x14ac:dyDescent="0.3">
      <c r="A60" s="1"/>
      <c r="B60" s="10"/>
      <c r="C60" s="13"/>
      <c r="D60" s="51"/>
      <c r="E60" s="70"/>
    </row>
    <row r="61" spans="1:9" s="11" customFormat="1" ht="20.100000000000001" customHeight="1" x14ac:dyDescent="0.3">
      <c r="A61" s="1"/>
      <c r="B61" s="10"/>
      <c r="C61" s="13"/>
      <c r="D61" s="51"/>
      <c r="E61" s="70"/>
    </row>
    <row r="62" spans="1:9" s="11" customFormat="1" ht="20.100000000000001" customHeight="1" x14ac:dyDescent="0.3">
      <c r="A62" s="1"/>
      <c r="B62" s="10"/>
      <c r="C62" s="13"/>
      <c r="D62" s="51"/>
      <c r="E62" s="70"/>
    </row>
    <row r="63" spans="1:9" s="13" customFormat="1" ht="20.100000000000001" customHeight="1" x14ac:dyDescent="0.3">
      <c r="A63" s="1"/>
      <c r="B63" s="10"/>
      <c r="D63" s="51"/>
      <c r="E63" s="70"/>
      <c r="F63" s="11"/>
      <c r="G63" s="11"/>
      <c r="H63" s="11"/>
      <c r="I63" s="11"/>
    </row>
    <row r="64" spans="1:9" s="13" customFormat="1" ht="20.100000000000001" customHeight="1" x14ac:dyDescent="0.3">
      <c r="A64" s="1"/>
      <c r="B64" s="10"/>
      <c r="D64" s="51"/>
      <c r="E64" s="70"/>
      <c r="F64" s="11"/>
      <c r="G64" s="11"/>
      <c r="H64" s="11"/>
      <c r="I64" s="11"/>
    </row>
    <row r="65" spans="1:9" s="13" customFormat="1" ht="20.100000000000001" customHeight="1" x14ac:dyDescent="0.3">
      <c r="A65" s="1"/>
      <c r="B65" s="10"/>
      <c r="D65" s="51"/>
      <c r="E65" s="70"/>
      <c r="F65" s="11"/>
      <c r="G65" s="11"/>
      <c r="H65" s="11"/>
      <c r="I65" s="11"/>
    </row>
    <row r="66" spans="1:9" ht="20.100000000000001" customHeight="1" x14ac:dyDescent="0.3"/>
    <row r="67" spans="1:9" ht="20.100000000000001" customHeight="1" x14ac:dyDescent="0.3"/>
    <row r="68" spans="1:9" ht="20.100000000000001" customHeight="1" x14ac:dyDescent="0.3"/>
    <row r="69" spans="1:9" ht="20.100000000000001" customHeight="1" x14ac:dyDescent="0.3"/>
  </sheetData>
  <mergeCells count="4">
    <mergeCell ref="A58:A59"/>
    <mergeCell ref="B58:B59"/>
    <mergeCell ref="C58:C59"/>
    <mergeCell ref="D58:D59"/>
  </mergeCells>
  <pageMargins left="0.7" right="0.7" top="0.75" bottom="0.75" header="0.3" footer="0.3"/>
  <pageSetup scale="72" fitToHeight="0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5A9A2-68B3-410D-A994-B57942833047}">
  <dimension ref="A1:I37"/>
  <sheetViews>
    <sheetView workbookViewId="0">
      <selection activeCell="D11" sqref="D11"/>
    </sheetView>
  </sheetViews>
  <sheetFormatPr defaultRowHeight="18.75" x14ac:dyDescent="0.3"/>
  <cols>
    <col min="1" max="1" width="20.7109375" style="1" customWidth="1"/>
    <col min="2" max="2" width="16.85546875" style="10" customWidth="1"/>
    <col min="3" max="3" width="21.5703125" style="6" customWidth="1"/>
    <col min="4" max="4" width="19.7109375" style="82" customWidth="1"/>
    <col min="5" max="5" width="9.85546875" style="76" bestFit="1" customWidth="1"/>
    <col min="6" max="7" width="9.140625" style="1"/>
    <col min="8" max="8" width="17.7109375" style="1" customWidth="1"/>
    <col min="9" max="16384" width="9.140625" style="1"/>
  </cols>
  <sheetData>
    <row r="1" spans="1:8" s="11" customFormat="1" ht="20.100000000000001" customHeight="1" x14ac:dyDescent="0.25">
      <c r="A1" s="11" t="s">
        <v>304</v>
      </c>
      <c r="B1" s="17"/>
      <c r="C1" s="13"/>
      <c r="D1" s="51"/>
      <c r="E1" s="70"/>
    </row>
    <row r="2" spans="1:8" s="11" customFormat="1" ht="20.100000000000001" customHeight="1" x14ac:dyDescent="0.25">
      <c r="A2" s="14">
        <v>44681</v>
      </c>
      <c r="B2" s="17"/>
      <c r="C2" s="13"/>
      <c r="D2" s="51"/>
      <c r="E2" s="70"/>
    </row>
    <row r="3" spans="1:8" s="11" customFormat="1" ht="20.100000000000001" customHeight="1" x14ac:dyDescent="0.25">
      <c r="A3" s="11" t="s">
        <v>311</v>
      </c>
      <c r="B3" s="17">
        <v>3023439</v>
      </c>
      <c r="C3" s="13"/>
      <c r="D3" s="51"/>
      <c r="E3" s="70"/>
    </row>
    <row r="4" spans="1:8" s="11" customFormat="1" ht="20.100000000000001" customHeight="1" x14ac:dyDescent="0.25">
      <c r="A4" s="11" t="s">
        <v>6</v>
      </c>
      <c r="B4" s="17"/>
      <c r="C4" s="13"/>
      <c r="D4" s="51"/>
      <c r="E4" s="70"/>
    </row>
    <row r="5" spans="1:8" s="11" customFormat="1" ht="20.100000000000001" customHeight="1" x14ac:dyDescent="0.25">
      <c r="A5" s="11">
        <v>2100</v>
      </c>
      <c r="B5" s="17">
        <v>-3186923</v>
      </c>
      <c r="C5" s="13"/>
      <c r="D5" s="51"/>
      <c r="E5" s="70"/>
    </row>
    <row r="6" spans="1:8" s="11" customFormat="1" ht="20.100000000000001" customHeight="1" x14ac:dyDescent="0.25">
      <c r="A6" s="11" t="s">
        <v>5</v>
      </c>
      <c r="B6" s="17">
        <f>SUM(B5)</f>
        <v>-3186923</v>
      </c>
      <c r="C6" s="13"/>
      <c r="D6" s="51"/>
      <c r="E6" s="70"/>
    </row>
    <row r="7" spans="1:8" s="11" customFormat="1" ht="20.100000000000001" customHeight="1" x14ac:dyDescent="0.25">
      <c r="A7" s="11" t="s">
        <v>4</v>
      </c>
      <c r="B7" s="17">
        <f>B6+B3</f>
        <v>-163484</v>
      </c>
      <c r="C7" s="13"/>
      <c r="D7" s="51"/>
      <c r="E7" s="70"/>
    </row>
    <row r="8" spans="1:8" s="11" customFormat="1" ht="15.95" customHeight="1" x14ac:dyDescent="0.25">
      <c r="A8" s="11" t="s">
        <v>3</v>
      </c>
      <c r="B8" s="17"/>
      <c r="C8" s="44" t="s">
        <v>628</v>
      </c>
      <c r="D8" s="80" t="s">
        <v>626</v>
      </c>
      <c r="E8" s="70"/>
    </row>
    <row r="9" spans="1:8" s="11" customFormat="1" ht="15" customHeight="1" x14ac:dyDescent="0.25">
      <c r="A9" s="77" t="s">
        <v>1129</v>
      </c>
      <c r="B9" s="66">
        <v>-17968</v>
      </c>
      <c r="C9" s="31">
        <v>44673</v>
      </c>
      <c r="D9" s="51">
        <v>44692</v>
      </c>
      <c r="E9" s="71"/>
      <c r="F9" s="55"/>
      <c r="G9" s="55"/>
      <c r="H9" s="47"/>
    </row>
    <row r="10" spans="1:8" s="11" customFormat="1" ht="15" customHeight="1" x14ac:dyDescent="0.25">
      <c r="A10" s="77" t="s">
        <v>1130</v>
      </c>
      <c r="B10" s="66">
        <v>-21206</v>
      </c>
      <c r="C10" s="31">
        <v>44673</v>
      </c>
      <c r="D10" s="51">
        <v>44692</v>
      </c>
      <c r="E10" s="71"/>
      <c r="F10" s="55"/>
      <c r="G10" s="55"/>
      <c r="H10" s="47"/>
    </row>
    <row r="11" spans="1:8" s="11" customFormat="1" ht="15" customHeight="1" x14ac:dyDescent="0.25">
      <c r="A11" s="77" t="s">
        <v>1131</v>
      </c>
      <c r="B11" s="66">
        <v>-34858</v>
      </c>
      <c r="C11" s="31">
        <v>44680</v>
      </c>
      <c r="D11" s="13">
        <v>44683</v>
      </c>
      <c r="E11" s="71"/>
      <c r="F11" s="55"/>
      <c r="G11" s="55"/>
      <c r="H11" s="47"/>
    </row>
    <row r="12" spans="1:8" s="11" customFormat="1" ht="15" customHeight="1" x14ac:dyDescent="0.25">
      <c r="A12" s="77" t="s">
        <v>1132</v>
      </c>
      <c r="B12" s="66">
        <v>-42146</v>
      </c>
      <c r="C12" s="31">
        <v>44680</v>
      </c>
      <c r="D12" s="65">
        <v>44683</v>
      </c>
      <c r="E12" s="72"/>
      <c r="F12" s="47"/>
      <c r="G12" s="55"/>
      <c r="H12" s="47"/>
    </row>
    <row r="13" spans="1:8" s="11" customFormat="1" ht="15" customHeight="1" x14ac:dyDescent="0.25">
      <c r="A13" s="77" t="s">
        <v>1133</v>
      </c>
      <c r="B13" s="66">
        <v>-47306</v>
      </c>
      <c r="C13" s="31">
        <v>44680</v>
      </c>
      <c r="D13" s="78">
        <v>44683</v>
      </c>
      <c r="E13" s="72"/>
      <c r="F13" s="47"/>
      <c r="G13" s="55"/>
      <c r="H13" s="47"/>
    </row>
    <row r="14" spans="1:8" s="11" customFormat="1" ht="15" customHeight="1" x14ac:dyDescent="0.25">
      <c r="A14" s="77"/>
      <c r="B14" s="66"/>
      <c r="C14" s="31"/>
      <c r="D14" s="51"/>
      <c r="E14" s="73"/>
      <c r="F14" s="69"/>
      <c r="G14" s="55"/>
      <c r="H14" s="47"/>
    </row>
    <row r="15" spans="1:8" s="11" customFormat="1" ht="15" customHeight="1" x14ac:dyDescent="0.25">
      <c r="A15" s="77"/>
      <c r="B15" s="25"/>
      <c r="C15" s="32"/>
      <c r="D15" s="53"/>
      <c r="E15" s="71"/>
      <c r="F15" s="55"/>
      <c r="G15" s="55"/>
      <c r="H15" s="47"/>
    </row>
    <row r="16" spans="1:8" s="62" customFormat="1" ht="15" customHeight="1" x14ac:dyDescent="0.25">
      <c r="A16" s="60"/>
      <c r="B16" s="79"/>
      <c r="C16" s="67"/>
      <c r="D16" s="53"/>
      <c r="E16" s="74"/>
      <c r="F16" s="54"/>
      <c r="G16" s="54"/>
      <c r="H16" s="47"/>
    </row>
    <row r="17" spans="1:9" s="11" customFormat="1" ht="15.95" customHeight="1" x14ac:dyDescent="0.25">
      <c r="B17" s="25">
        <f>SUM(B9:B16)</f>
        <v>-163484</v>
      </c>
      <c r="C17" s="18"/>
      <c r="D17" s="18"/>
      <c r="E17" s="75"/>
      <c r="F17" s="19"/>
      <c r="G17" s="19"/>
    </row>
    <row r="18" spans="1:9" s="11" customFormat="1" ht="15.95" customHeight="1" x14ac:dyDescent="0.25">
      <c r="A18" s="11" t="s">
        <v>2</v>
      </c>
      <c r="B18" s="25"/>
      <c r="C18" s="30" t="s">
        <v>702</v>
      </c>
      <c r="D18" s="81" t="s">
        <v>628</v>
      </c>
      <c r="E18" s="70"/>
    </row>
    <row r="19" spans="1:9" s="11" customFormat="1" ht="14.1" customHeight="1" x14ac:dyDescent="0.25">
      <c r="B19" s="66"/>
      <c r="C19" s="32"/>
      <c r="D19" s="59"/>
      <c r="E19" s="75"/>
      <c r="F19" s="39"/>
    </row>
    <row r="20" spans="1:9" s="11" customFormat="1" ht="14.1" customHeight="1" x14ac:dyDescent="0.25">
      <c r="A20" s="39"/>
      <c r="B20" s="46"/>
      <c r="C20" s="32"/>
      <c r="D20" s="59"/>
      <c r="E20" s="75"/>
      <c r="F20" s="39"/>
    </row>
    <row r="21" spans="1:9" s="11" customFormat="1" ht="14.1" customHeight="1" x14ac:dyDescent="0.25">
      <c r="A21" s="39"/>
      <c r="B21" s="46"/>
      <c r="C21" s="42"/>
      <c r="D21" s="43"/>
      <c r="E21" s="75"/>
      <c r="F21" s="39"/>
    </row>
    <row r="22" spans="1:9" s="11" customFormat="1" ht="15.95" customHeight="1" x14ac:dyDescent="0.25">
      <c r="B22" s="25">
        <f>SUM(B19:B21)</f>
        <v>0</v>
      </c>
      <c r="C22" s="13"/>
      <c r="D22" s="51"/>
      <c r="E22" s="70"/>
    </row>
    <row r="23" spans="1:9" s="11" customFormat="1" ht="15.95" customHeight="1" x14ac:dyDescent="0.25">
      <c r="A23" s="11" t="s">
        <v>1</v>
      </c>
      <c r="B23" s="17">
        <f>B22+B17</f>
        <v>-163484</v>
      </c>
      <c r="C23" s="13"/>
      <c r="D23" s="51"/>
      <c r="E23" s="70"/>
    </row>
    <row r="24" spans="1:9" s="11" customFormat="1" ht="15.95" customHeight="1" x14ac:dyDescent="0.25">
      <c r="A24" s="11" t="s">
        <v>0</v>
      </c>
      <c r="B24" s="17">
        <f>B23-B7</f>
        <v>0</v>
      </c>
      <c r="C24" s="13"/>
      <c r="D24" s="51"/>
      <c r="E24" s="70"/>
    </row>
    <row r="25" spans="1:9" s="11" customFormat="1" ht="15.95" customHeight="1" x14ac:dyDescent="0.25">
      <c r="B25" s="17"/>
      <c r="C25" s="13"/>
      <c r="D25" s="51"/>
      <c r="E25" s="70"/>
    </row>
    <row r="26" spans="1:9" s="11" customFormat="1" ht="20.100000000000001" customHeight="1" x14ac:dyDescent="0.25">
      <c r="A26" s="213"/>
      <c r="B26" s="221"/>
      <c r="C26" s="207"/>
      <c r="D26" s="207"/>
      <c r="E26" s="70"/>
    </row>
    <row r="27" spans="1:9" s="11" customFormat="1" ht="20.100000000000001" customHeight="1" x14ac:dyDescent="0.25">
      <c r="A27" s="213"/>
      <c r="B27" s="221"/>
      <c r="C27" s="207"/>
      <c r="D27" s="207"/>
      <c r="E27" s="70"/>
    </row>
    <row r="28" spans="1:9" s="11" customFormat="1" ht="20.100000000000001" customHeight="1" x14ac:dyDescent="0.3">
      <c r="A28" s="1"/>
      <c r="B28" s="10"/>
      <c r="C28" s="13"/>
      <c r="D28" s="51"/>
      <c r="E28" s="70"/>
    </row>
    <row r="29" spans="1:9" s="11" customFormat="1" ht="20.100000000000001" customHeight="1" x14ac:dyDescent="0.3">
      <c r="A29" s="1"/>
      <c r="B29" s="10"/>
      <c r="C29" s="13"/>
      <c r="D29" s="51"/>
      <c r="E29" s="70"/>
    </row>
    <row r="30" spans="1:9" s="11" customFormat="1" ht="20.100000000000001" customHeight="1" x14ac:dyDescent="0.3">
      <c r="A30" s="1"/>
      <c r="B30" s="10"/>
      <c r="C30" s="13"/>
      <c r="D30" s="51"/>
      <c r="E30" s="70"/>
    </row>
    <row r="31" spans="1:9" s="13" customFormat="1" ht="20.100000000000001" customHeight="1" x14ac:dyDescent="0.3">
      <c r="A31" s="1"/>
      <c r="B31" s="10"/>
      <c r="D31" s="51"/>
      <c r="E31" s="70"/>
      <c r="F31" s="11"/>
      <c r="G31" s="11"/>
      <c r="H31" s="11"/>
      <c r="I31" s="11"/>
    </row>
    <row r="32" spans="1:9" s="13" customFormat="1" ht="20.100000000000001" customHeight="1" x14ac:dyDescent="0.3">
      <c r="A32" s="1"/>
      <c r="B32" s="10"/>
      <c r="D32" s="51"/>
      <c r="E32" s="70"/>
      <c r="F32" s="11"/>
      <c r="G32" s="11"/>
      <c r="H32" s="11"/>
      <c r="I32" s="11"/>
    </row>
    <row r="33" spans="1:9" s="13" customFormat="1" ht="20.100000000000001" customHeight="1" x14ac:dyDescent="0.3">
      <c r="A33" s="1"/>
      <c r="B33" s="10"/>
      <c r="D33" s="51"/>
      <c r="E33" s="70"/>
      <c r="F33" s="11"/>
      <c r="G33" s="11"/>
      <c r="H33" s="11"/>
      <c r="I33" s="11"/>
    </row>
    <row r="34" spans="1:9" ht="20.100000000000001" customHeight="1" x14ac:dyDescent="0.3"/>
    <row r="35" spans="1:9" ht="20.100000000000001" customHeight="1" x14ac:dyDescent="0.3"/>
    <row r="36" spans="1:9" ht="20.100000000000001" customHeight="1" x14ac:dyDescent="0.3"/>
    <row r="37" spans="1:9" ht="20.100000000000001" customHeight="1" x14ac:dyDescent="0.3"/>
  </sheetData>
  <mergeCells count="4">
    <mergeCell ref="A26:A27"/>
    <mergeCell ref="B26:B27"/>
    <mergeCell ref="C26:C27"/>
    <mergeCell ref="D26:D27"/>
  </mergeCells>
  <pageMargins left="0.7" right="0.7" top="0.75" bottom="0.75" header="0.3" footer="0.3"/>
  <pageSetup fitToHeight="0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07455-1283-4013-9B2D-1A112AE68CFF}">
  <sheetPr>
    <pageSetUpPr fitToPage="1"/>
  </sheetPr>
  <dimension ref="A1:I57"/>
  <sheetViews>
    <sheetView topLeftCell="A7" workbookViewId="0">
      <selection activeCell="F39" sqref="F39"/>
    </sheetView>
  </sheetViews>
  <sheetFormatPr defaultRowHeight="18.75" x14ac:dyDescent="0.3"/>
  <cols>
    <col min="1" max="1" width="20.7109375" style="1" customWidth="1"/>
    <col min="2" max="2" width="16.85546875" style="10" customWidth="1"/>
    <col min="3" max="3" width="24.140625" style="6" bestFit="1" customWidth="1"/>
    <col min="4" max="4" width="19.7109375" style="82" customWidth="1"/>
    <col min="5" max="5" width="9.85546875" style="76" bestFit="1" customWidth="1"/>
    <col min="6" max="7" width="9.140625" style="1"/>
    <col min="8" max="8" width="17.7109375" style="1" customWidth="1"/>
    <col min="9" max="16384" width="9.140625" style="1"/>
  </cols>
  <sheetData>
    <row r="1" spans="1:8" s="11" customFormat="1" ht="20.100000000000001" customHeight="1" x14ac:dyDescent="0.25">
      <c r="A1" s="11" t="s">
        <v>304</v>
      </c>
      <c r="B1" s="17"/>
      <c r="C1" s="13"/>
      <c r="D1" s="51"/>
      <c r="E1" s="70"/>
    </row>
    <row r="2" spans="1:8" s="11" customFormat="1" ht="20.100000000000001" customHeight="1" x14ac:dyDescent="0.25">
      <c r="A2" s="14">
        <v>44712</v>
      </c>
      <c r="B2" s="17"/>
      <c r="C2" s="13"/>
      <c r="D2" s="51"/>
      <c r="E2" s="70"/>
    </row>
    <row r="3" spans="1:8" s="11" customFormat="1" ht="20.100000000000001" customHeight="1" x14ac:dyDescent="0.25">
      <c r="A3" s="11" t="s">
        <v>311</v>
      </c>
      <c r="B3" s="17">
        <v>2918015</v>
      </c>
      <c r="C3" s="13"/>
      <c r="D3" s="51"/>
      <c r="E3" s="70"/>
    </row>
    <row r="4" spans="1:8" s="11" customFormat="1" ht="20.100000000000001" customHeight="1" x14ac:dyDescent="0.25">
      <c r="A4" s="11" t="s">
        <v>6</v>
      </c>
      <c r="B4" s="17"/>
      <c r="C4" s="13"/>
      <c r="D4" s="51"/>
      <c r="E4" s="70"/>
    </row>
    <row r="5" spans="1:8" s="11" customFormat="1" ht="20.100000000000001" customHeight="1" x14ac:dyDescent="0.25">
      <c r="A5" s="11">
        <v>2100</v>
      </c>
      <c r="B5" s="17">
        <v>-3281900</v>
      </c>
      <c r="C5" s="13"/>
      <c r="D5" s="51"/>
      <c r="E5" s="70"/>
    </row>
    <row r="6" spans="1:8" s="11" customFormat="1" ht="20.100000000000001" customHeight="1" x14ac:dyDescent="0.25">
      <c r="A6" s="11" t="s">
        <v>5</v>
      </c>
      <c r="B6" s="17">
        <f>SUM(B5)</f>
        <v>-3281900</v>
      </c>
      <c r="C6" s="13"/>
      <c r="D6" s="51"/>
      <c r="E6" s="70"/>
    </row>
    <row r="7" spans="1:8" s="11" customFormat="1" ht="20.100000000000001" customHeight="1" x14ac:dyDescent="0.25">
      <c r="A7" s="11" t="s">
        <v>4</v>
      </c>
      <c r="B7" s="17">
        <f>B6+B3</f>
        <v>-363885</v>
      </c>
      <c r="C7" s="13"/>
      <c r="D7" s="51"/>
      <c r="E7" s="70"/>
    </row>
    <row r="8" spans="1:8" s="11" customFormat="1" ht="15.95" customHeight="1" x14ac:dyDescent="0.25">
      <c r="A8" s="11" t="s">
        <v>3</v>
      </c>
      <c r="B8" s="17"/>
      <c r="C8" s="44" t="s">
        <v>628</v>
      </c>
      <c r="D8" s="80" t="s">
        <v>626</v>
      </c>
      <c r="E8" s="70"/>
    </row>
    <row r="9" spans="1:8" s="11" customFormat="1" ht="15" customHeight="1" x14ac:dyDescent="0.25">
      <c r="A9" s="77" t="s">
        <v>1134</v>
      </c>
      <c r="B9" s="66">
        <v>34682</v>
      </c>
      <c r="C9" s="31" t="s">
        <v>1153</v>
      </c>
      <c r="D9" s="51" t="s">
        <v>1162</v>
      </c>
      <c r="E9" s="71"/>
      <c r="F9" s="55"/>
      <c r="G9" s="55"/>
      <c r="H9" s="47"/>
    </row>
    <row r="10" spans="1:8" s="11" customFormat="1" ht="15" customHeight="1" x14ac:dyDescent="0.25">
      <c r="A10" s="77" t="s">
        <v>1135</v>
      </c>
      <c r="B10" s="66">
        <v>-22296</v>
      </c>
      <c r="C10" s="31">
        <v>44712</v>
      </c>
      <c r="D10" s="51">
        <v>44713</v>
      </c>
      <c r="E10" s="71"/>
      <c r="F10" s="55"/>
      <c r="G10" s="55"/>
      <c r="H10" s="47"/>
    </row>
    <row r="11" spans="1:8" s="11" customFormat="1" ht="15" customHeight="1" x14ac:dyDescent="0.25">
      <c r="A11" s="77" t="s">
        <v>1136</v>
      </c>
      <c r="B11" s="66">
        <v>-23441</v>
      </c>
      <c r="C11" s="31">
        <v>44712</v>
      </c>
      <c r="D11" s="13">
        <v>44713</v>
      </c>
      <c r="E11" s="71"/>
      <c r="F11" s="55"/>
      <c r="G11" s="55"/>
      <c r="H11" s="47"/>
    </row>
    <row r="12" spans="1:8" s="11" customFormat="1" ht="15" customHeight="1" x14ac:dyDescent="0.25">
      <c r="A12" s="77" t="s">
        <v>1137</v>
      </c>
      <c r="B12" s="66">
        <v>-24410</v>
      </c>
      <c r="C12" s="31">
        <v>44712</v>
      </c>
      <c r="D12" s="13">
        <v>44713</v>
      </c>
      <c r="E12" s="71"/>
      <c r="F12" s="55"/>
      <c r="G12" s="55"/>
      <c r="H12" s="47"/>
    </row>
    <row r="13" spans="1:8" s="11" customFormat="1" ht="15" customHeight="1" x14ac:dyDescent="0.25">
      <c r="A13" s="77" t="s">
        <v>1138</v>
      </c>
      <c r="B13" s="66">
        <v>-26111</v>
      </c>
      <c r="C13" s="31">
        <v>44712</v>
      </c>
      <c r="D13" s="13">
        <v>44713</v>
      </c>
      <c r="E13" s="71"/>
      <c r="F13" s="55"/>
      <c r="G13" s="55"/>
      <c r="H13" s="47"/>
    </row>
    <row r="14" spans="1:8" s="11" customFormat="1" ht="15" customHeight="1" x14ac:dyDescent="0.25">
      <c r="A14" s="77" t="s">
        <v>1139</v>
      </c>
      <c r="B14" s="66">
        <v>-31250</v>
      </c>
      <c r="C14" s="31">
        <v>44712</v>
      </c>
      <c r="D14" s="13">
        <v>44713</v>
      </c>
      <c r="E14" s="71"/>
      <c r="F14" s="55"/>
      <c r="G14" s="55"/>
      <c r="H14" s="47"/>
    </row>
    <row r="15" spans="1:8" s="11" customFormat="1" ht="15" customHeight="1" x14ac:dyDescent="0.25">
      <c r="A15" s="77" t="s">
        <v>1140</v>
      </c>
      <c r="B15" s="66">
        <v>-31250</v>
      </c>
      <c r="C15" s="31">
        <v>44712</v>
      </c>
      <c r="D15" s="13">
        <v>44713</v>
      </c>
      <c r="E15" s="71"/>
      <c r="F15" s="55"/>
      <c r="G15" s="55"/>
      <c r="H15" s="47"/>
    </row>
    <row r="16" spans="1:8" s="11" customFormat="1" ht="15" customHeight="1" x14ac:dyDescent="0.25">
      <c r="A16" s="77" t="s">
        <v>1141</v>
      </c>
      <c r="B16" s="66">
        <v>-31250</v>
      </c>
      <c r="C16" s="31">
        <v>44712</v>
      </c>
      <c r="D16" s="65">
        <v>44713</v>
      </c>
      <c r="E16" s="72"/>
      <c r="F16" s="47"/>
      <c r="G16" s="55"/>
      <c r="H16" s="47"/>
    </row>
    <row r="17" spans="1:8" s="11" customFormat="1" ht="15" customHeight="1" x14ac:dyDescent="0.25">
      <c r="A17" s="77" t="s">
        <v>1142</v>
      </c>
      <c r="B17" s="66">
        <v>-31250</v>
      </c>
      <c r="C17" s="31">
        <v>44712</v>
      </c>
      <c r="D17" s="78">
        <v>44713</v>
      </c>
      <c r="E17" s="72"/>
      <c r="F17" s="47"/>
      <c r="G17" s="55"/>
      <c r="H17" s="47"/>
    </row>
    <row r="18" spans="1:8" s="11" customFormat="1" ht="15" customHeight="1" x14ac:dyDescent="0.25">
      <c r="A18" s="77" t="s">
        <v>1143</v>
      </c>
      <c r="B18" s="66">
        <v>-35802</v>
      </c>
      <c r="C18" s="31">
        <v>44712</v>
      </c>
      <c r="D18" s="51">
        <v>44713</v>
      </c>
      <c r="E18" s="72"/>
      <c r="F18" s="47"/>
      <c r="G18" s="55"/>
      <c r="H18" s="47"/>
    </row>
    <row r="19" spans="1:8" s="11" customFormat="1" ht="15" customHeight="1" x14ac:dyDescent="0.25">
      <c r="A19" s="77" t="s">
        <v>1163</v>
      </c>
      <c r="B19" s="66">
        <v>-40076</v>
      </c>
      <c r="C19" s="31">
        <v>44708</v>
      </c>
      <c r="D19" s="51">
        <v>44713</v>
      </c>
      <c r="E19" s="72"/>
      <c r="F19" s="47"/>
      <c r="G19" s="55"/>
      <c r="H19" s="47"/>
    </row>
    <row r="20" spans="1:8" s="11" customFormat="1" ht="15" customHeight="1" x14ac:dyDescent="0.25">
      <c r="A20" s="77" t="s">
        <v>1144</v>
      </c>
      <c r="B20" s="66">
        <v>-40622</v>
      </c>
      <c r="C20" s="31">
        <v>44708</v>
      </c>
      <c r="D20" s="51">
        <v>44713</v>
      </c>
      <c r="E20" s="72"/>
      <c r="F20" s="47"/>
      <c r="G20" s="55"/>
      <c r="H20" s="47"/>
    </row>
    <row r="21" spans="1:8" s="11" customFormat="1" ht="15" customHeight="1" x14ac:dyDescent="0.25">
      <c r="A21" s="77" t="s">
        <v>1145</v>
      </c>
      <c r="B21" s="66">
        <v>-43442</v>
      </c>
      <c r="C21" s="31">
        <v>44708</v>
      </c>
      <c r="D21" s="51">
        <v>44713</v>
      </c>
      <c r="E21" s="72"/>
      <c r="F21" s="47"/>
      <c r="G21" s="55"/>
      <c r="H21" s="47"/>
    </row>
    <row r="22" spans="1:8" s="11" customFormat="1" ht="15" customHeight="1" x14ac:dyDescent="0.25">
      <c r="A22" s="77" t="s">
        <v>1146</v>
      </c>
      <c r="B22" s="66">
        <v>-45536</v>
      </c>
      <c r="C22" s="31">
        <v>44708</v>
      </c>
      <c r="D22" s="51">
        <v>44713</v>
      </c>
      <c r="E22" s="72"/>
      <c r="F22" s="47"/>
      <c r="G22" s="55"/>
      <c r="H22" s="47"/>
    </row>
    <row r="23" spans="1:8" s="11" customFormat="1" ht="15" customHeight="1" x14ac:dyDescent="0.25">
      <c r="A23" s="77" t="s">
        <v>1164</v>
      </c>
      <c r="B23" s="66">
        <v>-47105</v>
      </c>
      <c r="C23" s="31">
        <v>44712</v>
      </c>
      <c r="D23" s="51">
        <v>44713</v>
      </c>
      <c r="E23" s="72"/>
      <c r="F23" s="47"/>
      <c r="G23" s="55"/>
      <c r="H23" s="47"/>
    </row>
    <row r="24" spans="1:8" s="11" customFormat="1" ht="15" customHeight="1" x14ac:dyDescent="0.25">
      <c r="A24" s="77" t="s">
        <v>1147</v>
      </c>
      <c r="B24" s="66">
        <v>-47855</v>
      </c>
      <c r="C24" s="31">
        <v>44712</v>
      </c>
      <c r="D24" s="51">
        <v>44713</v>
      </c>
      <c r="E24" s="72"/>
      <c r="F24" s="47"/>
      <c r="G24" s="55"/>
      <c r="H24" s="47"/>
    </row>
    <row r="25" spans="1:8" s="11" customFormat="1" ht="15" customHeight="1" x14ac:dyDescent="0.25">
      <c r="A25" s="77" t="s">
        <v>1148</v>
      </c>
      <c r="B25" s="66">
        <v>-47855</v>
      </c>
      <c r="C25" s="31">
        <v>44712</v>
      </c>
      <c r="D25" s="51">
        <v>44713</v>
      </c>
      <c r="E25" s="72"/>
      <c r="F25" s="47"/>
      <c r="G25" s="55"/>
      <c r="H25" s="47"/>
    </row>
    <row r="26" spans="1:8" s="11" customFormat="1" ht="15" customHeight="1" x14ac:dyDescent="0.25">
      <c r="A26" s="77" t="s">
        <v>1149</v>
      </c>
      <c r="B26" s="66">
        <v>-48607</v>
      </c>
      <c r="C26" s="31">
        <v>44712</v>
      </c>
      <c r="D26" s="51">
        <v>44713</v>
      </c>
      <c r="E26" s="72"/>
      <c r="F26" s="47"/>
      <c r="G26" s="55"/>
      <c r="H26" s="47"/>
    </row>
    <row r="27" spans="1:8" s="11" customFormat="1" ht="15" customHeight="1" x14ac:dyDescent="0.25">
      <c r="A27" s="77" t="s">
        <v>1150</v>
      </c>
      <c r="B27" s="66">
        <v>-48607</v>
      </c>
      <c r="C27" s="31">
        <v>44712</v>
      </c>
      <c r="D27" s="51">
        <v>44713</v>
      </c>
      <c r="E27" s="72"/>
      <c r="F27" s="47"/>
      <c r="G27" s="55"/>
      <c r="H27" s="47"/>
    </row>
    <row r="28" spans="1:8" s="11" customFormat="1" ht="15" customHeight="1" x14ac:dyDescent="0.25">
      <c r="A28" s="77" t="s">
        <v>1151</v>
      </c>
      <c r="B28" s="66">
        <v>-55515</v>
      </c>
      <c r="C28" s="31">
        <v>44712</v>
      </c>
      <c r="D28" s="51">
        <v>44713</v>
      </c>
      <c r="E28" s="72"/>
      <c r="F28" s="47"/>
      <c r="G28" s="55"/>
      <c r="H28" s="47"/>
    </row>
    <row r="29" spans="1:8" s="11" customFormat="1" ht="15" customHeight="1" x14ac:dyDescent="0.25">
      <c r="A29" s="77" t="s">
        <v>1152</v>
      </c>
      <c r="B29" s="66">
        <v>-98661</v>
      </c>
      <c r="C29" s="31">
        <v>44712</v>
      </c>
      <c r="D29" s="51">
        <v>44714</v>
      </c>
      <c r="E29" s="73"/>
      <c r="F29" s="69"/>
      <c r="G29" s="55"/>
      <c r="H29" s="47"/>
    </row>
    <row r="30" spans="1:8" s="62" customFormat="1" ht="15" customHeight="1" x14ac:dyDescent="0.25">
      <c r="A30" s="60"/>
      <c r="B30" s="79"/>
      <c r="C30" s="67"/>
      <c r="D30" s="53"/>
      <c r="E30" s="74"/>
      <c r="F30" s="54"/>
      <c r="G30" s="54"/>
      <c r="H30" s="47"/>
    </row>
    <row r="31" spans="1:8" s="11" customFormat="1" ht="15.95" customHeight="1" x14ac:dyDescent="0.25">
      <c r="B31" s="25">
        <f>SUM(B9:B30)</f>
        <v>-786259</v>
      </c>
      <c r="C31" s="18"/>
      <c r="D31" s="18"/>
      <c r="E31" s="75"/>
      <c r="F31" s="19"/>
      <c r="G31" s="19"/>
    </row>
    <row r="32" spans="1:8" s="11" customFormat="1" ht="15.95" customHeight="1" x14ac:dyDescent="0.25">
      <c r="A32" s="11" t="s">
        <v>2</v>
      </c>
      <c r="B32" s="25"/>
      <c r="C32" s="30" t="s">
        <v>634</v>
      </c>
      <c r="D32" s="81" t="s">
        <v>1165</v>
      </c>
      <c r="E32" s="70"/>
    </row>
    <row r="33" spans="1:6" s="11" customFormat="1" ht="15.95" customHeight="1" x14ac:dyDescent="0.25">
      <c r="A33" s="11" t="s">
        <v>1154</v>
      </c>
      <c r="B33" s="25">
        <v>40972</v>
      </c>
      <c r="C33" s="31">
        <v>44714</v>
      </c>
      <c r="D33" s="65" t="s">
        <v>1153</v>
      </c>
      <c r="E33" s="70"/>
    </row>
    <row r="34" spans="1:6" s="11" customFormat="1" ht="15.95" customHeight="1" x14ac:dyDescent="0.25">
      <c r="A34" s="11" t="s">
        <v>1155</v>
      </c>
      <c r="B34" s="25">
        <v>46900</v>
      </c>
      <c r="C34" s="31">
        <v>44714</v>
      </c>
      <c r="D34" s="65" t="s">
        <v>1153</v>
      </c>
      <c r="E34" s="70"/>
    </row>
    <row r="35" spans="1:6" s="11" customFormat="1" ht="15.95" customHeight="1" x14ac:dyDescent="0.25">
      <c r="A35" s="11" t="s">
        <v>1156</v>
      </c>
      <c r="B35" s="25">
        <v>49966</v>
      </c>
      <c r="C35" s="31">
        <v>44715</v>
      </c>
      <c r="D35" s="65" t="s">
        <v>1153</v>
      </c>
      <c r="E35" s="70"/>
    </row>
    <row r="36" spans="1:6" s="11" customFormat="1" ht="15.95" customHeight="1" x14ac:dyDescent="0.25">
      <c r="A36" s="11" t="s">
        <v>1157</v>
      </c>
      <c r="B36" s="25">
        <v>52233</v>
      </c>
      <c r="C36" s="31">
        <v>44715</v>
      </c>
      <c r="D36" s="65" t="s">
        <v>1153</v>
      </c>
      <c r="E36" s="70"/>
    </row>
    <row r="37" spans="1:6" s="11" customFormat="1" ht="15.95" customHeight="1" x14ac:dyDescent="0.25">
      <c r="A37" s="11" t="s">
        <v>1158</v>
      </c>
      <c r="B37" s="25">
        <v>52233</v>
      </c>
      <c r="C37" s="31">
        <v>44715</v>
      </c>
      <c r="D37" s="65" t="s">
        <v>1153</v>
      </c>
      <c r="E37" s="70"/>
    </row>
    <row r="38" spans="1:6" s="11" customFormat="1" ht="15.95" customHeight="1" x14ac:dyDescent="0.25">
      <c r="A38" s="11" t="s">
        <v>1159</v>
      </c>
      <c r="B38" s="25">
        <v>52469</v>
      </c>
      <c r="C38" s="31">
        <v>44714</v>
      </c>
      <c r="D38" s="65" t="s">
        <v>1153</v>
      </c>
      <c r="E38" s="70"/>
    </row>
    <row r="39" spans="1:6" s="11" customFormat="1" ht="15.95" customHeight="1" x14ac:dyDescent="0.25">
      <c r="A39" s="11" t="s">
        <v>1160</v>
      </c>
      <c r="B39" s="25">
        <v>62536</v>
      </c>
      <c r="C39" s="31">
        <v>44714</v>
      </c>
      <c r="D39" s="65" t="s">
        <v>1153</v>
      </c>
      <c r="E39" s="70"/>
    </row>
    <row r="40" spans="1:6" s="11" customFormat="1" ht="15.95" customHeight="1" x14ac:dyDescent="0.25">
      <c r="A40" s="11" t="s">
        <v>1161</v>
      </c>
      <c r="B40" s="25">
        <v>65065</v>
      </c>
      <c r="C40" s="31">
        <v>44714</v>
      </c>
      <c r="D40" s="65" t="s">
        <v>1153</v>
      </c>
      <c r="E40" s="70"/>
    </row>
    <row r="41" spans="1:6" s="11" customFormat="1" ht="14.1" customHeight="1" x14ac:dyDescent="0.25">
      <c r="A41" s="39"/>
      <c r="B41" s="46"/>
      <c r="C41" s="42"/>
      <c r="D41" s="43"/>
      <c r="E41" s="75"/>
      <c r="F41" s="39"/>
    </row>
    <row r="42" spans="1:6" s="11" customFormat="1" ht="15.95" customHeight="1" x14ac:dyDescent="0.25">
      <c r="B42" s="25">
        <f>SUM(B33:B41)</f>
        <v>422374</v>
      </c>
      <c r="C42" s="13"/>
      <c r="D42" s="51"/>
      <c r="E42" s="70"/>
    </row>
    <row r="43" spans="1:6" s="11" customFormat="1" ht="15.95" customHeight="1" x14ac:dyDescent="0.25">
      <c r="A43" s="11" t="s">
        <v>1</v>
      </c>
      <c r="B43" s="17">
        <f>B42+B31</f>
        <v>-363885</v>
      </c>
      <c r="C43" s="13"/>
      <c r="D43" s="51"/>
      <c r="E43" s="70"/>
    </row>
    <row r="44" spans="1:6" s="11" customFormat="1" ht="15.95" customHeight="1" x14ac:dyDescent="0.25">
      <c r="A44" s="11" t="s">
        <v>0</v>
      </c>
      <c r="B44" s="17">
        <f>B43-B7</f>
        <v>0</v>
      </c>
      <c r="C44" s="13"/>
      <c r="D44" s="51"/>
      <c r="E44" s="70"/>
    </row>
    <row r="45" spans="1:6" s="11" customFormat="1" ht="15.95" customHeight="1" x14ac:dyDescent="0.25">
      <c r="B45" s="17"/>
      <c r="C45" s="13"/>
      <c r="D45" s="51"/>
      <c r="E45" s="70"/>
    </row>
    <row r="46" spans="1:6" s="11" customFormat="1" ht="20.100000000000001" customHeight="1" x14ac:dyDescent="0.25">
      <c r="A46" s="213"/>
      <c r="B46" s="221"/>
      <c r="C46" s="207"/>
      <c r="D46" s="207"/>
      <c r="E46" s="70"/>
    </row>
    <row r="47" spans="1:6" s="11" customFormat="1" ht="20.100000000000001" customHeight="1" x14ac:dyDescent="0.25">
      <c r="A47" s="213"/>
      <c r="B47" s="221"/>
      <c r="C47" s="207"/>
      <c r="D47" s="207"/>
      <c r="E47" s="70"/>
    </row>
    <row r="48" spans="1:6" s="11" customFormat="1" ht="20.100000000000001" customHeight="1" x14ac:dyDescent="0.3">
      <c r="A48" s="1"/>
      <c r="B48" s="10"/>
      <c r="C48" s="13"/>
      <c r="D48" s="51"/>
      <c r="E48" s="70"/>
    </row>
    <row r="49" spans="1:9" s="11" customFormat="1" ht="20.100000000000001" customHeight="1" x14ac:dyDescent="0.3">
      <c r="A49" s="1"/>
      <c r="B49" s="10"/>
      <c r="C49" s="13"/>
      <c r="D49" s="51"/>
      <c r="E49" s="70"/>
    </row>
    <row r="50" spans="1:9" s="11" customFormat="1" ht="20.100000000000001" customHeight="1" x14ac:dyDescent="0.3">
      <c r="A50" s="1"/>
      <c r="B50" s="10"/>
      <c r="C50" s="13"/>
      <c r="D50" s="51"/>
      <c r="E50" s="70"/>
    </row>
    <row r="51" spans="1:9" s="13" customFormat="1" ht="20.100000000000001" customHeight="1" x14ac:dyDescent="0.3">
      <c r="A51" s="1"/>
      <c r="B51" s="10"/>
      <c r="D51" s="51"/>
      <c r="E51" s="70"/>
      <c r="F51" s="11"/>
      <c r="G51" s="11"/>
      <c r="H51" s="11"/>
      <c r="I51" s="11"/>
    </row>
    <row r="52" spans="1:9" s="13" customFormat="1" ht="20.100000000000001" customHeight="1" x14ac:dyDescent="0.3">
      <c r="A52" s="1"/>
      <c r="B52" s="10"/>
      <c r="D52" s="51"/>
      <c r="E52" s="70"/>
      <c r="F52" s="11"/>
      <c r="G52" s="11"/>
      <c r="H52" s="11"/>
      <c r="I52" s="11"/>
    </row>
    <row r="53" spans="1:9" s="13" customFormat="1" ht="20.100000000000001" customHeight="1" x14ac:dyDescent="0.3">
      <c r="A53" s="1"/>
      <c r="B53" s="10"/>
      <c r="D53" s="51"/>
      <c r="E53" s="70"/>
      <c r="F53" s="11"/>
      <c r="G53" s="11"/>
      <c r="H53" s="11"/>
      <c r="I53" s="11"/>
    </row>
    <row r="54" spans="1:9" ht="20.100000000000001" customHeight="1" x14ac:dyDescent="0.3"/>
    <row r="55" spans="1:9" ht="20.100000000000001" customHeight="1" x14ac:dyDescent="0.3"/>
    <row r="56" spans="1:9" ht="20.100000000000001" customHeight="1" x14ac:dyDescent="0.3"/>
    <row r="57" spans="1:9" ht="20.100000000000001" customHeight="1" x14ac:dyDescent="0.3"/>
  </sheetData>
  <mergeCells count="4">
    <mergeCell ref="A46:A47"/>
    <mergeCell ref="B46:B47"/>
    <mergeCell ref="C46:C47"/>
    <mergeCell ref="D46:D47"/>
  </mergeCells>
  <phoneticPr fontId="6" type="noConversion"/>
  <pageMargins left="0.7" right="0.7" top="0.75" bottom="0.75" header="0.3" footer="0.3"/>
  <pageSetup scale="99" fitToWidth="0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CA234-006D-472A-AF86-D9D0A014EEB6}">
  <sheetPr>
    <pageSetUpPr fitToPage="1"/>
  </sheetPr>
  <dimension ref="A1:I39"/>
  <sheetViews>
    <sheetView workbookViewId="0">
      <selection activeCell="E4" sqref="E4"/>
    </sheetView>
  </sheetViews>
  <sheetFormatPr defaultRowHeight="18.75" x14ac:dyDescent="0.3"/>
  <cols>
    <col min="1" max="1" width="20.7109375" style="1" customWidth="1"/>
    <col min="2" max="2" width="16.85546875" style="10" customWidth="1"/>
    <col min="3" max="3" width="24.140625" style="6" bestFit="1" customWidth="1"/>
    <col min="4" max="4" width="19.7109375" style="82" customWidth="1"/>
    <col min="5" max="5" width="9.85546875" style="76" bestFit="1" customWidth="1"/>
    <col min="6" max="7" width="9.140625" style="1"/>
    <col min="8" max="8" width="17.7109375" style="1" customWidth="1"/>
    <col min="9" max="16384" width="9.140625" style="1"/>
  </cols>
  <sheetData>
    <row r="1" spans="1:8" s="11" customFormat="1" ht="20.100000000000001" customHeight="1" x14ac:dyDescent="0.25">
      <c r="A1" s="11" t="s">
        <v>304</v>
      </c>
      <c r="B1" s="17"/>
      <c r="C1" s="13"/>
      <c r="D1" s="51"/>
      <c r="E1" s="70"/>
    </row>
    <row r="2" spans="1:8" s="11" customFormat="1" ht="20.100000000000001" customHeight="1" x14ac:dyDescent="0.25">
      <c r="A2" s="14">
        <v>44742</v>
      </c>
      <c r="B2" s="17"/>
      <c r="C2" s="13"/>
      <c r="D2" s="51"/>
      <c r="E2" s="70"/>
    </row>
    <row r="3" spans="1:8" s="11" customFormat="1" ht="20.100000000000001" customHeight="1" x14ac:dyDescent="0.25">
      <c r="A3" s="11" t="s">
        <v>311</v>
      </c>
      <c r="B3" s="17">
        <v>2202092</v>
      </c>
      <c r="C3" s="13"/>
      <c r="D3" s="51"/>
      <c r="E3" s="70"/>
    </row>
    <row r="4" spans="1:8" s="11" customFormat="1" ht="20.100000000000001" customHeight="1" x14ac:dyDescent="0.25">
      <c r="A4" s="11" t="s">
        <v>6</v>
      </c>
      <c r="B4" s="17"/>
      <c r="C4" s="13"/>
      <c r="D4" s="51"/>
      <c r="E4" s="70"/>
    </row>
    <row r="5" spans="1:8" s="11" customFormat="1" ht="20.100000000000001" customHeight="1" x14ac:dyDescent="0.25">
      <c r="A5" s="11">
        <v>2100</v>
      </c>
      <c r="B5" s="17">
        <v>-2667064</v>
      </c>
      <c r="C5" s="13"/>
      <c r="D5" s="51"/>
      <c r="E5" s="70"/>
    </row>
    <row r="6" spans="1:8" s="11" customFormat="1" ht="20.100000000000001" customHeight="1" x14ac:dyDescent="0.25">
      <c r="A6" s="11" t="s">
        <v>5</v>
      </c>
      <c r="B6" s="17">
        <f>SUM(B5)</f>
        <v>-2667064</v>
      </c>
      <c r="C6" s="13"/>
      <c r="D6" s="51"/>
      <c r="E6" s="70"/>
    </row>
    <row r="7" spans="1:8" s="11" customFormat="1" ht="20.100000000000001" customHeight="1" x14ac:dyDescent="0.25">
      <c r="A7" s="11" t="s">
        <v>4</v>
      </c>
      <c r="B7" s="17">
        <f>B6+B3</f>
        <v>-464972</v>
      </c>
      <c r="C7" s="13"/>
      <c r="D7" s="51"/>
      <c r="E7" s="70"/>
    </row>
    <row r="8" spans="1:8" s="11" customFormat="1" ht="15.95" customHeight="1" x14ac:dyDescent="0.25">
      <c r="A8" s="11" t="s">
        <v>3</v>
      </c>
      <c r="B8" s="17"/>
      <c r="C8" s="44" t="s">
        <v>628</v>
      </c>
      <c r="D8" s="80" t="s">
        <v>626</v>
      </c>
      <c r="E8" s="70"/>
    </row>
    <row r="9" spans="1:8" s="11" customFormat="1" ht="15" customHeight="1" x14ac:dyDescent="0.25">
      <c r="A9" s="77" t="s">
        <v>1166</v>
      </c>
      <c r="B9" s="66">
        <v>-40176</v>
      </c>
      <c r="C9" s="31">
        <v>44742</v>
      </c>
      <c r="D9" s="51">
        <v>44747</v>
      </c>
      <c r="E9" s="71"/>
      <c r="F9" s="55"/>
      <c r="G9" s="55"/>
      <c r="H9" s="47"/>
    </row>
    <row r="10" spans="1:8" s="11" customFormat="1" ht="15" customHeight="1" x14ac:dyDescent="0.25">
      <c r="A10" s="77" t="s">
        <v>1167</v>
      </c>
      <c r="B10" s="66">
        <v>-40176</v>
      </c>
      <c r="C10" s="31">
        <v>44742</v>
      </c>
      <c r="D10" s="51">
        <v>44747</v>
      </c>
      <c r="E10" s="71"/>
      <c r="F10" s="55"/>
      <c r="G10" s="55"/>
      <c r="H10" s="47"/>
    </row>
    <row r="11" spans="1:8" s="11" customFormat="1" ht="15" customHeight="1" x14ac:dyDescent="0.25">
      <c r="A11" s="77" t="s">
        <v>1168</v>
      </c>
      <c r="B11" s="66">
        <v>-40176</v>
      </c>
      <c r="C11" s="31">
        <v>44742</v>
      </c>
      <c r="D11" s="13">
        <v>44747</v>
      </c>
      <c r="E11" s="71"/>
      <c r="F11" s="55"/>
      <c r="G11" s="55"/>
      <c r="H11" s="47"/>
    </row>
    <row r="12" spans="1:8" s="11" customFormat="1" ht="15" customHeight="1" x14ac:dyDescent="0.25">
      <c r="A12" s="77" t="s">
        <v>1169</v>
      </c>
      <c r="B12" s="66">
        <v>-40288</v>
      </c>
      <c r="C12" s="31">
        <v>44742</v>
      </c>
      <c r="D12" s="13">
        <v>44747</v>
      </c>
      <c r="E12" s="71"/>
      <c r="F12" s="55"/>
      <c r="G12" s="55"/>
      <c r="H12" s="47"/>
    </row>
    <row r="13" spans="1:8" s="11" customFormat="1" ht="15" customHeight="1" x14ac:dyDescent="0.25">
      <c r="A13" s="77" t="s">
        <v>1170</v>
      </c>
      <c r="B13" s="66">
        <v>-42112</v>
      </c>
      <c r="C13" s="31">
        <v>44742</v>
      </c>
      <c r="D13" s="13">
        <v>44747</v>
      </c>
      <c r="E13" s="71"/>
      <c r="F13" s="55"/>
      <c r="G13" s="55"/>
      <c r="H13" s="47"/>
    </row>
    <row r="14" spans="1:8" s="11" customFormat="1" ht="15" customHeight="1" x14ac:dyDescent="0.25">
      <c r="A14" s="77" t="s">
        <v>1171</v>
      </c>
      <c r="B14" s="66">
        <v>-43628</v>
      </c>
      <c r="C14" s="31">
        <v>44742</v>
      </c>
      <c r="D14" s="13">
        <v>44747</v>
      </c>
      <c r="E14" s="71"/>
      <c r="F14" s="55"/>
      <c r="G14" s="55"/>
      <c r="H14" s="47"/>
    </row>
    <row r="15" spans="1:8" s="11" customFormat="1" ht="15" customHeight="1" x14ac:dyDescent="0.25">
      <c r="A15" s="77" t="s">
        <v>1172</v>
      </c>
      <c r="B15" s="66">
        <v>-46782</v>
      </c>
      <c r="C15" s="31"/>
      <c r="D15" s="65" t="s">
        <v>1176</v>
      </c>
      <c r="E15" s="72"/>
      <c r="F15" s="47"/>
      <c r="G15" s="55"/>
      <c r="H15" s="47"/>
    </row>
    <row r="16" spans="1:8" s="11" customFormat="1" ht="15" customHeight="1" x14ac:dyDescent="0.25">
      <c r="A16" s="77" t="s">
        <v>1173</v>
      </c>
      <c r="B16" s="66">
        <v>-48730</v>
      </c>
      <c r="C16" s="31">
        <v>44742</v>
      </c>
      <c r="D16" s="78">
        <v>44747</v>
      </c>
      <c r="E16" s="72"/>
      <c r="F16" s="47"/>
      <c r="G16" s="55"/>
      <c r="H16" s="47"/>
    </row>
    <row r="17" spans="1:8" s="11" customFormat="1" ht="15" customHeight="1" x14ac:dyDescent="0.25">
      <c r="A17" s="77" t="s">
        <v>1174</v>
      </c>
      <c r="B17" s="66">
        <v>-52706</v>
      </c>
      <c r="C17" s="31">
        <v>44742</v>
      </c>
      <c r="D17" s="51">
        <v>44747</v>
      </c>
      <c r="E17" s="72"/>
      <c r="F17" s="47"/>
      <c r="G17" s="55"/>
      <c r="H17" s="47"/>
    </row>
    <row r="18" spans="1:8" s="11" customFormat="1" ht="15" customHeight="1" x14ac:dyDescent="0.25">
      <c r="A18" s="77" t="s">
        <v>1175</v>
      </c>
      <c r="B18" s="66">
        <v>-70198</v>
      </c>
      <c r="C18" s="31"/>
      <c r="D18" s="51" t="s">
        <v>1176</v>
      </c>
      <c r="E18" s="72"/>
      <c r="F18" s="47"/>
      <c r="G18" s="55"/>
      <c r="H18" s="47"/>
    </row>
    <row r="19" spans="1:8" s="11" customFormat="1" ht="15" customHeight="1" x14ac:dyDescent="0.25">
      <c r="A19" s="77"/>
      <c r="B19" s="66"/>
      <c r="C19" s="31"/>
      <c r="D19" s="51"/>
      <c r="E19" s="72"/>
      <c r="F19" s="47"/>
      <c r="G19" s="55"/>
      <c r="H19" s="47"/>
    </row>
    <row r="20" spans="1:8" s="62" customFormat="1" ht="15" customHeight="1" x14ac:dyDescent="0.25">
      <c r="A20" s="60"/>
      <c r="B20" s="79"/>
      <c r="C20" s="67"/>
      <c r="D20" s="53"/>
      <c r="E20" s="74"/>
      <c r="F20" s="54"/>
      <c r="G20" s="54"/>
      <c r="H20" s="47"/>
    </row>
    <row r="21" spans="1:8" s="11" customFormat="1" ht="15.95" customHeight="1" x14ac:dyDescent="0.25">
      <c r="B21" s="25">
        <f>SUM(B9:B20)</f>
        <v>-464972</v>
      </c>
      <c r="C21" s="18"/>
      <c r="D21" s="18"/>
      <c r="E21" s="75"/>
      <c r="F21" s="19"/>
      <c r="G21" s="19"/>
    </row>
    <row r="22" spans="1:8" s="11" customFormat="1" ht="15.95" customHeight="1" x14ac:dyDescent="0.25">
      <c r="A22" s="11" t="s">
        <v>2</v>
      </c>
      <c r="B22" s="25"/>
      <c r="C22" s="30" t="s">
        <v>634</v>
      </c>
      <c r="D22" s="81" t="s">
        <v>1165</v>
      </c>
      <c r="E22" s="70"/>
    </row>
    <row r="23" spans="1:8" s="11" customFormat="1" ht="14.1" customHeight="1" x14ac:dyDescent="0.25">
      <c r="A23" s="39"/>
      <c r="B23" s="46"/>
      <c r="C23" s="42"/>
      <c r="D23" s="43"/>
      <c r="E23" s="75"/>
      <c r="F23" s="39"/>
    </row>
    <row r="24" spans="1:8" s="11" customFormat="1" ht="15.95" customHeight="1" x14ac:dyDescent="0.25">
      <c r="B24" s="25">
        <f>SUM(B23:B23)</f>
        <v>0</v>
      </c>
      <c r="C24" s="13"/>
      <c r="D24" s="51"/>
      <c r="E24" s="70"/>
    </row>
    <row r="25" spans="1:8" s="11" customFormat="1" ht="15.95" customHeight="1" x14ac:dyDescent="0.25">
      <c r="A25" s="11" t="s">
        <v>1</v>
      </c>
      <c r="B25" s="17">
        <f>B24+B21</f>
        <v>-464972</v>
      </c>
      <c r="C25" s="13"/>
      <c r="D25" s="51"/>
      <c r="E25" s="70"/>
    </row>
    <row r="26" spans="1:8" s="11" customFormat="1" ht="15.95" customHeight="1" x14ac:dyDescent="0.25">
      <c r="A26" s="11" t="s">
        <v>0</v>
      </c>
      <c r="B26" s="17">
        <f>B25-B7</f>
        <v>0</v>
      </c>
      <c r="C26" s="13"/>
      <c r="D26" s="51"/>
      <c r="E26" s="70"/>
    </row>
    <row r="27" spans="1:8" s="11" customFormat="1" ht="15.95" customHeight="1" x14ac:dyDescent="0.25">
      <c r="B27" s="17"/>
      <c r="C27" s="13"/>
      <c r="D27" s="51"/>
      <c r="E27" s="70"/>
    </row>
    <row r="28" spans="1:8" s="11" customFormat="1" ht="20.100000000000001" customHeight="1" x14ac:dyDescent="0.25">
      <c r="A28" s="213"/>
      <c r="B28" s="221"/>
      <c r="C28" s="207"/>
      <c r="D28" s="207"/>
      <c r="E28" s="70"/>
    </row>
    <row r="29" spans="1:8" s="11" customFormat="1" ht="20.100000000000001" customHeight="1" x14ac:dyDescent="0.25">
      <c r="A29" s="213"/>
      <c r="B29" s="221"/>
      <c r="C29" s="207"/>
      <c r="D29" s="207"/>
      <c r="E29" s="70"/>
    </row>
    <row r="30" spans="1:8" s="11" customFormat="1" ht="20.100000000000001" customHeight="1" x14ac:dyDescent="0.3">
      <c r="A30" s="1"/>
      <c r="B30" s="10"/>
      <c r="C30" s="13"/>
      <c r="D30" s="51"/>
      <c r="E30" s="70"/>
    </row>
    <row r="31" spans="1:8" s="11" customFormat="1" ht="20.100000000000001" customHeight="1" x14ac:dyDescent="0.3">
      <c r="A31" s="1"/>
      <c r="B31" s="10"/>
      <c r="C31" s="13"/>
      <c r="D31" s="51"/>
      <c r="E31" s="70"/>
    </row>
    <row r="32" spans="1:8" s="11" customFormat="1" ht="20.100000000000001" customHeight="1" x14ac:dyDescent="0.3">
      <c r="A32" s="1"/>
      <c r="B32" s="10"/>
      <c r="C32" s="13"/>
      <c r="D32" s="51"/>
      <c r="E32" s="70"/>
    </row>
    <row r="33" spans="1:9" s="13" customFormat="1" ht="20.100000000000001" customHeight="1" x14ac:dyDescent="0.3">
      <c r="A33" s="1"/>
      <c r="B33" s="10"/>
      <c r="D33" s="51"/>
      <c r="E33" s="70"/>
      <c r="F33" s="11"/>
      <c r="G33" s="11"/>
      <c r="H33" s="11"/>
      <c r="I33" s="11"/>
    </row>
    <row r="34" spans="1:9" s="13" customFormat="1" ht="20.100000000000001" customHeight="1" x14ac:dyDescent="0.3">
      <c r="A34" s="1"/>
      <c r="B34" s="10"/>
      <c r="D34" s="51"/>
      <c r="E34" s="70"/>
      <c r="F34" s="11"/>
      <c r="G34" s="11"/>
      <c r="H34" s="11"/>
      <c r="I34" s="11"/>
    </row>
    <row r="35" spans="1:9" s="13" customFormat="1" ht="20.100000000000001" customHeight="1" x14ac:dyDescent="0.3">
      <c r="A35" s="1"/>
      <c r="B35" s="10"/>
      <c r="D35" s="51"/>
      <c r="E35" s="70"/>
      <c r="F35" s="11"/>
      <c r="G35" s="11"/>
      <c r="H35" s="11"/>
      <c r="I35" s="11"/>
    </row>
    <row r="36" spans="1:9" ht="20.100000000000001" customHeight="1" x14ac:dyDescent="0.3"/>
    <row r="37" spans="1:9" ht="20.100000000000001" customHeight="1" x14ac:dyDescent="0.3"/>
    <row r="38" spans="1:9" ht="20.100000000000001" customHeight="1" x14ac:dyDescent="0.3"/>
    <row r="39" spans="1:9" ht="20.100000000000001" customHeight="1" x14ac:dyDescent="0.3"/>
  </sheetData>
  <mergeCells count="4">
    <mergeCell ref="A28:A29"/>
    <mergeCell ref="B28:B29"/>
    <mergeCell ref="C28:C29"/>
    <mergeCell ref="D28:D29"/>
  </mergeCells>
  <pageMargins left="0.7" right="0.7" top="0.75" bottom="0.75" header="0.3" footer="0.3"/>
  <pageSetup fitToWidth="0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354CA-000B-4ABF-86AF-4AB67C52B4E6}">
  <sheetPr>
    <pageSetUpPr fitToPage="1"/>
  </sheetPr>
  <dimension ref="A1:I39"/>
  <sheetViews>
    <sheetView workbookViewId="0">
      <selection activeCell="A9" sqref="A9:D16"/>
    </sheetView>
  </sheetViews>
  <sheetFormatPr defaultRowHeight="18.75" x14ac:dyDescent="0.3"/>
  <cols>
    <col min="1" max="1" width="20.7109375" style="1" customWidth="1"/>
    <col min="2" max="2" width="16.85546875" style="10" customWidth="1"/>
    <col min="3" max="3" width="24.140625" style="6" bestFit="1" customWidth="1"/>
    <col min="4" max="4" width="19.7109375" style="82" customWidth="1"/>
    <col min="5" max="5" width="9.85546875" style="76" bestFit="1" customWidth="1"/>
    <col min="6" max="7" width="9.140625" style="1"/>
    <col min="8" max="8" width="17.7109375" style="1" customWidth="1"/>
    <col min="9" max="16384" width="9.140625" style="1"/>
  </cols>
  <sheetData>
    <row r="1" spans="1:8" s="11" customFormat="1" ht="20.100000000000001" customHeight="1" x14ac:dyDescent="0.25">
      <c r="A1" s="11" t="s">
        <v>304</v>
      </c>
      <c r="B1" s="17"/>
      <c r="C1" s="13"/>
      <c r="D1" s="51"/>
      <c r="E1" s="70"/>
    </row>
    <row r="2" spans="1:8" s="11" customFormat="1" ht="20.100000000000001" customHeight="1" x14ac:dyDescent="0.25">
      <c r="A2" s="14">
        <v>44773</v>
      </c>
      <c r="B2" s="17"/>
      <c r="C2" s="13"/>
      <c r="D2" s="51"/>
      <c r="E2" s="70"/>
    </row>
    <row r="3" spans="1:8" s="11" customFormat="1" ht="20.100000000000001" customHeight="1" x14ac:dyDescent="0.25">
      <c r="A3" s="11" t="s">
        <v>311</v>
      </c>
      <c r="B3" s="17">
        <v>5353932</v>
      </c>
      <c r="C3" s="13"/>
      <c r="D3" s="51"/>
      <c r="E3" s="70"/>
    </row>
    <row r="4" spans="1:8" s="11" customFormat="1" ht="20.100000000000001" customHeight="1" x14ac:dyDescent="0.25">
      <c r="A4" s="11" t="s">
        <v>6</v>
      </c>
      <c r="B4" s="17"/>
      <c r="C4" s="13"/>
      <c r="D4" s="51"/>
      <c r="E4" s="70"/>
    </row>
    <row r="5" spans="1:8" s="11" customFormat="1" ht="20.100000000000001" customHeight="1" x14ac:dyDescent="0.25">
      <c r="A5" s="11">
        <v>2100</v>
      </c>
      <c r="B5" s="17">
        <v>-5670870</v>
      </c>
      <c r="C5" s="13"/>
      <c r="D5" s="51"/>
      <c r="E5" s="70"/>
    </row>
    <row r="6" spans="1:8" s="11" customFormat="1" ht="20.100000000000001" customHeight="1" x14ac:dyDescent="0.25">
      <c r="A6" s="11" t="s">
        <v>5</v>
      </c>
      <c r="B6" s="17">
        <f>SUM(B5)</f>
        <v>-5670870</v>
      </c>
      <c r="C6" s="13"/>
      <c r="D6" s="51"/>
      <c r="E6" s="70"/>
    </row>
    <row r="7" spans="1:8" s="11" customFormat="1" ht="20.100000000000001" customHeight="1" x14ac:dyDescent="0.25">
      <c r="A7" s="11" t="s">
        <v>4</v>
      </c>
      <c r="B7" s="17">
        <f>B6+B3</f>
        <v>-316938</v>
      </c>
      <c r="C7" s="13"/>
      <c r="D7" s="51"/>
      <c r="E7" s="70"/>
    </row>
    <row r="8" spans="1:8" s="11" customFormat="1" ht="15.95" customHeight="1" x14ac:dyDescent="0.25">
      <c r="A8" s="11" t="s">
        <v>3</v>
      </c>
      <c r="B8" s="17"/>
      <c r="C8" s="44" t="s">
        <v>628</v>
      </c>
      <c r="D8" s="80" t="s">
        <v>626</v>
      </c>
      <c r="E8" s="70"/>
    </row>
    <row r="9" spans="1:8" s="11" customFormat="1" ht="15" customHeight="1" x14ac:dyDescent="0.25">
      <c r="A9" s="77" t="s">
        <v>1177</v>
      </c>
      <c r="B9" s="66">
        <v>-28753</v>
      </c>
      <c r="C9" s="31">
        <v>44772</v>
      </c>
      <c r="D9" s="51">
        <v>44774</v>
      </c>
      <c r="E9" s="71"/>
      <c r="F9" s="55"/>
      <c r="G9" s="55"/>
      <c r="H9" s="47"/>
    </row>
    <row r="10" spans="1:8" s="11" customFormat="1" ht="15" customHeight="1" x14ac:dyDescent="0.25">
      <c r="A10" s="77" t="s">
        <v>1178</v>
      </c>
      <c r="B10" s="66">
        <v>-28753</v>
      </c>
      <c r="C10" s="31">
        <v>44772</v>
      </c>
      <c r="D10" s="51">
        <v>44774</v>
      </c>
      <c r="E10" s="71"/>
      <c r="F10" s="55"/>
      <c r="G10" s="55"/>
      <c r="H10" s="47"/>
    </row>
    <row r="11" spans="1:8" s="11" customFormat="1" ht="15" customHeight="1" x14ac:dyDescent="0.25">
      <c r="A11" s="77" t="s">
        <v>1179</v>
      </c>
      <c r="B11" s="66">
        <v>-29542</v>
      </c>
      <c r="C11" s="31">
        <v>44772</v>
      </c>
      <c r="D11" s="13">
        <v>44774</v>
      </c>
      <c r="E11" s="71"/>
      <c r="F11" s="55"/>
      <c r="G11" s="55"/>
      <c r="H11" s="47"/>
    </row>
    <row r="12" spans="1:8" s="11" customFormat="1" ht="15" customHeight="1" x14ac:dyDescent="0.25">
      <c r="A12" s="77" t="s">
        <v>1180</v>
      </c>
      <c r="B12" s="66">
        <v>-29734</v>
      </c>
      <c r="C12" s="31">
        <v>44772</v>
      </c>
      <c r="D12" s="13">
        <v>44774</v>
      </c>
      <c r="E12" s="71"/>
      <c r="F12" s="55"/>
      <c r="G12" s="55"/>
      <c r="H12" s="47"/>
    </row>
    <row r="13" spans="1:8" s="11" customFormat="1" ht="15" customHeight="1" x14ac:dyDescent="0.25">
      <c r="A13" s="77" t="s">
        <v>1181</v>
      </c>
      <c r="B13" s="66">
        <v>-31691</v>
      </c>
      <c r="C13" s="31">
        <v>44772</v>
      </c>
      <c r="D13" s="13">
        <v>44774</v>
      </c>
      <c r="E13" s="71"/>
      <c r="F13" s="55"/>
      <c r="G13" s="55"/>
      <c r="H13" s="47"/>
    </row>
    <row r="14" spans="1:8" s="11" customFormat="1" ht="15" customHeight="1" x14ac:dyDescent="0.25">
      <c r="A14" s="77" t="s">
        <v>1182</v>
      </c>
      <c r="B14" s="66">
        <v>-31691</v>
      </c>
      <c r="C14" s="31">
        <v>44772</v>
      </c>
      <c r="D14" s="13">
        <v>44774</v>
      </c>
      <c r="E14" s="71"/>
      <c r="F14" s="55"/>
      <c r="G14" s="55"/>
      <c r="H14" s="47"/>
    </row>
    <row r="15" spans="1:8" s="11" customFormat="1" ht="15" customHeight="1" x14ac:dyDescent="0.25">
      <c r="A15" s="77" t="s">
        <v>1183</v>
      </c>
      <c r="B15" s="66">
        <v>-33808</v>
      </c>
      <c r="C15" s="31">
        <v>44772</v>
      </c>
      <c r="D15" s="65">
        <v>44774</v>
      </c>
      <c r="E15" s="72"/>
      <c r="F15" s="47"/>
      <c r="G15" s="55"/>
      <c r="H15" s="47"/>
    </row>
    <row r="16" spans="1:8" s="11" customFormat="1" ht="15" customHeight="1" x14ac:dyDescent="0.25">
      <c r="A16" s="77" t="s">
        <v>1184</v>
      </c>
      <c r="B16" s="66">
        <v>-37419</v>
      </c>
      <c r="C16" s="31">
        <v>44772</v>
      </c>
      <c r="D16" s="78">
        <v>44774</v>
      </c>
      <c r="E16" s="72"/>
      <c r="F16" s="47"/>
      <c r="G16" s="55"/>
      <c r="H16" s="47"/>
    </row>
    <row r="17" spans="1:8" s="11" customFormat="1" ht="15" customHeight="1" x14ac:dyDescent="0.25">
      <c r="A17" s="77" t="s">
        <v>1185</v>
      </c>
      <c r="B17" s="66">
        <v>-65547</v>
      </c>
      <c r="C17" s="31">
        <v>44772</v>
      </c>
      <c r="D17" s="51">
        <v>44774</v>
      </c>
      <c r="E17" s="72"/>
      <c r="F17" s="47"/>
      <c r="G17" s="55"/>
      <c r="H17" s="47"/>
    </row>
    <row r="18" spans="1:8" s="11" customFormat="1" ht="15" customHeight="1" x14ac:dyDescent="0.25">
      <c r="A18" s="77"/>
      <c r="B18" s="66"/>
      <c r="C18" s="31"/>
      <c r="D18" s="51"/>
      <c r="E18" s="72"/>
      <c r="F18" s="47"/>
      <c r="G18" s="55"/>
      <c r="H18" s="47"/>
    </row>
    <row r="19" spans="1:8" s="11" customFormat="1" ht="15" customHeight="1" x14ac:dyDescent="0.25">
      <c r="A19" s="77"/>
      <c r="B19" s="66"/>
      <c r="C19" s="31"/>
      <c r="D19" s="51"/>
      <c r="E19" s="72"/>
      <c r="F19" s="47"/>
      <c r="G19" s="55"/>
      <c r="H19" s="47"/>
    </row>
    <row r="20" spans="1:8" s="62" customFormat="1" ht="15" customHeight="1" x14ac:dyDescent="0.25">
      <c r="A20" s="60"/>
      <c r="B20" s="79"/>
      <c r="C20" s="67"/>
      <c r="D20" s="53"/>
      <c r="E20" s="74"/>
      <c r="F20" s="54"/>
      <c r="G20" s="54"/>
      <c r="H20" s="47"/>
    </row>
    <row r="21" spans="1:8" s="11" customFormat="1" ht="15.95" customHeight="1" x14ac:dyDescent="0.25">
      <c r="B21" s="25">
        <f>SUM(B9:B20)</f>
        <v>-316938</v>
      </c>
      <c r="C21" s="18"/>
      <c r="D21" s="18"/>
      <c r="E21" s="75"/>
      <c r="F21" s="19"/>
      <c r="G21" s="19"/>
    </row>
    <row r="22" spans="1:8" s="11" customFormat="1" ht="15.95" customHeight="1" x14ac:dyDescent="0.25">
      <c r="A22" s="11" t="s">
        <v>2</v>
      </c>
      <c r="B22" s="25"/>
      <c r="C22" s="30" t="s">
        <v>634</v>
      </c>
      <c r="D22" s="81" t="s">
        <v>1165</v>
      </c>
      <c r="E22" s="70"/>
    </row>
    <row r="23" spans="1:8" s="11" customFormat="1" ht="14.1" customHeight="1" x14ac:dyDescent="0.25">
      <c r="A23" s="39"/>
      <c r="B23" s="46"/>
      <c r="C23" s="42"/>
      <c r="D23" s="43"/>
      <c r="E23" s="75"/>
      <c r="F23" s="39"/>
    </row>
    <row r="24" spans="1:8" s="11" customFormat="1" ht="15.95" customHeight="1" x14ac:dyDescent="0.25">
      <c r="B24" s="25">
        <f>SUM(B23:B23)</f>
        <v>0</v>
      </c>
      <c r="C24" s="13"/>
      <c r="D24" s="51"/>
      <c r="E24" s="70"/>
    </row>
    <row r="25" spans="1:8" s="11" customFormat="1" ht="15.95" customHeight="1" x14ac:dyDescent="0.25">
      <c r="A25" s="11" t="s">
        <v>1</v>
      </c>
      <c r="B25" s="17">
        <f>B24+B21</f>
        <v>-316938</v>
      </c>
      <c r="C25" s="13"/>
      <c r="D25" s="51"/>
      <c r="E25" s="70"/>
    </row>
    <row r="26" spans="1:8" s="11" customFormat="1" ht="15.95" customHeight="1" x14ac:dyDescent="0.25">
      <c r="A26" s="11" t="s">
        <v>0</v>
      </c>
      <c r="B26" s="17">
        <f>B25-B7</f>
        <v>0</v>
      </c>
      <c r="C26" s="13"/>
      <c r="D26" s="51"/>
      <c r="E26" s="70"/>
    </row>
    <row r="27" spans="1:8" s="11" customFormat="1" ht="15.95" customHeight="1" x14ac:dyDescent="0.25">
      <c r="B27" s="17"/>
      <c r="C27" s="13"/>
      <c r="D27" s="51"/>
      <c r="E27" s="70"/>
    </row>
    <row r="28" spans="1:8" s="11" customFormat="1" ht="20.100000000000001" customHeight="1" x14ac:dyDescent="0.25">
      <c r="A28" s="213"/>
      <c r="B28" s="221"/>
      <c r="C28" s="207"/>
      <c r="D28" s="207"/>
      <c r="E28" s="70"/>
    </row>
    <row r="29" spans="1:8" s="11" customFormat="1" ht="20.100000000000001" customHeight="1" x14ac:dyDescent="0.25">
      <c r="A29" s="213"/>
      <c r="B29" s="221"/>
      <c r="C29" s="207"/>
      <c r="D29" s="207"/>
      <c r="E29" s="70"/>
    </row>
    <row r="30" spans="1:8" s="11" customFormat="1" ht="20.100000000000001" customHeight="1" x14ac:dyDescent="0.3">
      <c r="A30" s="1"/>
      <c r="B30" s="10"/>
      <c r="C30" s="13"/>
      <c r="D30" s="51"/>
      <c r="E30" s="70"/>
    </row>
    <row r="31" spans="1:8" s="11" customFormat="1" ht="20.100000000000001" customHeight="1" x14ac:dyDescent="0.3">
      <c r="A31" s="1"/>
      <c r="B31" s="10"/>
      <c r="C31" s="13"/>
      <c r="D31" s="51"/>
      <c r="E31" s="70"/>
    </row>
    <row r="32" spans="1:8" s="11" customFormat="1" ht="20.100000000000001" customHeight="1" x14ac:dyDescent="0.3">
      <c r="A32" s="1"/>
      <c r="B32" s="10"/>
      <c r="C32" s="13"/>
      <c r="D32" s="51"/>
      <c r="E32" s="70"/>
    </row>
    <row r="33" spans="1:9" s="13" customFormat="1" ht="20.100000000000001" customHeight="1" x14ac:dyDescent="0.3">
      <c r="A33" s="1"/>
      <c r="B33" s="10"/>
      <c r="D33" s="51"/>
      <c r="E33" s="70"/>
      <c r="F33" s="11"/>
      <c r="G33" s="11"/>
      <c r="H33" s="11"/>
      <c r="I33" s="11"/>
    </row>
    <row r="34" spans="1:9" s="13" customFormat="1" ht="20.100000000000001" customHeight="1" x14ac:dyDescent="0.3">
      <c r="A34" s="1"/>
      <c r="B34" s="10"/>
      <c r="D34" s="51"/>
      <c r="E34" s="70"/>
      <c r="F34" s="11"/>
      <c r="G34" s="11"/>
      <c r="H34" s="11"/>
      <c r="I34" s="11"/>
    </row>
    <row r="35" spans="1:9" s="13" customFormat="1" ht="20.100000000000001" customHeight="1" x14ac:dyDescent="0.3">
      <c r="A35" s="1"/>
      <c r="B35" s="10"/>
      <c r="D35" s="51"/>
      <c r="E35" s="70"/>
      <c r="F35" s="11"/>
      <c r="G35" s="11"/>
      <c r="H35" s="11"/>
      <c r="I35" s="11"/>
    </row>
    <row r="36" spans="1:9" ht="20.100000000000001" customHeight="1" x14ac:dyDescent="0.3"/>
    <row r="37" spans="1:9" ht="20.100000000000001" customHeight="1" x14ac:dyDescent="0.3"/>
    <row r="38" spans="1:9" ht="20.100000000000001" customHeight="1" x14ac:dyDescent="0.3"/>
    <row r="39" spans="1:9" ht="20.100000000000001" customHeight="1" x14ac:dyDescent="0.3"/>
  </sheetData>
  <mergeCells count="4">
    <mergeCell ref="A28:A29"/>
    <mergeCell ref="B28:B29"/>
    <mergeCell ref="C28:C29"/>
    <mergeCell ref="D28:D29"/>
  </mergeCells>
  <pageMargins left="0.7" right="0.7" top="0.75" bottom="0.75" header="0.3" footer="0.3"/>
  <pageSetup fitToWidth="0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A1D4A-1C77-4335-AFAA-638737372205}">
  <sheetPr>
    <pageSetUpPr fitToPage="1"/>
  </sheetPr>
  <dimension ref="A1:I45"/>
  <sheetViews>
    <sheetView workbookViewId="0">
      <selection activeCell="N19" sqref="N19"/>
    </sheetView>
  </sheetViews>
  <sheetFormatPr defaultRowHeight="18.75" x14ac:dyDescent="0.3"/>
  <cols>
    <col min="1" max="1" width="20.7109375" style="1" customWidth="1"/>
    <col min="2" max="2" width="16.85546875" style="10" customWidth="1"/>
    <col min="3" max="3" width="24.140625" style="6" bestFit="1" customWidth="1"/>
    <col min="4" max="4" width="19.7109375" style="82" customWidth="1"/>
    <col min="5" max="5" width="9.85546875" style="76" bestFit="1" customWidth="1"/>
    <col min="6" max="7" width="9.140625" style="1"/>
    <col min="8" max="8" width="17.7109375" style="1" customWidth="1"/>
    <col min="9" max="16384" width="9.140625" style="1"/>
  </cols>
  <sheetData>
    <row r="1" spans="1:8" s="11" customFormat="1" ht="20.100000000000001" customHeight="1" x14ac:dyDescent="0.25">
      <c r="A1" s="11" t="s">
        <v>304</v>
      </c>
      <c r="B1" s="17"/>
      <c r="C1" s="13"/>
      <c r="D1" s="51"/>
      <c r="E1" s="70"/>
    </row>
    <row r="2" spans="1:8" s="11" customFormat="1" ht="20.100000000000001" customHeight="1" x14ac:dyDescent="0.25">
      <c r="A2" s="14">
        <v>44804</v>
      </c>
      <c r="B2" s="17"/>
      <c r="C2" s="13"/>
      <c r="D2" s="51"/>
      <c r="E2" s="70"/>
    </row>
    <row r="3" spans="1:8" s="11" customFormat="1" ht="20.100000000000001" customHeight="1" x14ac:dyDescent="0.25">
      <c r="A3" s="11" t="s">
        <v>311</v>
      </c>
      <c r="B3" s="17">
        <v>4748309</v>
      </c>
      <c r="C3" s="13"/>
      <c r="D3" s="51"/>
      <c r="E3" s="70"/>
    </row>
    <row r="4" spans="1:8" s="11" customFormat="1" ht="20.100000000000001" customHeight="1" x14ac:dyDescent="0.25">
      <c r="A4" s="11" t="s">
        <v>6</v>
      </c>
      <c r="B4" s="17"/>
      <c r="C4" s="13"/>
      <c r="D4" s="51"/>
      <c r="E4" s="70"/>
    </row>
    <row r="5" spans="1:8" s="11" customFormat="1" ht="20.100000000000001" customHeight="1" x14ac:dyDescent="0.25">
      <c r="A5" s="11">
        <v>2100</v>
      </c>
      <c r="B5" s="17">
        <v>-5510015</v>
      </c>
      <c r="C5" s="13"/>
      <c r="D5" s="51"/>
      <c r="E5" s="70"/>
    </row>
    <row r="6" spans="1:8" s="11" customFormat="1" ht="20.100000000000001" customHeight="1" x14ac:dyDescent="0.25">
      <c r="A6" s="11" t="s">
        <v>5</v>
      </c>
      <c r="B6" s="17">
        <f>SUM(B5)</f>
        <v>-5510015</v>
      </c>
      <c r="C6" s="13"/>
      <c r="D6" s="51"/>
      <c r="E6" s="70"/>
    </row>
    <row r="7" spans="1:8" s="11" customFormat="1" ht="20.100000000000001" customHeight="1" x14ac:dyDescent="0.25">
      <c r="A7" s="11" t="s">
        <v>4</v>
      </c>
      <c r="B7" s="17">
        <f>B6+B3</f>
        <v>-761706</v>
      </c>
      <c r="C7" s="13"/>
      <c r="D7" s="51"/>
      <c r="E7" s="70"/>
    </row>
    <row r="8" spans="1:8" s="11" customFormat="1" ht="15.95" customHeight="1" x14ac:dyDescent="0.25">
      <c r="A8" s="11" t="s">
        <v>3</v>
      </c>
      <c r="B8" s="17"/>
      <c r="C8" s="44" t="s">
        <v>628</v>
      </c>
      <c r="D8" s="80" t="s">
        <v>626</v>
      </c>
      <c r="E8" s="70"/>
    </row>
    <row r="9" spans="1:8" s="11" customFormat="1" ht="15" customHeight="1" x14ac:dyDescent="0.25">
      <c r="A9" s="77" t="s">
        <v>1186</v>
      </c>
      <c r="B9" s="66">
        <v>-18251</v>
      </c>
      <c r="C9" s="31">
        <v>44802</v>
      </c>
      <c r="D9" s="13" t="s">
        <v>1201</v>
      </c>
      <c r="E9" s="71"/>
      <c r="F9" s="55"/>
      <c r="G9" s="55"/>
      <c r="H9" s="47"/>
    </row>
    <row r="10" spans="1:8" s="11" customFormat="1" ht="15" customHeight="1" x14ac:dyDescent="0.25">
      <c r="A10" s="77" t="s">
        <v>1187</v>
      </c>
      <c r="B10" s="66">
        <v>-25485</v>
      </c>
      <c r="C10" s="31">
        <v>44804</v>
      </c>
      <c r="D10" s="51">
        <v>44805</v>
      </c>
      <c r="E10" s="71"/>
      <c r="F10" s="55"/>
      <c r="G10" s="55"/>
      <c r="H10" s="47"/>
    </row>
    <row r="11" spans="1:8" s="11" customFormat="1" ht="15" customHeight="1" x14ac:dyDescent="0.25">
      <c r="A11" s="77" t="s">
        <v>1188</v>
      </c>
      <c r="B11" s="66">
        <v>-33172</v>
      </c>
      <c r="C11" s="31">
        <v>44782</v>
      </c>
      <c r="D11" s="219" t="s">
        <v>1202</v>
      </c>
      <c r="E11" s="220"/>
      <c r="F11" s="220"/>
      <c r="G11" s="55"/>
      <c r="H11" s="47"/>
    </row>
    <row r="12" spans="1:8" s="11" customFormat="1" ht="15" customHeight="1" x14ac:dyDescent="0.25">
      <c r="A12" s="77"/>
      <c r="B12" s="66"/>
      <c r="C12" s="31"/>
      <c r="D12" s="219"/>
      <c r="E12" s="220"/>
      <c r="F12" s="220"/>
      <c r="G12" s="55"/>
      <c r="H12" s="47"/>
    </row>
    <row r="13" spans="1:8" s="11" customFormat="1" ht="15" customHeight="1" x14ac:dyDescent="0.25">
      <c r="A13" s="77" t="s">
        <v>1189</v>
      </c>
      <c r="B13" s="66">
        <v>-42431</v>
      </c>
      <c r="C13" s="31">
        <v>44804</v>
      </c>
      <c r="D13" s="13">
        <v>44806</v>
      </c>
      <c r="E13" s="71"/>
      <c r="F13" s="55"/>
      <c r="G13" s="55"/>
      <c r="H13" s="47"/>
    </row>
    <row r="14" spans="1:8" s="11" customFormat="1" ht="15" customHeight="1" x14ac:dyDescent="0.25">
      <c r="A14" s="77" t="s">
        <v>1190</v>
      </c>
      <c r="B14" s="66">
        <v>-42477</v>
      </c>
      <c r="C14" s="31">
        <v>44804</v>
      </c>
      <c r="D14" s="13">
        <v>44805</v>
      </c>
      <c r="E14" s="71"/>
      <c r="F14" s="55"/>
      <c r="G14" s="55"/>
      <c r="H14" s="47"/>
    </row>
    <row r="15" spans="1:8" s="11" customFormat="1" ht="15" customHeight="1" x14ac:dyDescent="0.25">
      <c r="A15" s="77" t="s">
        <v>1191</v>
      </c>
      <c r="B15" s="66">
        <v>-42477</v>
      </c>
      <c r="C15" s="31">
        <v>44804</v>
      </c>
      <c r="D15" s="13">
        <v>44805</v>
      </c>
      <c r="E15" s="71"/>
      <c r="F15" s="55"/>
      <c r="G15" s="55"/>
      <c r="H15" s="47"/>
    </row>
    <row r="16" spans="1:8" s="11" customFormat="1" ht="15" customHeight="1" x14ac:dyDescent="0.25">
      <c r="A16" s="77" t="s">
        <v>1200</v>
      </c>
      <c r="B16" s="66">
        <v>-46519</v>
      </c>
      <c r="C16" s="31">
        <v>44804</v>
      </c>
      <c r="D16" s="13">
        <v>44805</v>
      </c>
      <c r="E16" s="71"/>
      <c r="F16" s="55"/>
      <c r="G16" s="55"/>
      <c r="H16" s="47"/>
    </row>
    <row r="17" spans="1:8" s="11" customFormat="1" ht="15" customHeight="1" x14ac:dyDescent="0.25">
      <c r="A17" s="77" t="s">
        <v>1192</v>
      </c>
      <c r="B17" s="66">
        <v>-47806</v>
      </c>
      <c r="C17" s="31">
        <v>44804</v>
      </c>
      <c r="D17" s="13">
        <v>44806</v>
      </c>
      <c r="E17" s="71"/>
      <c r="F17" s="55"/>
      <c r="G17" s="55"/>
      <c r="H17" s="47"/>
    </row>
    <row r="18" spans="1:8" s="11" customFormat="1" ht="15" customHeight="1" x14ac:dyDescent="0.25">
      <c r="A18" s="77" t="s">
        <v>1193</v>
      </c>
      <c r="B18" s="66">
        <v>-52626</v>
      </c>
      <c r="C18" s="31">
        <v>44804</v>
      </c>
      <c r="D18" s="13">
        <v>44805</v>
      </c>
      <c r="E18" s="71"/>
      <c r="F18" s="55"/>
      <c r="G18" s="55"/>
      <c r="H18" s="47"/>
    </row>
    <row r="19" spans="1:8" s="11" customFormat="1" ht="15" customHeight="1" x14ac:dyDescent="0.25">
      <c r="A19" s="77" t="s">
        <v>1194</v>
      </c>
      <c r="B19" s="66">
        <v>-54753</v>
      </c>
      <c r="C19" s="31">
        <v>44804</v>
      </c>
      <c r="D19" s="13">
        <v>44805</v>
      </c>
      <c r="E19" s="71"/>
      <c r="F19" s="55"/>
      <c r="G19" s="55"/>
      <c r="H19" s="47"/>
    </row>
    <row r="20" spans="1:8" s="11" customFormat="1" ht="15" customHeight="1" x14ac:dyDescent="0.25">
      <c r="A20" s="77" t="s">
        <v>1195</v>
      </c>
      <c r="B20" s="66">
        <v>-57438</v>
      </c>
      <c r="C20" s="31">
        <v>44804</v>
      </c>
      <c r="D20" s="13">
        <v>44805</v>
      </c>
      <c r="E20" s="71"/>
      <c r="F20" s="55"/>
      <c r="G20" s="55"/>
      <c r="H20" s="47"/>
    </row>
    <row r="21" spans="1:8" s="11" customFormat="1" ht="15" customHeight="1" x14ac:dyDescent="0.25">
      <c r="A21" s="77" t="s">
        <v>1196</v>
      </c>
      <c r="B21" s="66">
        <v>-62573</v>
      </c>
      <c r="C21" s="31">
        <v>44804</v>
      </c>
      <c r="D21" s="65">
        <v>44805</v>
      </c>
      <c r="E21" s="72"/>
      <c r="F21" s="47"/>
      <c r="G21" s="55"/>
      <c r="H21" s="47"/>
    </row>
    <row r="22" spans="1:8" s="11" customFormat="1" ht="15" customHeight="1" x14ac:dyDescent="0.25">
      <c r="A22" s="77" t="s">
        <v>1197</v>
      </c>
      <c r="B22" s="66">
        <v>-64829</v>
      </c>
      <c r="C22" s="31">
        <v>44804</v>
      </c>
      <c r="D22" s="78">
        <v>44805</v>
      </c>
      <c r="E22" s="72"/>
      <c r="F22" s="47"/>
      <c r="G22" s="55"/>
      <c r="H22" s="47"/>
    </row>
    <row r="23" spans="1:8" s="11" customFormat="1" ht="15" customHeight="1" x14ac:dyDescent="0.25">
      <c r="A23" s="77" t="s">
        <v>1198</v>
      </c>
      <c r="B23" s="66">
        <v>-82584</v>
      </c>
      <c r="C23" s="31">
        <v>44804</v>
      </c>
      <c r="D23" s="51">
        <v>44805</v>
      </c>
      <c r="E23" s="72"/>
      <c r="F23" s="47"/>
      <c r="G23" s="55"/>
      <c r="H23" s="47"/>
    </row>
    <row r="24" spans="1:8" s="11" customFormat="1" ht="15" customHeight="1" x14ac:dyDescent="0.25">
      <c r="A24" s="77" t="s">
        <v>1199</v>
      </c>
      <c r="B24" s="66">
        <v>-88285</v>
      </c>
      <c r="C24" s="31">
        <v>44804</v>
      </c>
      <c r="D24" s="51">
        <v>44805</v>
      </c>
      <c r="E24" s="72"/>
      <c r="F24" s="47"/>
      <c r="G24" s="55"/>
      <c r="H24" s="47"/>
    </row>
    <row r="25" spans="1:8" s="11" customFormat="1" ht="15" customHeight="1" x14ac:dyDescent="0.25">
      <c r="A25" s="77"/>
      <c r="B25" s="66"/>
      <c r="C25" s="31"/>
      <c r="D25" s="51"/>
      <c r="E25" s="72"/>
      <c r="F25" s="47"/>
      <c r="G25" s="55"/>
      <c r="H25" s="47"/>
    </row>
    <row r="26" spans="1:8" s="62" customFormat="1" ht="15" customHeight="1" x14ac:dyDescent="0.25">
      <c r="A26" s="60"/>
      <c r="B26" s="79"/>
      <c r="C26" s="67"/>
      <c r="D26" s="53"/>
      <c r="E26" s="74"/>
      <c r="F26" s="54"/>
      <c r="G26" s="54"/>
      <c r="H26" s="47"/>
    </row>
    <row r="27" spans="1:8" s="11" customFormat="1" ht="15.95" customHeight="1" x14ac:dyDescent="0.25">
      <c r="B27" s="25">
        <f>SUM(B9:B26)</f>
        <v>-761706</v>
      </c>
      <c r="C27" s="18"/>
      <c r="D27" s="18"/>
      <c r="E27" s="75"/>
      <c r="F27" s="19"/>
      <c r="G27" s="19"/>
    </row>
    <row r="28" spans="1:8" s="11" customFormat="1" ht="15.95" customHeight="1" x14ac:dyDescent="0.25">
      <c r="A28" s="11" t="s">
        <v>2</v>
      </c>
      <c r="B28" s="25"/>
      <c r="C28" s="30" t="s">
        <v>634</v>
      </c>
      <c r="D28" s="81" t="s">
        <v>1165</v>
      </c>
      <c r="E28" s="70"/>
    </row>
    <row r="29" spans="1:8" s="11" customFormat="1" ht="14.1" customHeight="1" x14ac:dyDescent="0.25">
      <c r="A29" s="39"/>
      <c r="B29" s="46"/>
      <c r="C29" s="42"/>
      <c r="D29" s="43"/>
      <c r="E29" s="75"/>
      <c r="F29" s="39"/>
    </row>
    <row r="30" spans="1:8" s="11" customFormat="1" ht="15.95" customHeight="1" x14ac:dyDescent="0.25">
      <c r="B30" s="25">
        <f>SUM(B29:B29)</f>
        <v>0</v>
      </c>
      <c r="C30" s="13"/>
      <c r="D30" s="51"/>
      <c r="E30" s="70"/>
    </row>
    <row r="31" spans="1:8" s="11" customFormat="1" ht="15.95" customHeight="1" x14ac:dyDescent="0.25">
      <c r="A31" s="11" t="s">
        <v>1</v>
      </c>
      <c r="B31" s="17">
        <f>B30+B27</f>
        <v>-761706</v>
      </c>
      <c r="C31" s="13"/>
      <c r="D31" s="51"/>
      <c r="E31" s="70"/>
    </row>
    <row r="32" spans="1:8" s="11" customFormat="1" ht="15.95" customHeight="1" x14ac:dyDescent="0.25">
      <c r="A32" s="11" t="s">
        <v>0</v>
      </c>
      <c r="B32" s="17">
        <f>B31-B7</f>
        <v>0</v>
      </c>
      <c r="C32" s="13"/>
      <c r="D32" s="51"/>
      <c r="E32" s="70"/>
    </row>
    <row r="33" spans="1:9" s="11" customFormat="1" ht="15.95" customHeight="1" x14ac:dyDescent="0.25">
      <c r="B33" s="17"/>
      <c r="C33" s="13"/>
      <c r="D33" s="51"/>
      <c r="E33" s="70"/>
    </row>
    <row r="34" spans="1:9" s="11" customFormat="1" ht="20.100000000000001" customHeight="1" x14ac:dyDescent="0.25">
      <c r="A34" s="213"/>
      <c r="B34" s="221"/>
      <c r="C34" s="207"/>
      <c r="D34" s="207"/>
      <c r="E34" s="70"/>
    </row>
    <row r="35" spans="1:9" s="11" customFormat="1" ht="20.100000000000001" customHeight="1" x14ac:dyDescent="0.25">
      <c r="A35" s="213"/>
      <c r="B35" s="221"/>
      <c r="C35" s="207"/>
      <c r="D35" s="207"/>
      <c r="E35" s="70"/>
    </row>
    <row r="36" spans="1:9" s="11" customFormat="1" ht="20.100000000000001" customHeight="1" x14ac:dyDescent="0.3">
      <c r="A36" s="1"/>
      <c r="B36" s="10"/>
      <c r="C36" s="13"/>
      <c r="D36" s="51"/>
      <c r="E36" s="70"/>
    </row>
    <row r="37" spans="1:9" s="11" customFormat="1" ht="20.100000000000001" customHeight="1" x14ac:dyDescent="0.3">
      <c r="A37" s="1"/>
      <c r="B37" s="10"/>
      <c r="C37" s="13"/>
      <c r="D37" s="51"/>
      <c r="E37" s="70"/>
    </row>
    <row r="38" spans="1:9" s="11" customFormat="1" ht="20.100000000000001" customHeight="1" x14ac:dyDescent="0.3">
      <c r="A38" s="1"/>
      <c r="B38" s="10"/>
      <c r="C38" s="13"/>
      <c r="D38" s="51"/>
      <c r="E38" s="70"/>
    </row>
    <row r="39" spans="1:9" s="13" customFormat="1" ht="20.100000000000001" customHeight="1" x14ac:dyDescent="0.3">
      <c r="A39" s="1"/>
      <c r="B39" s="10"/>
      <c r="D39" s="51"/>
      <c r="E39" s="70"/>
      <c r="F39" s="11"/>
      <c r="G39" s="11"/>
      <c r="H39" s="11"/>
      <c r="I39" s="11"/>
    </row>
    <row r="40" spans="1:9" s="13" customFormat="1" ht="20.100000000000001" customHeight="1" x14ac:dyDescent="0.3">
      <c r="A40" s="1"/>
      <c r="B40" s="10"/>
      <c r="D40" s="51"/>
      <c r="E40" s="70"/>
      <c r="F40" s="11"/>
      <c r="G40" s="11"/>
      <c r="H40" s="11"/>
      <c r="I40" s="11"/>
    </row>
    <row r="41" spans="1:9" s="13" customFormat="1" ht="20.100000000000001" customHeight="1" x14ac:dyDescent="0.3">
      <c r="A41" s="1"/>
      <c r="B41" s="10"/>
      <c r="D41" s="51"/>
      <c r="E41" s="70"/>
      <c r="F41" s="11"/>
      <c r="G41" s="11"/>
      <c r="H41" s="11"/>
      <c r="I41" s="11"/>
    </row>
    <row r="42" spans="1:9" ht="20.100000000000001" customHeight="1" x14ac:dyDescent="0.3"/>
    <row r="43" spans="1:9" ht="20.100000000000001" customHeight="1" x14ac:dyDescent="0.3"/>
    <row r="44" spans="1:9" ht="20.100000000000001" customHeight="1" x14ac:dyDescent="0.3"/>
    <row r="45" spans="1:9" ht="20.100000000000001" customHeight="1" x14ac:dyDescent="0.3"/>
  </sheetData>
  <mergeCells count="5">
    <mergeCell ref="A34:A35"/>
    <mergeCell ref="B34:B35"/>
    <mergeCell ref="C34:C35"/>
    <mergeCell ref="D34:D35"/>
    <mergeCell ref="D11:F12"/>
  </mergeCells>
  <pageMargins left="0.7" right="0.7" top="0.75" bottom="0.75" header="0.3" footer="0.3"/>
  <pageSetup scale="90" fitToHeight="0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79889-9B93-4C98-8C3B-17CA04F9547B}">
  <sheetPr>
    <pageSetUpPr fitToPage="1"/>
  </sheetPr>
  <dimension ref="A1:I105"/>
  <sheetViews>
    <sheetView topLeftCell="A42" workbookViewId="0">
      <selection activeCell="E57" sqref="E57"/>
    </sheetView>
  </sheetViews>
  <sheetFormatPr defaultRowHeight="18.75" x14ac:dyDescent="0.3"/>
  <cols>
    <col min="1" max="1" width="20.7109375" style="1" customWidth="1"/>
    <col min="2" max="2" width="16.85546875" style="10" customWidth="1"/>
    <col min="3" max="3" width="28" style="6" bestFit="1" customWidth="1"/>
    <col min="4" max="4" width="19.7109375" style="82" customWidth="1"/>
    <col min="5" max="5" width="9.85546875" style="76" bestFit="1" customWidth="1"/>
    <col min="6" max="7" width="9.140625" style="1"/>
    <col min="8" max="8" width="17.7109375" style="1" customWidth="1"/>
    <col min="9" max="16384" width="9.140625" style="1"/>
  </cols>
  <sheetData>
    <row r="1" spans="1:8" s="11" customFormat="1" ht="20.100000000000001" customHeight="1" x14ac:dyDescent="0.25">
      <c r="A1" s="11" t="s">
        <v>1203</v>
      </c>
      <c r="B1" s="17"/>
      <c r="C1" s="13"/>
      <c r="D1" s="51"/>
      <c r="E1" s="70"/>
    </row>
    <row r="2" spans="1:8" s="11" customFormat="1" ht="20.100000000000001" customHeight="1" x14ac:dyDescent="0.25">
      <c r="A2" s="14">
        <v>44834</v>
      </c>
      <c r="B2" s="17"/>
      <c r="C2" s="13"/>
      <c r="D2" s="51"/>
      <c r="E2" s="70"/>
    </row>
    <row r="3" spans="1:8" s="11" customFormat="1" ht="20.100000000000001" customHeight="1" x14ac:dyDescent="0.25">
      <c r="A3" s="11" t="s">
        <v>311</v>
      </c>
      <c r="B3" s="17">
        <v>9324835.6600000001</v>
      </c>
      <c r="C3" s="13"/>
      <c r="D3" s="51"/>
      <c r="E3" s="70"/>
    </row>
    <row r="4" spans="1:8" s="11" customFormat="1" ht="20.100000000000001" customHeight="1" x14ac:dyDescent="0.25">
      <c r="A4" s="11" t="s">
        <v>6</v>
      </c>
      <c r="B4" s="17"/>
      <c r="C4" s="13"/>
      <c r="D4" s="51"/>
      <c r="E4" s="70"/>
    </row>
    <row r="5" spans="1:8" s="11" customFormat="1" ht="20.100000000000001" customHeight="1" x14ac:dyDescent="0.25">
      <c r="A5" s="11">
        <v>2100</v>
      </c>
      <c r="B5" s="17">
        <v>-5427335.6100000003</v>
      </c>
      <c r="C5" s="13"/>
      <c r="D5" s="51"/>
      <c r="E5" s="70"/>
    </row>
    <row r="6" spans="1:8" s="11" customFormat="1" ht="20.100000000000001" customHeight="1" x14ac:dyDescent="0.25">
      <c r="A6" s="11" t="s">
        <v>5</v>
      </c>
      <c r="B6" s="17">
        <f>SUM(B5)</f>
        <v>-5427335.6100000003</v>
      </c>
      <c r="C6" s="13"/>
      <c r="D6" s="51"/>
      <c r="E6" s="70"/>
    </row>
    <row r="7" spans="1:8" s="11" customFormat="1" ht="20.100000000000001" customHeight="1" x14ac:dyDescent="0.25">
      <c r="A7" s="11" t="s">
        <v>4</v>
      </c>
      <c r="B7" s="17">
        <f>B6+B3</f>
        <v>3897500.05</v>
      </c>
      <c r="C7" s="13"/>
      <c r="D7" s="51"/>
      <c r="E7" s="70"/>
    </row>
    <row r="8" spans="1:8" s="11" customFormat="1" ht="15.95" customHeight="1" x14ac:dyDescent="0.25">
      <c r="A8" s="11" t="s">
        <v>3</v>
      </c>
      <c r="B8" s="17"/>
      <c r="C8" s="44" t="s">
        <v>628</v>
      </c>
      <c r="D8" s="80" t="s">
        <v>626</v>
      </c>
      <c r="E8" s="70"/>
    </row>
    <row r="9" spans="1:8" s="11" customFormat="1" ht="15" customHeight="1" x14ac:dyDescent="0.25">
      <c r="A9" s="77" t="s">
        <v>1204</v>
      </c>
      <c r="B9" s="66">
        <v>-20505</v>
      </c>
      <c r="C9" s="31">
        <v>44834</v>
      </c>
      <c r="D9" s="14">
        <v>44837</v>
      </c>
      <c r="E9" s="71"/>
      <c r="F9" s="55"/>
      <c r="G9" s="55"/>
      <c r="H9" s="47"/>
    </row>
    <row r="10" spans="1:8" s="11" customFormat="1" ht="15" customHeight="1" x14ac:dyDescent="0.25">
      <c r="A10" s="77" t="s">
        <v>1205</v>
      </c>
      <c r="B10" s="66">
        <v>-25333</v>
      </c>
      <c r="C10" s="31">
        <v>44834</v>
      </c>
      <c r="D10" s="84">
        <v>44837</v>
      </c>
      <c r="E10" s="71"/>
      <c r="F10" s="55"/>
      <c r="G10" s="55"/>
      <c r="H10" s="47"/>
    </row>
    <row r="11" spans="1:8" s="11" customFormat="1" ht="15" customHeight="1" x14ac:dyDescent="0.25">
      <c r="A11" s="77" t="s">
        <v>1206</v>
      </c>
      <c r="B11" s="66">
        <v>-27713</v>
      </c>
      <c r="C11" s="31">
        <v>44834</v>
      </c>
      <c r="D11" s="85">
        <v>44837</v>
      </c>
      <c r="E11" s="47"/>
      <c r="F11" s="47"/>
      <c r="G11" s="55"/>
      <c r="H11" s="47"/>
    </row>
    <row r="12" spans="1:8" s="11" customFormat="1" ht="15" customHeight="1" x14ac:dyDescent="0.25">
      <c r="A12" s="77" t="s">
        <v>1208</v>
      </c>
      <c r="B12" s="66">
        <v>-30668</v>
      </c>
      <c r="C12" s="31">
        <v>44834</v>
      </c>
      <c r="D12" s="85">
        <v>44837</v>
      </c>
      <c r="E12" s="47"/>
      <c r="F12" s="47"/>
      <c r="G12" s="55"/>
      <c r="H12" s="47"/>
    </row>
    <row r="13" spans="1:8" s="11" customFormat="1" ht="15" customHeight="1" x14ac:dyDescent="0.25">
      <c r="A13" s="77" t="s">
        <v>1209</v>
      </c>
      <c r="B13" s="66">
        <v>-32003</v>
      </c>
      <c r="C13" s="31">
        <v>44834</v>
      </c>
      <c r="D13" s="14">
        <v>44837</v>
      </c>
      <c r="E13" s="71"/>
      <c r="F13" s="55"/>
      <c r="G13" s="55"/>
      <c r="H13" s="47"/>
    </row>
    <row r="14" spans="1:8" s="11" customFormat="1" ht="15" customHeight="1" x14ac:dyDescent="0.25">
      <c r="A14" s="77" t="s">
        <v>1210</v>
      </c>
      <c r="B14" s="66">
        <v>-32201</v>
      </c>
      <c r="C14" s="31">
        <v>44834</v>
      </c>
      <c r="D14" s="14">
        <v>44837</v>
      </c>
      <c r="E14" s="71"/>
      <c r="F14" s="55"/>
      <c r="G14" s="55"/>
      <c r="H14" s="47"/>
    </row>
    <row r="15" spans="1:8" s="11" customFormat="1" ht="15" customHeight="1" x14ac:dyDescent="0.25">
      <c r="A15" s="77" t="s">
        <v>1211</v>
      </c>
      <c r="B15" s="66">
        <v>-37351</v>
      </c>
      <c r="C15" s="31">
        <v>44834</v>
      </c>
      <c r="D15" s="14">
        <v>44837</v>
      </c>
      <c r="E15" s="71"/>
      <c r="F15" s="55"/>
      <c r="G15" s="55"/>
      <c r="H15" s="47"/>
    </row>
    <row r="16" spans="1:8" s="11" customFormat="1" ht="15" customHeight="1" x14ac:dyDescent="0.25">
      <c r="A16" s="77" t="s">
        <v>1212</v>
      </c>
      <c r="B16" s="66">
        <v>-39259</v>
      </c>
      <c r="C16" s="31">
        <v>44834</v>
      </c>
      <c r="D16" s="14">
        <v>44837</v>
      </c>
      <c r="E16" s="71"/>
      <c r="F16" s="55"/>
      <c r="G16" s="55"/>
      <c r="H16" s="47"/>
    </row>
    <row r="17" spans="1:8" s="11" customFormat="1" ht="15" customHeight="1" x14ac:dyDescent="0.25">
      <c r="A17" s="77" t="s">
        <v>1213</v>
      </c>
      <c r="B17" s="66">
        <v>-39593</v>
      </c>
      <c r="C17" s="31">
        <v>44834</v>
      </c>
      <c r="D17" s="14">
        <v>44837</v>
      </c>
      <c r="E17" s="71"/>
      <c r="F17" s="55"/>
      <c r="G17" s="55"/>
      <c r="H17" s="47"/>
    </row>
    <row r="18" spans="1:8" s="11" customFormat="1" ht="15" customHeight="1" x14ac:dyDescent="0.25">
      <c r="A18" s="77" t="s">
        <v>1214</v>
      </c>
      <c r="B18" s="66">
        <v>-41670.400000000001</v>
      </c>
      <c r="C18" s="31">
        <v>44830</v>
      </c>
      <c r="D18" s="14">
        <v>44854</v>
      </c>
      <c r="E18" s="71"/>
      <c r="F18" s="55"/>
      <c r="G18" s="55"/>
      <c r="H18" s="47"/>
    </row>
    <row r="19" spans="1:8" s="11" customFormat="1" ht="15" customHeight="1" x14ac:dyDescent="0.25">
      <c r="A19" s="77" t="s">
        <v>1235</v>
      </c>
      <c r="B19" s="66">
        <v>-84705.9</v>
      </c>
      <c r="C19" s="31" t="s">
        <v>1281</v>
      </c>
      <c r="D19" s="14">
        <v>44830</v>
      </c>
      <c r="E19" s="71"/>
      <c r="F19" s="55"/>
      <c r="G19" s="55"/>
      <c r="H19" s="47"/>
    </row>
    <row r="20" spans="1:8" s="62" customFormat="1" ht="15" customHeight="1" x14ac:dyDescent="0.25">
      <c r="A20" s="60"/>
      <c r="B20" s="79"/>
      <c r="C20" s="67"/>
      <c r="D20" s="53"/>
      <c r="E20" s="74"/>
      <c r="F20" s="54"/>
      <c r="G20" s="54"/>
      <c r="H20" s="47"/>
    </row>
    <row r="21" spans="1:8" s="11" customFormat="1" ht="15.95" customHeight="1" x14ac:dyDescent="0.25">
      <c r="B21" s="25">
        <f>SUM(B9:B20)</f>
        <v>-411002.30000000005</v>
      </c>
      <c r="C21" s="18"/>
      <c r="D21" s="18"/>
      <c r="E21" s="75"/>
      <c r="F21" s="19"/>
      <c r="G21" s="19"/>
    </row>
    <row r="22" spans="1:8" s="11" customFormat="1" ht="15.95" customHeight="1" x14ac:dyDescent="0.25">
      <c r="A22" s="11" t="s">
        <v>2</v>
      </c>
      <c r="B22" s="25"/>
      <c r="C22" s="30" t="s">
        <v>634</v>
      </c>
      <c r="D22" s="81" t="s">
        <v>1165</v>
      </c>
      <c r="E22" s="70"/>
    </row>
    <row r="23" spans="1:8" s="11" customFormat="1" ht="15.95" customHeight="1" x14ac:dyDescent="0.25">
      <c r="A23" s="11" t="s">
        <v>1207</v>
      </c>
      <c r="B23" s="25">
        <v>29406.15</v>
      </c>
      <c r="C23" s="31">
        <v>44823</v>
      </c>
      <c r="D23" s="86" t="s">
        <v>1282</v>
      </c>
      <c r="E23" s="70"/>
    </row>
    <row r="24" spans="1:8" s="11" customFormat="1" ht="15.95" customHeight="1" x14ac:dyDescent="0.25">
      <c r="A24" s="11" t="s">
        <v>1236</v>
      </c>
      <c r="B24" s="25">
        <v>33044.199999999997</v>
      </c>
      <c r="C24" s="31">
        <v>44833</v>
      </c>
      <c r="D24" s="86">
        <v>44840</v>
      </c>
      <c r="E24" s="70"/>
    </row>
    <row r="25" spans="1:8" s="11" customFormat="1" ht="15.95" customHeight="1" x14ac:dyDescent="0.25">
      <c r="A25" s="11" t="s">
        <v>1237</v>
      </c>
      <c r="B25" s="25">
        <v>33504.550000000003</v>
      </c>
      <c r="C25" s="31">
        <v>44833</v>
      </c>
      <c r="D25" s="86">
        <v>44840</v>
      </c>
      <c r="E25" s="70"/>
    </row>
    <row r="26" spans="1:8" s="11" customFormat="1" ht="15.95" customHeight="1" x14ac:dyDescent="0.25">
      <c r="A26" s="11" t="s">
        <v>1238</v>
      </c>
      <c r="B26" s="25">
        <v>36768.15</v>
      </c>
      <c r="C26" s="31">
        <v>44830</v>
      </c>
      <c r="D26" s="86">
        <v>44837</v>
      </c>
      <c r="E26" s="70"/>
    </row>
    <row r="27" spans="1:8" s="11" customFormat="1" ht="15.95" customHeight="1" x14ac:dyDescent="0.25">
      <c r="A27" s="11" t="s">
        <v>1239</v>
      </c>
      <c r="B27" s="25">
        <v>38582.75</v>
      </c>
      <c r="C27" s="31">
        <v>44834</v>
      </c>
      <c r="D27" s="86">
        <v>44845</v>
      </c>
      <c r="E27" s="70"/>
    </row>
    <row r="28" spans="1:8" s="11" customFormat="1" ht="15.95" customHeight="1" x14ac:dyDescent="0.25">
      <c r="A28" s="11" t="s">
        <v>1240</v>
      </c>
      <c r="B28" s="25">
        <v>47355.7</v>
      </c>
      <c r="C28" s="31">
        <v>44833</v>
      </c>
      <c r="D28" s="86">
        <v>44853</v>
      </c>
      <c r="E28" s="70"/>
    </row>
    <row r="29" spans="1:8" s="11" customFormat="1" ht="15.95" customHeight="1" x14ac:dyDescent="0.25">
      <c r="A29" s="11" t="s">
        <v>1241</v>
      </c>
      <c r="B29" s="25">
        <v>48285.7</v>
      </c>
      <c r="C29" s="31">
        <v>44834</v>
      </c>
      <c r="D29" s="86">
        <v>44839</v>
      </c>
      <c r="E29" s="70"/>
    </row>
    <row r="30" spans="1:8" s="11" customFormat="1" ht="15.95" customHeight="1" x14ac:dyDescent="0.25">
      <c r="A30" s="11" t="s">
        <v>1215</v>
      </c>
      <c r="B30" s="25">
        <v>48601.9</v>
      </c>
      <c r="C30" s="31">
        <v>44833</v>
      </c>
      <c r="D30" s="86" t="s">
        <v>1282</v>
      </c>
      <c r="E30" s="70"/>
    </row>
    <row r="31" spans="1:8" s="11" customFormat="1" ht="15.95" customHeight="1" x14ac:dyDescent="0.25">
      <c r="A31" s="11" t="s">
        <v>1216</v>
      </c>
      <c r="B31" s="25">
        <v>48746.05</v>
      </c>
      <c r="C31" s="31">
        <v>44833</v>
      </c>
      <c r="D31" s="87">
        <v>3800</v>
      </c>
      <c r="E31" s="70"/>
    </row>
    <row r="32" spans="1:8" s="11" customFormat="1" ht="15.95" customHeight="1" x14ac:dyDescent="0.25">
      <c r="A32" s="11" t="s">
        <v>1242</v>
      </c>
      <c r="B32" s="25">
        <v>55584.1</v>
      </c>
      <c r="C32" s="31">
        <v>44824</v>
      </c>
      <c r="D32" s="86">
        <v>44841</v>
      </c>
      <c r="E32" s="70"/>
    </row>
    <row r="33" spans="1:5" s="11" customFormat="1" ht="15.95" customHeight="1" x14ac:dyDescent="0.25">
      <c r="A33" s="11" t="s">
        <v>1217</v>
      </c>
      <c r="B33" s="25">
        <v>55687.95</v>
      </c>
      <c r="C33" s="31">
        <v>44785</v>
      </c>
      <c r="D33" s="87">
        <v>3800</v>
      </c>
      <c r="E33" s="70"/>
    </row>
    <row r="34" spans="1:5" s="11" customFormat="1" ht="15.95" customHeight="1" x14ac:dyDescent="0.25">
      <c r="A34" s="11" t="s">
        <v>1243</v>
      </c>
      <c r="B34" s="25">
        <v>55687.95</v>
      </c>
      <c r="C34" s="31">
        <v>44795</v>
      </c>
      <c r="D34" s="86">
        <v>44846</v>
      </c>
      <c r="E34" s="70"/>
    </row>
    <row r="35" spans="1:5" s="11" customFormat="1" ht="15.95" customHeight="1" x14ac:dyDescent="0.25">
      <c r="A35" s="11" t="s">
        <v>1245</v>
      </c>
      <c r="B35" s="25">
        <v>56988.4</v>
      </c>
      <c r="C35" s="31">
        <v>44824</v>
      </c>
      <c r="D35" s="87" t="s">
        <v>1283</v>
      </c>
      <c r="E35" s="70"/>
    </row>
    <row r="36" spans="1:5" s="11" customFormat="1" ht="15.95" customHeight="1" x14ac:dyDescent="0.25">
      <c r="A36" s="11" t="s">
        <v>1244</v>
      </c>
      <c r="B36" s="25">
        <v>56988.4</v>
      </c>
      <c r="C36" s="31">
        <v>44824</v>
      </c>
      <c r="D36" s="86">
        <v>44848</v>
      </c>
      <c r="E36" s="70"/>
    </row>
    <row r="37" spans="1:5" s="11" customFormat="1" ht="15.95" customHeight="1" x14ac:dyDescent="0.25">
      <c r="A37" s="11" t="s">
        <v>1246</v>
      </c>
      <c r="B37" s="25">
        <v>57964.9</v>
      </c>
      <c r="C37" s="31">
        <v>44792</v>
      </c>
      <c r="D37" s="86">
        <v>44851</v>
      </c>
      <c r="E37" s="70"/>
    </row>
    <row r="38" spans="1:5" s="11" customFormat="1" ht="15.95" customHeight="1" x14ac:dyDescent="0.25">
      <c r="A38" s="11" t="s">
        <v>1247</v>
      </c>
      <c r="B38" s="25">
        <v>58198.95</v>
      </c>
      <c r="C38" s="31">
        <v>44833</v>
      </c>
      <c r="D38" s="86">
        <v>44853</v>
      </c>
      <c r="E38" s="70"/>
    </row>
    <row r="39" spans="1:5" s="11" customFormat="1" ht="15.95" customHeight="1" x14ac:dyDescent="0.25">
      <c r="A39" s="11" t="s">
        <v>1218</v>
      </c>
      <c r="B39" s="25">
        <v>59012.7</v>
      </c>
      <c r="C39" s="31">
        <v>44783</v>
      </c>
      <c r="D39" s="87" t="s">
        <v>1283</v>
      </c>
      <c r="E39" s="70"/>
    </row>
    <row r="40" spans="1:5" s="11" customFormat="1" ht="15.95" customHeight="1" x14ac:dyDescent="0.25">
      <c r="A40" s="11" t="s">
        <v>1248</v>
      </c>
      <c r="B40" s="25">
        <v>59105.7</v>
      </c>
      <c r="C40" s="31">
        <v>44833</v>
      </c>
      <c r="D40" s="86">
        <v>44854</v>
      </c>
      <c r="E40" s="70"/>
    </row>
    <row r="41" spans="1:5" s="11" customFormat="1" ht="15.95" customHeight="1" x14ac:dyDescent="0.25">
      <c r="A41" s="11" t="s">
        <v>1249</v>
      </c>
      <c r="B41" s="25">
        <v>60669.65</v>
      </c>
      <c r="C41" s="31">
        <v>44824</v>
      </c>
      <c r="D41" s="86">
        <v>44839</v>
      </c>
      <c r="E41" s="70"/>
    </row>
    <row r="42" spans="1:5" s="11" customFormat="1" ht="15.95" customHeight="1" x14ac:dyDescent="0.25">
      <c r="A42" s="11" t="s">
        <v>1219</v>
      </c>
      <c r="B42" s="25">
        <v>60815.35</v>
      </c>
      <c r="C42" s="31">
        <v>44804</v>
      </c>
      <c r="D42" s="86" t="s">
        <v>1282</v>
      </c>
      <c r="E42" s="70"/>
    </row>
    <row r="43" spans="1:5" s="11" customFormat="1" ht="15.95" customHeight="1" x14ac:dyDescent="0.25">
      <c r="A43" s="11" t="s">
        <v>1250</v>
      </c>
      <c r="B43" s="25">
        <v>62362.95</v>
      </c>
      <c r="C43" s="31">
        <v>44789</v>
      </c>
      <c r="D43" s="86">
        <v>44837</v>
      </c>
      <c r="E43" s="70"/>
    </row>
    <row r="44" spans="1:5" s="11" customFormat="1" ht="15.95" customHeight="1" x14ac:dyDescent="0.25">
      <c r="A44" s="11" t="s">
        <v>1251</v>
      </c>
      <c r="B44" s="25">
        <v>62823.3</v>
      </c>
      <c r="C44" s="31">
        <v>44797</v>
      </c>
      <c r="D44" s="86">
        <v>44837</v>
      </c>
      <c r="E44" s="70"/>
    </row>
    <row r="45" spans="1:5" s="11" customFormat="1" ht="15.95" customHeight="1" x14ac:dyDescent="0.25">
      <c r="A45" s="11" t="s">
        <v>1220</v>
      </c>
      <c r="B45" s="25">
        <v>62957.45</v>
      </c>
      <c r="C45" s="31">
        <v>44833</v>
      </c>
      <c r="D45" s="86" t="s">
        <v>1282</v>
      </c>
      <c r="E45" s="70"/>
    </row>
    <row r="46" spans="1:5" s="11" customFormat="1" ht="15.95" customHeight="1" x14ac:dyDescent="0.25">
      <c r="A46" s="11" t="s">
        <v>1252</v>
      </c>
      <c r="B46" s="25">
        <v>63203.9</v>
      </c>
      <c r="C46" s="31">
        <v>44824</v>
      </c>
      <c r="D46" s="86">
        <v>44855</v>
      </c>
      <c r="E46" s="70"/>
    </row>
    <row r="47" spans="1:5" s="11" customFormat="1" ht="15.95" customHeight="1" x14ac:dyDescent="0.25">
      <c r="A47" s="11" t="s">
        <v>1253</v>
      </c>
      <c r="B47" s="25">
        <v>63381.3</v>
      </c>
      <c r="C47" s="31">
        <v>44789</v>
      </c>
      <c r="D47" s="86">
        <v>44837</v>
      </c>
      <c r="E47" s="70"/>
    </row>
    <row r="48" spans="1:5" s="11" customFormat="1" ht="15.95" customHeight="1" x14ac:dyDescent="0.25">
      <c r="A48" s="11" t="s">
        <v>1221</v>
      </c>
      <c r="B48" s="25">
        <v>63417.8</v>
      </c>
      <c r="C48" s="31">
        <v>44832</v>
      </c>
      <c r="D48" s="87" t="s">
        <v>1284</v>
      </c>
      <c r="E48" s="70"/>
    </row>
    <row r="49" spans="1:5" s="11" customFormat="1" ht="15.95" customHeight="1" x14ac:dyDescent="0.25">
      <c r="A49" s="11" t="s">
        <v>1222</v>
      </c>
      <c r="B49" s="25">
        <v>63417.8</v>
      </c>
      <c r="C49" s="31">
        <v>44833</v>
      </c>
      <c r="D49" s="87" t="s">
        <v>1285</v>
      </c>
      <c r="E49" s="70"/>
    </row>
    <row r="50" spans="1:5" s="11" customFormat="1" ht="15.95" customHeight="1" x14ac:dyDescent="0.25">
      <c r="A50" s="11" t="s">
        <v>1254</v>
      </c>
      <c r="B50" s="25">
        <v>64343.15</v>
      </c>
      <c r="C50" s="31">
        <v>44833</v>
      </c>
      <c r="D50" s="86">
        <v>44846</v>
      </c>
      <c r="E50" s="70"/>
    </row>
    <row r="51" spans="1:5" s="11" customFormat="1" ht="15.95" customHeight="1" x14ac:dyDescent="0.25">
      <c r="A51" s="11" t="s">
        <v>1223</v>
      </c>
      <c r="B51" s="25">
        <v>64343.15</v>
      </c>
      <c r="C51" s="31">
        <v>44833</v>
      </c>
      <c r="D51" s="87" t="s">
        <v>1284</v>
      </c>
      <c r="E51" s="70"/>
    </row>
    <row r="52" spans="1:5" s="11" customFormat="1" ht="15.95" customHeight="1" x14ac:dyDescent="0.25">
      <c r="A52" s="11" t="s">
        <v>1255</v>
      </c>
      <c r="B52" s="25">
        <v>64482.65</v>
      </c>
      <c r="C52" s="31">
        <v>44824</v>
      </c>
      <c r="D52" s="86">
        <v>44854</v>
      </c>
      <c r="E52" s="70"/>
    </row>
    <row r="53" spans="1:5" s="11" customFormat="1" ht="15.95" customHeight="1" x14ac:dyDescent="0.25">
      <c r="A53" s="11" t="s">
        <v>1224</v>
      </c>
      <c r="B53" s="25">
        <v>65398.7</v>
      </c>
      <c r="C53" s="31">
        <v>44824</v>
      </c>
      <c r="D53" s="87" t="s">
        <v>1282</v>
      </c>
      <c r="E53" s="70"/>
    </row>
    <row r="54" spans="1:5" s="11" customFormat="1" ht="15.95" customHeight="1" x14ac:dyDescent="0.25">
      <c r="A54" s="11" t="s">
        <v>1256</v>
      </c>
      <c r="B54" s="25">
        <v>65794.649999999994</v>
      </c>
      <c r="C54" s="31">
        <v>44826</v>
      </c>
      <c r="D54" s="86">
        <v>44845</v>
      </c>
      <c r="E54" s="70"/>
    </row>
    <row r="55" spans="1:5" s="11" customFormat="1" ht="15.75" customHeight="1" x14ac:dyDescent="0.25">
      <c r="A55" s="11" t="s">
        <v>1286</v>
      </c>
      <c r="B55" s="25">
        <v>65919.5</v>
      </c>
      <c r="C55" s="31">
        <v>44824</v>
      </c>
      <c r="D55" s="86">
        <v>44855</v>
      </c>
      <c r="E55" s="70"/>
    </row>
    <row r="56" spans="1:5" s="11" customFormat="1" ht="15.95" customHeight="1" x14ac:dyDescent="0.25">
      <c r="A56" s="11" t="s">
        <v>1257</v>
      </c>
      <c r="B56" s="25">
        <v>66310.100000000006</v>
      </c>
      <c r="C56" s="31">
        <v>44830</v>
      </c>
      <c r="D56" s="86">
        <v>44852</v>
      </c>
      <c r="E56" s="70"/>
    </row>
    <row r="57" spans="1:5" s="11" customFormat="1" ht="15.95" customHeight="1" x14ac:dyDescent="0.25">
      <c r="A57" s="11" t="s">
        <v>1225</v>
      </c>
      <c r="B57" s="25">
        <v>66658.850000000006</v>
      </c>
      <c r="C57" s="31">
        <v>44833</v>
      </c>
      <c r="D57" s="87" t="s">
        <v>1284</v>
      </c>
      <c r="E57" s="70"/>
    </row>
    <row r="58" spans="1:5" s="11" customFormat="1" ht="15.95" customHeight="1" x14ac:dyDescent="0.25">
      <c r="A58" s="11" t="s">
        <v>1258</v>
      </c>
      <c r="B58" s="25">
        <v>66668.149999999994</v>
      </c>
      <c r="C58" s="31">
        <v>44832</v>
      </c>
      <c r="D58" s="86">
        <v>44855</v>
      </c>
      <c r="E58" s="70"/>
    </row>
    <row r="59" spans="1:5" s="11" customFormat="1" ht="15.95" customHeight="1" x14ac:dyDescent="0.25">
      <c r="A59" s="11" t="s">
        <v>1259</v>
      </c>
      <c r="B59" s="25">
        <v>66854.149999999994</v>
      </c>
      <c r="C59" s="31">
        <v>44824</v>
      </c>
      <c r="D59" s="86">
        <v>44841</v>
      </c>
      <c r="E59" s="70"/>
    </row>
    <row r="60" spans="1:5" s="11" customFormat="1" ht="15.95" customHeight="1" x14ac:dyDescent="0.25">
      <c r="A60" s="11" t="s">
        <v>1226</v>
      </c>
      <c r="B60" s="25">
        <v>67007.600000000006</v>
      </c>
      <c r="C60" s="31">
        <v>44833</v>
      </c>
      <c r="D60" s="87" t="s">
        <v>1284</v>
      </c>
      <c r="E60" s="70"/>
    </row>
    <row r="61" spans="1:5" s="11" customFormat="1" ht="15.95" customHeight="1" x14ac:dyDescent="0.25">
      <c r="A61" s="11" t="s">
        <v>1260</v>
      </c>
      <c r="B61" s="25">
        <v>67128.5</v>
      </c>
      <c r="C61" s="31">
        <v>44824</v>
      </c>
      <c r="D61" s="86">
        <v>44839</v>
      </c>
      <c r="E61" s="70"/>
    </row>
    <row r="62" spans="1:5" s="11" customFormat="1" ht="15.95" customHeight="1" x14ac:dyDescent="0.25">
      <c r="A62" s="11" t="s">
        <v>1261</v>
      </c>
      <c r="B62" s="25">
        <v>67221.5</v>
      </c>
      <c r="C62" s="31">
        <v>44832</v>
      </c>
      <c r="D62" s="86">
        <v>44855</v>
      </c>
      <c r="E62" s="70"/>
    </row>
    <row r="63" spans="1:5" s="11" customFormat="1" ht="15.95" customHeight="1" x14ac:dyDescent="0.25">
      <c r="A63" s="11" t="s">
        <v>1262</v>
      </c>
      <c r="B63" s="25">
        <v>67314.5</v>
      </c>
      <c r="C63" s="31">
        <v>44824</v>
      </c>
      <c r="D63" s="86">
        <v>44841</v>
      </c>
      <c r="E63" s="70"/>
    </row>
    <row r="64" spans="1:5" s="11" customFormat="1" ht="15.95" customHeight="1" x14ac:dyDescent="0.25">
      <c r="A64" s="11" t="s">
        <v>1227</v>
      </c>
      <c r="B64" s="25">
        <v>67607.45</v>
      </c>
      <c r="C64" s="31">
        <v>44833</v>
      </c>
      <c r="D64" s="87" t="s">
        <v>1282</v>
      </c>
      <c r="E64" s="70"/>
    </row>
    <row r="65" spans="1:5" s="11" customFormat="1" ht="15.95" customHeight="1" x14ac:dyDescent="0.25">
      <c r="A65" s="11" t="s">
        <v>1263</v>
      </c>
      <c r="B65" s="25">
        <v>70848.5</v>
      </c>
      <c r="C65" s="31">
        <v>44804</v>
      </c>
      <c r="D65" s="86" t="s">
        <v>1280</v>
      </c>
      <c r="E65" s="70"/>
    </row>
    <row r="66" spans="1:5" s="11" customFormat="1" ht="15.95" customHeight="1" x14ac:dyDescent="0.25">
      <c r="A66" s="11" t="s">
        <v>1228</v>
      </c>
      <c r="B66" s="25">
        <v>71090.3</v>
      </c>
      <c r="C66" s="31">
        <v>44833</v>
      </c>
      <c r="D66" s="87" t="s">
        <v>1284</v>
      </c>
      <c r="E66" s="70"/>
    </row>
    <row r="67" spans="1:5" s="11" customFormat="1" ht="15.95" customHeight="1" x14ac:dyDescent="0.25">
      <c r="A67" s="11" t="s">
        <v>1264</v>
      </c>
      <c r="B67" s="25">
        <v>71318.149999999994</v>
      </c>
      <c r="C67" s="31">
        <v>44833</v>
      </c>
      <c r="D67" s="86">
        <v>44854</v>
      </c>
      <c r="E67" s="70"/>
    </row>
    <row r="68" spans="1:5" s="11" customFormat="1" ht="15.95" customHeight="1" x14ac:dyDescent="0.25">
      <c r="A68" s="11" t="s">
        <v>1229</v>
      </c>
      <c r="B68" s="25">
        <v>71406.5</v>
      </c>
      <c r="C68" s="31">
        <v>44795</v>
      </c>
      <c r="D68" s="87" t="s">
        <v>1283</v>
      </c>
      <c r="E68" s="70"/>
    </row>
    <row r="69" spans="1:5" s="11" customFormat="1" ht="15.95" customHeight="1" x14ac:dyDescent="0.25">
      <c r="A69" s="11" t="s">
        <v>1265</v>
      </c>
      <c r="B69" s="25">
        <v>71406.5</v>
      </c>
      <c r="C69" s="31">
        <v>44832</v>
      </c>
      <c r="D69" s="86">
        <v>44854</v>
      </c>
      <c r="E69" s="70"/>
    </row>
    <row r="70" spans="1:5" s="11" customFormat="1" ht="15.95" customHeight="1" x14ac:dyDescent="0.25">
      <c r="A70" s="11" t="s">
        <v>1266</v>
      </c>
      <c r="B70" s="25">
        <v>71406.5</v>
      </c>
      <c r="C70" s="31">
        <v>44832</v>
      </c>
      <c r="D70" s="86">
        <v>44855</v>
      </c>
      <c r="E70" s="70"/>
    </row>
    <row r="71" spans="1:5" s="11" customFormat="1" ht="15.95" customHeight="1" x14ac:dyDescent="0.25">
      <c r="A71" s="11" t="s">
        <v>1267</v>
      </c>
      <c r="B71" s="25">
        <v>71406.5</v>
      </c>
      <c r="C71" s="31">
        <v>44827</v>
      </c>
      <c r="D71" s="86">
        <v>44854</v>
      </c>
      <c r="E71" s="70"/>
    </row>
    <row r="72" spans="1:5" s="11" customFormat="1" ht="15.95" customHeight="1" x14ac:dyDescent="0.25">
      <c r="A72" s="11" t="s">
        <v>1268</v>
      </c>
      <c r="B72" s="25">
        <v>71406.5</v>
      </c>
      <c r="C72" s="31">
        <v>44824</v>
      </c>
      <c r="D72" s="86">
        <v>44839</v>
      </c>
      <c r="E72" s="70"/>
    </row>
    <row r="73" spans="1:5" s="11" customFormat="1" ht="15.95" customHeight="1" x14ac:dyDescent="0.25">
      <c r="A73" s="11" t="s">
        <v>1269</v>
      </c>
      <c r="B73" s="25">
        <v>71406.5</v>
      </c>
      <c r="C73" s="31">
        <v>44832</v>
      </c>
      <c r="D73" s="86">
        <v>44854</v>
      </c>
      <c r="E73" s="70"/>
    </row>
    <row r="74" spans="1:5" s="11" customFormat="1" ht="15.95" customHeight="1" x14ac:dyDescent="0.25">
      <c r="A74" s="11" t="s">
        <v>1230</v>
      </c>
      <c r="B74" s="25">
        <v>71550.649999999994</v>
      </c>
      <c r="C74" s="31">
        <v>44833</v>
      </c>
      <c r="D74" s="87">
        <v>4200</v>
      </c>
      <c r="E74" s="70"/>
    </row>
    <row r="75" spans="1:5" s="11" customFormat="1" ht="15.95" customHeight="1" x14ac:dyDescent="0.25">
      <c r="A75" s="11" t="s">
        <v>1270</v>
      </c>
      <c r="B75" s="25">
        <v>78598.350000000006</v>
      </c>
      <c r="C75" s="31">
        <v>44823</v>
      </c>
      <c r="D75" s="86">
        <v>44837</v>
      </c>
      <c r="E75" s="70"/>
    </row>
    <row r="76" spans="1:5" s="11" customFormat="1" ht="15.95" customHeight="1" x14ac:dyDescent="0.25">
      <c r="A76" s="11" t="s">
        <v>1271</v>
      </c>
      <c r="B76" s="25">
        <v>79960.800000000003</v>
      </c>
      <c r="C76" s="31">
        <v>44790</v>
      </c>
      <c r="D76" s="86">
        <v>44837</v>
      </c>
      <c r="E76" s="70"/>
    </row>
    <row r="77" spans="1:5" s="11" customFormat="1" ht="15.95" customHeight="1" x14ac:dyDescent="0.25">
      <c r="A77" s="11" t="s">
        <v>1272</v>
      </c>
      <c r="B77" s="25">
        <v>80648.55</v>
      </c>
      <c r="C77" s="31">
        <v>44789</v>
      </c>
      <c r="D77" s="86">
        <v>44837</v>
      </c>
      <c r="E77" s="70"/>
    </row>
    <row r="78" spans="1:5" s="11" customFormat="1" ht="15.95" customHeight="1" x14ac:dyDescent="0.25">
      <c r="A78" s="11" t="s">
        <v>1231</v>
      </c>
      <c r="B78" s="25">
        <v>80977.75</v>
      </c>
      <c r="C78" s="31">
        <v>44812</v>
      </c>
      <c r="D78" s="86" t="s">
        <v>1282</v>
      </c>
      <c r="E78" s="70"/>
    </row>
    <row r="79" spans="1:5" s="11" customFormat="1" ht="15.95" customHeight="1" x14ac:dyDescent="0.25">
      <c r="A79" s="11" t="s">
        <v>1273</v>
      </c>
      <c r="B79" s="25">
        <v>81742.600000000006</v>
      </c>
      <c r="C79" s="31">
        <v>44831</v>
      </c>
      <c r="D79" s="86">
        <v>44838</v>
      </c>
      <c r="E79" s="70"/>
    </row>
    <row r="80" spans="1:5" s="11" customFormat="1" ht="15.95" customHeight="1" x14ac:dyDescent="0.25">
      <c r="A80" s="11" t="s">
        <v>1232</v>
      </c>
      <c r="B80" s="25">
        <v>82197.55</v>
      </c>
      <c r="C80" s="31">
        <v>44799</v>
      </c>
      <c r="D80" s="87" t="s">
        <v>1283</v>
      </c>
      <c r="E80" s="70"/>
    </row>
    <row r="81" spans="1:6" s="11" customFormat="1" ht="15.95" customHeight="1" x14ac:dyDescent="0.25">
      <c r="A81" s="11" t="s">
        <v>1274</v>
      </c>
      <c r="B81" s="25">
        <v>82300.600000000006</v>
      </c>
      <c r="C81" s="31">
        <v>44832</v>
      </c>
      <c r="D81" s="86">
        <v>44838</v>
      </c>
      <c r="E81" s="70"/>
    </row>
    <row r="82" spans="1:6" s="11" customFormat="1" ht="15.95" customHeight="1" x14ac:dyDescent="0.25">
      <c r="A82" s="11" t="s">
        <v>1275</v>
      </c>
      <c r="B82" s="25">
        <v>82432.05</v>
      </c>
      <c r="C82" s="31">
        <v>44810</v>
      </c>
      <c r="D82" s="86">
        <v>44853</v>
      </c>
      <c r="E82" s="70"/>
    </row>
    <row r="83" spans="1:6" s="11" customFormat="1" ht="15.95" customHeight="1" x14ac:dyDescent="0.25">
      <c r="A83" s="11" t="s">
        <v>1233</v>
      </c>
      <c r="B83" s="25">
        <v>82432.05</v>
      </c>
      <c r="C83" s="31">
        <v>44810</v>
      </c>
      <c r="D83" s="86" t="s">
        <v>1282</v>
      </c>
      <c r="E83" s="70"/>
    </row>
    <row r="84" spans="1:6" s="11" customFormat="1" ht="15.95" customHeight="1" x14ac:dyDescent="0.25">
      <c r="A84" s="11" t="s">
        <v>1276</v>
      </c>
      <c r="B84" s="25">
        <v>83310.899999999994</v>
      </c>
      <c r="C84" s="31">
        <v>44830</v>
      </c>
      <c r="D84" s="65" t="s">
        <v>1281</v>
      </c>
      <c r="E84" s="70"/>
    </row>
    <row r="85" spans="1:6" s="11" customFormat="1" ht="15.95" customHeight="1" x14ac:dyDescent="0.25">
      <c r="A85" s="11" t="s">
        <v>1277</v>
      </c>
      <c r="B85" s="25">
        <v>83455.05</v>
      </c>
      <c r="C85" s="31">
        <v>44834</v>
      </c>
      <c r="D85" s="86">
        <v>44839</v>
      </c>
      <c r="E85" s="70"/>
    </row>
    <row r="86" spans="1:6" s="11" customFormat="1" ht="15.95" customHeight="1" x14ac:dyDescent="0.25">
      <c r="A86" s="11" t="s">
        <v>1234</v>
      </c>
      <c r="B86" s="25">
        <v>84350.8</v>
      </c>
      <c r="C86" s="31">
        <v>44834</v>
      </c>
      <c r="D86" s="87" t="s">
        <v>1283</v>
      </c>
      <c r="E86" s="70"/>
    </row>
    <row r="87" spans="1:6" s="11" customFormat="1" ht="15.95" customHeight="1" x14ac:dyDescent="0.25">
      <c r="A87" s="11" t="s">
        <v>1278</v>
      </c>
      <c r="B87" s="25">
        <v>84908.800000000003</v>
      </c>
      <c r="C87" s="31">
        <v>44834</v>
      </c>
      <c r="D87" s="86">
        <v>44840</v>
      </c>
      <c r="E87" s="70"/>
    </row>
    <row r="88" spans="1:6" s="11" customFormat="1" ht="15.95" customHeight="1" x14ac:dyDescent="0.25">
      <c r="A88" s="11" t="s">
        <v>1279</v>
      </c>
      <c r="B88" s="25">
        <v>92323.6</v>
      </c>
      <c r="C88" s="31">
        <v>44816</v>
      </c>
      <c r="D88" s="86">
        <v>44848</v>
      </c>
      <c r="E88" s="70"/>
    </row>
    <row r="89" spans="1:6" s="11" customFormat="1" ht="14.1" customHeight="1" x14ac:dyDescent="0.25">
      <c r="A89" s="39"/>
      <c r="B89" s="46"/>
      <c r="C89" s="42"/>
      <c r="D89" s="43"/>
      <c r="E89" s="75"/>
      <c r="F89" s="39"/>
    </row>
    <row r="90" spans="1:6" s="11" customFormat="1" ht="15.95" customHeight="1" x14ac:dyDescent="0.25">
      <c r="B90" s="25">
        <f>SUM(B23:B89)</f>
        <v>4308502.3499999978</v>
      </c>
      <c r="C90" s="13"/>
      <c r="D90" s="51"/>
      <c r="E90" s="70"/>
    </row>
    <row r="91" spans="1:6" s="11" customFormat="1" ht="15.95" customHeight="1" x14ac:dyDescent="0.25">
      <c r="A91" s="11" t="s">
        <v>1</v>
      </c>
      <c r="B91" s="17">
        <f>B90+B21</f>
        <v>3897500.049999998</v>
      </c>
      <c r="C91" s="13"/>
      <c r="D91" s="51"/>
      <c r="E91" s="70"/>
    </row>
    <row r="92" spans="1:6" s="11" customFormat="1" ht="15.95" customHeight="1" x14ac:dyDescent="0.25">
      <c r="A92" s="11" t="s">
        <v>0</v>
      </c>
      <c r="B92" s="17">
        <f>B91-B7</f>
        <v>0</v>
      </c>
      <c r="C92" s="13"/>
      <c r="D92" s="51"/>
      <c r="E92" s="70"/>
    </row>
    <row r="93" spans="1:6" s="11" customFormat="1" ht="15.95" customHeight="1" x14ac:dyDescent="0.25">
      <c r="B93" s="17"/>
      <c r="C93" s="13"/>
      <c r="D93" s="51"/>
      <c r="E93" s="70"/>
    </row>
    <row r="94" spans="1:6" s="11" customFormat="1" ht="20.100000000000001" customHeight="1" x14ac:dyDescent="0.25">
      <c r="A94" s="213"/>
      <c r="B94" s="221"/>
      <c r="C94" s="207"/>
      <c r="D94" s="207"/>
      <c r="E94" s="70"/>
    </row>
    <row r="95" spans="1:6" s="11" customFormat="1" ht="20.100000000000001" customHeight="1" x14ac:dyDescent="0.25">
      <c r="A95" s="213"/>
      <c r="B95" s="221"/>
      <c r="C95" s="207"/>
      <c r="D95" s="207"/>
      <c r="E95" s="70"/>
    </row>
    <row r="96" spans="1:6" s="11" customFormat="1" ht="20.100000000000001" customHeight="1" x14ac:dyDescent="0.3">
      <c r="A96" s="1"/>
      <c r="B96" s="10"/>
      <c r="C96" s="13"/>
      <c r="D96" s="51"/>
      <c r="E96" s="70"/>
    </row>
    <row r="97" spans="1:9" s="11" customFormat="1" ht="20.100000000000001" customHeight="1" x14ac:dyDescent="0.3">
      <c r="A97" s="1"/>
      <c r="B97" s="10"/>
      <c r="C97" s="13"/>
      <c r="D97" s="51"/>
      <c r="E97" s="70"/>
    </row>
    <row r="98" spans="1:9" s="11" customFormat="1" ht="20.100000000000001" customHeight="1" x14ac:dyDescent="0.3">
      <c r="A98" s="1"/>
      <c r="B98" s="10"/>
      <c r="C98" s="13"/>
      <c r="D98" s="51"/>
      <c r="E98" s="70"/>
    </row>
    <row r="99" spans="1:9" s="13" customFormat="1" ht="20.100000000000001" customHeight="1" x14ac:dyDescent="0.3">
      <c r="A99" s="1"/>
      <c r="B99" s="10"/>
      <c r="D99" s="51"/>
      <c r="E99" s="70"/>
      <c r="F99" s="11"/>
      <c r="G99" s="11"/>
      <c r="H99" s="11"/>
      <c r="I99" s="11"/>
    </row>
    <row r="100" spans="1:9" s="13" customFormat="1" ht="20.100000000000001" customHeight="1" x14ac:dyDescent="0.3">
      <c r="A100" s="1"/>
      <c r="B100" s="10"/>
      <c r="D100" s="51"/>
      <c r="E100" s="70"/>
      <c r="F100" s="11"/>
      <c r="G100" s="11"/>
      <c r="H100" s="11"/>
      <c r="I100" s="11"/>
    </row>
    <row r="101" spans="1:9" s="13" customFormat="1" ht="20.100000000000001" customHeight="1" x14ac:dyDescent="0.3">
      <c r="A101" s="1"/>
      <c r="B101" s="10"/>
      <c r="D101" s="51"/>
      <c r="E101" s="70"/>
      <c r="F101" s="11"/>
      <c r="G101" s="11"/>
      <c r="H101" s="11"/>
      <c r="I101" s="11"/>
    </row>
    <row r="102" spans="1:9" ht="20.100000000000001" customHeight="1" x14ac:dyDescent="0.3"/>
    <row r="103" spans="1:9" ht="20.100000000000001" customHeight="1" x14ac:dyDescent="0.3"/>
    <row r="104" spans="1:9" ht="20.100000000000001" customHeight="1" x14ac:dyDescent="0.3"/>
    <row r="105" spans="1:9" ht="20.100000000000001" customHeight="1" x14ac:dyDescent="0.3"/>
  </sheetData>
  <mergeCells count="4">
    <mergeCell ref="A94:A95"/>
    <mergeCell ref="B94:B95"/>
    <mergeCell ref="C94:C95"/>
    <mergeCell ref="D94:D95"/>
  </mergeCells>
  <pageMargins left="0.7" right="0.7" top="0.75" bottom="0.75" header="0.3" footer="0.3"/>
  <pageSetup scale="90" fitToHeight="0" orientation="portrait" r:id="rId1"/>
  <ignoredErrors>
    <ignoredError sqref="D35 D39 D48:D49 D51 D57 D60 D66 D68 D80 D86" numberStoredAsText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51B00-69E2-42E5-967A-7A80A42757D5}">
  <sheetPr>
    <pageSetUpPr fitToPage="1"/>
  </sheetPr>
  <dimension ref="A1:X89"/>
  <sheetViews>
    <sheetView topLeftCell="A48" workbookViewId="0">
      <selection activeCell="B56" sqref="B56"/>
    </sheetView>
  </sheetViews>
  <sheetFormatPr defaultRowHeight="18.75" x14ac:dyDescent="0.3"/>
  <cols>
    <col min="1" max="1" width="20.7109375" style="1" customWidth="1"/>
    <col min="2" max="2" width="16.85546875" style="10" customWidth="1"/>
    <col min="3" max="3" width="28" style="6" bestFit="1" customWidth="1"/>
    <col min="4" max="4" width="19.7109375" style="82" customWidth="1"/>
    <col min="5" max="5" width="9.85546875" style="76" bestFit="1" customWidth="1"/>
    <col min="6" max="6" width="9.140625" style="1"/>
    <col min="7" max="7" width="35" style="1" bestFit="1" customWidth="1"/>
    <col min="8" max="8" width="5.5703125" style="90" bestFit="1" customWidth="1"/>
    <col min="9" max="16384" width="9.140625" style="1"/>
  </cols>
  <sheetData>
    <row r="1" spans="1:24" s="11" customFormat="1" ht="20.100000000000001" customHeight="1" x14ac:dyDescent="0.25">
      <c r="A1" s="11" t="s">
        <v>1203</v>
      </c>
      <c r="B1" s="17"/>
      <c r="C1" s="13"/>
      <c r="D1" s="51"/>
      <c r="E1" s="70"/>
      <c r="H1" s="88"/>
    </row>
    <row r="2" spans="1:24" s="11" customFormat="1" ht="20.100000000000001" customHeight="1" x14ac:dyDescent="0.25">
      <c r="A2" s="14">
        <v>44865</v>
      </c>
      <c r="B2" s="17"/>
      <c r="C2" s="13"/>
      <c r="D2" s="51"/>
      <c r="E2" s="70"/>
      <c r="H2" s="88"/>
    </row>
    <row r="3" spans="1:24" s="11" customFormat="1" ht="20.100000000000001" customHeight="1" x14ac:dyDescent="0.25">
      <c r="A3" s="11" t="s">
        <v>311</v>
      </c>
      <c r="B3" s="17">
        <v>12896684.08</v>
      </c>
      <c r="C3" s="13"/>
      <c r="D3" s="51"/>
      <c r="E3" s="70"/>
      <c r="H3" s="88"/>
      <c r="R3" s="89">
        <v>1000</v>
      </c>
      <c r="S3" s="11" t="s">
        <v>1339</v>
      </c>
    </row>
    <row r="4" spans="1:24" s="11" customFormat="1" ht="20.100000000000001" customHeight="1" x14ac:dyDescent="0.25">
      <c r="A4" s="11" t="s">
        <v>6</v>
      </c>
      <c r="B4" s="17"/>
      <c r="C4" s="13"/>
      <c r="D4" s="51"/>
      <c r="E4" s="70"/>
      <c r="H4" s="88"/>
      <c r="R4" s="89">
        <v>1100</v>
      </c>
      <c r="S4" s="11" t="s">
        <v>1340</v>
      </c>
    </row>
    <row r="5" spans="1:24" s="11" customFormat="1" ht="20.100000000000001" customHeight="1" x14ac:dyDescent="0.25">
      <c r="A5" s="11">
        <v>2100</v>
      </c>
      <c r="B5" s="17">
        <v>-9319036.4800000004</v>
      </c>
      <c r="C5" s="13"/>
      <c r="D5" s="51"/>
      <c r="E5" s="70"/>
      <c r="H5" s="88"/>
      <c r="R5" s="89">
        <v>1101</v>
      </c>
      <c r="S5" s="11" t="s">
        <v>1341</v>
      </c>
    </row>
    <row r="6" spans="1:24" s="11" customFormat="1" ht="20.100000000000001" customHeight="1" x14ac:dyDescent="0.25">
      <c r="A6" s="11" t="s">
        <v>5</v>
      </c>
      <c r="B6" s="17">
        <f>SUM(B5)</f>
        <v>-9319036.4800000004</v>
      </c>
      <c r="C6" s="13"/>
      <c r="D6" s="51"/>
      <c r="E6" s="70"/>
      <c r="H6" s="88"/>
      <c r="R6" s="89">
        <v>1102</v>
      </c>
      <c r="S6" s="11" t="s">
        <v>1342</v>
      </c>
      <c r="T6" s="62"/>
      <c r="U6" s="62"/>
      <c r="V6" s="62"/>
      <c r="W6" s="62"/>
      <c r="X6" s="62"/>
    </row>
    <row r="7" spans="1:24" s="11" customFormat="1" ht="20.100000000000001" customHeight="1" x14ac:dyDescent="0.25">
      <c r="A7" s="11" t="s">
        <v>4</v>
      </c>
      <c r="B7" s="17">
        <f>B6+B3</f>
        <v>3577647.5999999996</v>
      </c>
      <c r="C7" s="13"/>
      <c r="D7" s="51"/>
      <c r="E7" s="70"/>
      <c r="H7" s="88"/>
      <c r="R7" s="88">
        <v>2000</v>
      </c>
      <c r="S7" s="11" t="s">
        <v>1343</v>
      </c>
    </row>
    <row r="8" spans="1:24" s="11" customFormat="1" ht="15.95" customHeight="1" x14ac:dyDescent="0.25">
      <c r="A8" s="11" t="s">
        <v>3</v>
      </c>
      <c r="B8" s="17"/>
      <c r="C8" s="44" t="s">
        <v>628</v>
      </c>
      <c r="D8" s="80" t="s">
        <v>626</v>
      </c>
      <c r="E8" s="70"/>
      <c r="H8" s="88"/>
      <c r="R8" s="88">
        <v>2001</v>
      </c>
      <c r="S8" s="11" t="s">
        <v>1344</v>
      </c>
    </row>
    <row r="9" spans="1:24" s="11" customFormat="1" ht="15" customHeight="1" x14ac:dyDescent="0.25">
      <c r="A9" s="77" t="s">
        <v>1287</v>
      </c>
      <c r="B9" s="66">
        <v>-41246.25</v>
      </c>
      <c r="C9" s="31">
        <v>44839</v>
      </c>
      <c r="D9" s="14">
        <v>44866</v>
      </c>
      <c r="E9" s="71"/>
      <c r="F9" s="55"/>
      <c r="G9" s="55"/>
      <c r="R9" s="88">
        <v>2005</v>
      </c>
      <c r="S9" s="11" t="s">
        <v>1345</v>
      </c>
    </row>
    <row r="10" spans="1:24" s="11" customFormat="1" ht="15" customHeight="1" x14ac:dyDescent="0.25">
      <c r="A10" s="77" t="s">
        <v>1288</v>
      </c>
      <c r="B10" s="66">
        <v>-42130.75</v>
      </c>
      <c r="C10" s="31">
        <v>44839</v>
      </c>
      <c r="D10" s="84">
        <v>44866</v>
      </c>
      <c r="E10" s="71"/>
      <c r="F10" s="55"/>
      <c r="G10" s="55"/>
      <c r="R10" s="88">
        <v>2030</v>
      </c>
      <c r="S10" s="11" t="s">
        <v>1346</v>
      </c>
    </row>
    <row r="11" spans="1:24" s="11" customFormat="1" ht="15" customHeight="1" x14ac:dyDescent="0.25">
      <c r="A11" s="77" t="s">
        <v>1289</v>
      </c>
      <c r="B11" s="66">
        <v>-43423.6</v>
      </c>
      <c r="C11" s="31">
        <v>44839</v>
      </c>
      <c r="D11" s="85">
        <v>44866</v>
      </c>
      <c r="E11" s="47"/>
      <c r="F11" s="47"/>
      <c r="G11" s="55"/>
      <c r="R11" s="88">
        <v>2051</v>
      </c>
      <c r="S11" s="11" t="s">
        <v>1347</v>
      </c>
    </row>
    <row r="12" spans="1:24" s="62" customFormat="1" ht="15" customHeight="1" x14ac:dyDescent="0.25">
      <c r="A12" s="60"/>
      <c r="B12" s="79"/>
      <c r="C12" s="67"/>
      <c r="D12" s="53"/>
      <c r="E12" s="74"/>
      <c r="F12" s="54"/>
      <c r="G12" s="54"/>
      <c r="R12" s="88">
        <v>2500</v>
      </c>
      <c r="S12" s="11" t="s">
        <v>1348</v>
      </c>
      <c r="T12" s="11"/>
      <c r="U12" s="11"/>
      <c r="V12" s="11"/>
      <c r="W12" s="11"/>
      <c r="X12" s="11"/>
    </row>
    <row r="13" spans="1:24" s="11" customFormat="1" ht="15.95" customHeight="1" x14ac:dyDescent="0.25">
      <c r="B13" s="25">
        <f>SUM(B9:B12)</f>
        <v>-126800.6</v>
      </c>
      <c r="C13" s="18"/>
      <c r="D13" s="18"/>
      <c r="E13" s="75"/>
      <c r="F13" s="19"/>
      <c r="G13" s="19"/>
      <c r="R13" s="88">
        <v>3000</v>
      </c>
      <c r="S13" s="11" t="s">
        <v>1349</v>
      </c>
    </row>
    <row r="14" spans="1:24" s="11" customFormat="1" ht="15.95" customHeight="1" x14ac:dyDescent="0.25">
      <c r="A14" s="11" t="s">
        <v>2</v>
      </c>
      <c r="B14" s="25"/>
      <c r="C14" s="30" t="s">
        <v>626</v>
      </c>
      <c r="D14" s="81" t="s">
        <v>628</v>
      </c>
      <c r="E14" s="70"/>
      <c r="R14" s="88">
        <v>3100</v>
      </c>
      <c r="S14" s="11" t="s">
        <v>1350</v>
      </c>
    </row>
    <row r="15" spans="1:24" s="11" customFormat="1" ht="15.95" customHeight="1" x14ac:dyDescent="0.25">
      <c r="A15" s="11" t="s">
        <v>1337</v>
      </c>
      <c r="B15" s="25">
        <v>29406.15</v>
      </c>
      <c r="C15" s="31">
        <v>44823</v>
      </c>
      <c r="D15" s="86">
        <v>44876</v>
      </c>
      <c r="E15" s="70"/>
      <c r="R15" s="88">
        <v>3300</v>
      </c>
      <c r="S15" s="11" t="s">
        <v>1351</v>
      </c>
    </row>
    <row r="16" spans="1:24" s="11" customFormat="1" ht="15.95" customHeight="1" x14ac:dyDescent="0.25">
      <c r="A16" s="11" t="s">
        <v>1290</v>
      </c>
      <c r="B16" s="25">
        <v>44152.95</v>
      </c>
      <c r="C16" s="31">
        <v>44860</v>
      </c>
      <c r="D16" s="91">
        <v>3800</v>
      </c>
      <c r="E16" s="70"/>
      <c r="R16" s="88">
        <v>3400</v>
      </c>
      <c r="S16" s="11" t="s">
        <v>1352</v>
      </c>
    </row>
    <row r="17" spans="1:19" s="11" customFormat="1" ht="15.95" customHeight="1" x14ac:dyDescent="0.25">
      <c r="A17" s="11" t="s">
        <v>1291</v>
      </c>
      <c r="B17" s="25">
        <v>44292.45</v>
      </c>
      <c r="C17" s="31">
        <v>44859</v>
      </c>
      <c r="D17" s="91">
        <v>3800</v>
      </c>
      <c r="E17" s="70"/>
      <c r="R17" s="88">
        <v>3450</v>
      </c>
      <c r="S17" s="11" t="s">
        <v>1353</v>
      </c>
    </row>
    <row r="18" spans="1:19" s="11" customFormat="1" ht="15.95" customHeight="1" x14ac:dyDescent="0.25">
      <c r="A18" s="11" t="s">
        <v>1292</v>
      </c>
      <c r="B18" s="25">
        <v>45915.3</v>
      </c>
      <c r="C18" s="31">
        <v>44858</v>
      </c>
      <c r="D18" s="91">
        <v>3800</v>
      </c>
      <c r="E18" s="70"/>
      <c r="R18" s="88">
        <v>3550</v>
      </c>
      <c r="S18" s="11" t="s">
        <v>1354</v>
      </c>
    </row>
    <row r="19" spans="1:19" s="11" customFormat="1" ht="15.95" customHeight="1" x14ac:dyDescent="0.25">
      <c r="A19" s="11" t="s">
        <v>1293</v>
      </c>
      <c r="B19" s="25">
        <v>48043.9</v>
      </c>
      <c r="C19" s="31">
        <v>44859</v>
      </c>
      <c r="D19" s="86">
        <v>44869</v>
      </c>
      <c r="E19" s="70"/>
      <c r="R19" s="88">
        <v>3575</v>
      </c>
      <c r="S19" s="11" t="s">
        <v>1355</v>
      </c>
    </row>
    <row r="20" spans="1:19" s="11" customFormat="1" ht="15.95" customHeight="1" x14ac:dyDescent="0.25">
      <c r="A20" s="11" t="s">
        <v>1294</v>
      </c>
      <c r="B20" s="25">
        <v>48136.9</v>
      </c>
      <c r="C20" s="31">
        <v>44858</v>
      </c>
      <c r="D20" s="86">
        <v>44866</v>
      </c>
      <c r="E20" s="70"/>
      <c r="R20" s="88">
        <v>3800</v>
      </c>
      <c r="S20" s="11" t="s">
        <v>1356</v>
      </c>
    </row>
    <row r="21" spans="1:19" s="11" customFormat="1" ht="15.95" customHeight="1" x14ac:dyDescent="0.25">
      <c r="A21" s="11" t="s">
        <v>1295</v>
      </c>
      <c r="B21" s="25">
        <v>48601.9</v>
      </c>
      <c r="C21" s="31">
        <v>44833</v>
      </c>
      <c r="D21" s="86">
        <v>44869</v>
      </c>
      <c r="E21" s="70"/>
      <c r="R21" s="88">
        <v>4000</v>
      </c>
      <c r="S21" s="11" t="s">
        <v>1357</v>
      </c>
    </row>
    <row r="22" spans="1:19" s="11" customFormat="1" ht="15.95" customHeight="1" x14ac:dyDescent="0.25">
      <c r="A22" s="11" t="s">
        <v>1296</v>
      </c>
      <c r="B22" s="25">
        <v>48746.05</v>
      </c>
      <c r="C22" s="31">
        <v>44833</v>
      </c>
      <c r="D22" s="86">
        <v>44872</v>
      </c>
      <c r="E22" s="70"/>
      <c r="R22" s="88">
        <v>4104</v>
      </c>
      <c r="S22" s="11" t="s">
        <v>1359</v>
      </c>
    </row>
    <row r="23" spans="1:19" s="11" customFormat="1" ht="15.95" customHeight="1" x14ac:dyDescent="0.25">
      <c r="A23" s="11" t="s">
        <v>1297</v>
      </c>
      <c r="B23" s="25">
        <v>51772.65</v>
      </c>
      <c r="C23" s="31">
        <v>44854</v>
      </c>
      <c r="D23" s="91" t="s">
        <v>1282</v>
      </c>
      <c r="E23" s="70"/>
      <c r="R23" s="88">
        <v>4106</v>
      </c>
      <c r="S23" s="11" t="s">
        <v>1358</v>
      </c>
    </row>
    <row r="24" spans="1:19" s="11" customFormat="1" ht="15.95" customHeight="1" x14ac:dyDescent="0.25">
      <c r="A24" s="11" t="s">
        <v>1298</v>
      </c>
      <c r="B24" s="25">
        <v>52233</v>
      </c>
      <c r="C24" s="31">
        <v>44848</v>
      </c>
      <c r="D24" s="91" t="s">
        <v>1282</v>
      </c>
      <c r="E24" s="70"/>
      <c r="R24" s="88">
        <v>4150</v>
      </c>
      <c r="S24" s="11" t="s">
        <v>1360</v>
      </c>
    </row>
    <row r="25" spans="1:19" s="11" customFormat="1" ht="15.95" customHeight="1" x14ac:dyDescent="0.25">
      <c r="A25" s="11" t="s">
        <v>1299</v>
      </c>
      <c r="B25" s="25">
        <v>52233</v>
      </c>
      <c r="C25" s="31">
        <v>44848</v>
      </c>
      <c r="D25" s="91" t="s">
        <v>1282</v>
      </c>
      <c r="E25" s="70"/>
      <c r="R25" s="92" t="s">
        <v>1361</v>
      </c>
      <c r="S25" s="11" t="s">
        <v>1362</v>
      </c>
    </row>
    <row r="26" spans="1:19" s="11" customFormat="1" ht="15.95" customHeight="1" x14ac:dyDescent="0.25">
      <c r="A26" s="11" t="s">
        <v>1300</v>
      </c>
      <c r="B26" s="25">
        <v>52233</v>
      </c>
      <c r="C26" s="31">
        <v>44848</v>
      </c>
      <c r="D26" s="91">
        <v>3800</v>
      </c>
      <c r="E26" s="70"/>
      <c r="R26" s="88">
        <v>4200</v>
      </c>
      <c r="S26" s="11" t="s">
        <v>1363</v>
      </c>
    </row>
    <row r="27" spans="1:19" s="11" customFormat="1" ht="15.95" customHeight="1" x14ac:dyDescent="0.25">
      <c r="A27" s="11" t="s">
        <v>1301</v>
      </c>
      <c r="B27" s="25">
        <v>52257.75</v>
      </c>
      <c r="C27" s="31">
        <v>44865</v>
      </c>
      <c r="D27" s="91">
        <v>3800</v>
      </c>
      <c r="E27" s="70"/>
      <c r="R27" s="88">
        <v>4300</v>
      </c>
      <c r="S27" s="11" t="s">
        <v>1364</v>
      </c>
    </row>
    <row r="28" spans="1:19" s="11" customFormat="1" ht="15.95" customHeight="1" x14ac:dyDescent="0.25">
      <c r="A28" s="11" t="s">
        <v>1302</v>
      </c>
      <c r="B28" s="25">
        <v>52380.25</v>
      </c>
      <c r="C28" s="31">
        <v>44854</v>
      </c>
      <c r="D28" s="86">
        <v>44872</v>
      </c>
      <c r="E28" s="70"/>
      <c r="R28" s="88">
        <v>4800</v>
      </c>
      <c r="S28" s="11" t="s">
        <v>1365</v>
      </c>
    </row>
    <row r="29" spans="1:19" s="11" customFormat="1" ht="15.95" customHeight="1" x14ac:dyDescent="0.25">
      <c r="A29" s="11" t="s">
        <v>1303</v>
      </c>
      <c r="B29" s="25">
        <v>56964.4</v>
      </c>
      <c r="C29" s="31">
        <v>44845</v>
      </c>
      <c r="D29" s="86">
        <v>44869</v>
      </c>
      <c r="E29" s="70"/>
      <c r="R29" s="88">
        <v>5000</v>
      </c>
      <c r="S29" s="11" t="s">
        <v>1366</v>
      </c>
    </row>
    <row r="30" spans="1:19" s="11" customFormat="1" ht="15.95" customHeight="1" x14ac:dyDescent="0.25">
      <c r="A30" s="11" t="s">
        <v>1304</v>
      </c>
      <c r="B30" s="25">
        <v>56964.4</v>
      </c>
      <c r="C30" s="31">
        <v>44846</v>
      </c>
      <c r="D30" s="86">
        <v>44873</v>
      </c>
      <c r="E30" s="70"/>
    </row>
    <row r="31" spans="1:19" s="11" customFormat="1" ht="15.95" customHeight="1" x14ac:dyDescent="0.25">
      <c r="A31" s="11" t="s">
        <v>1305</v>
      </c>
      <c r="B31" s="25">
        <v>57047.3</v>
      </c>
      <c r="C31" s="31">
        <v>44855</v>
      </c>
      <c r="D31" s="91" t="s">
        <v>1282</v>
      </c>
      <c r="E31" s="70"/>
    </row>
    <row r="32" spans="1:19" s="11" customFormat="1" ht="15.95" customHeight="1" x14ac:dyDescent="0.25">
      <c r="A32" s="11" t="s">
        <v>1306</v>
      </c>
      <c r="B32" s="25">
        <v>57507.65</v>
      </c>
      <c r="C32" s="31">
        <v>44858</v>
      </c>
      <c r="D32" s="91" t="s">
        <v>1282</v>
      </c>
      <c r="E32" s="70"/>
    </row>
    <row r="33" spans="1:8" s="11" customFormat="1" ht="15.95" customHeight="1" x14ac:dyDescent="0.25">
      <c r="A33" s="11" t="s">
        <v>1307</v>
      </c>
      <c r="B33" s="25">
        <v>57507.65</v>
      </c>
      <c r="C33" s="31">
        <v>44858</v>
      </c>
      <c r="D33" s="91" t="s">
        <v>1282</v>
      </c>
      <c r="E33" s="70"/>
    </row>
    <row r="34" spans="1:8" s="11" customFormat="1" ht="15.95" customHeight="1" x14ac:dyDescent="0.25">
      <c r="A34" s="11" t="s">
        <v>1338</v>
      </c>
      <c r="B34" s="25">
        <v>57522.400000000001</v>
      </c>
      <c r="C34" s="31">
        <v>44840</v>
      </c>
      <c r="D34" s="86">
        <v>44879</v>
      </c>
      <c r="E34" s="70"/>
    </row>
    <row r="35" spans="1:8" s="11" customFormat="1" ht="15.95" customHeight="1" x14ac:dyDescent="0.25">
      <c r="A35" s="11" t="s">
        <v>1308</v>
      </c>
      <c r="B35" s="25">
        <v>57522.400000000001</v>
      </c>
      <c r="C35" s="31">
        <v>44851</v>
      </c>
      <c r="D35" s="91">
        <v>3800</v>
      </c>
      <c r="E35" s="70"/>
    </row>
    <row r="36" spans="1:8" s="11" customFormat="1" ht="15.95" customHeight="1" x14ac:dyDescent="0.25">
      <c r="A36" s="11" t="s">
        <v>1309</v>
      </c>
      <c r="B36" s="25">
        <v>57522.400000000001</v>
      </c>
      <c r="C36" s="31">
        <v>44859</v>
      </c>
      <c r="D36" s="86">
        <v>44866</v>
      </c>
      <c r="E36" s="70"/>
      <c r="H36" s="88"/>
    </row>
    <row r="37" spans="1:8" s="11" customFormat="1" ht="15.95" customHeight="1" x14ac:dyDescent="0.25">
      <c r="A37" s="11" t="s">
        <v>1310</v>
      </c>
      <c r="B37" s="25">
        <v>58198.95</v>
      </c>
      <c r="C37" s="31">
        <v>44838</v>
      </c>
      <c r="D37" s="91" t="s">
        <v>1282</v>
      </c>
      <c r="E37" s="70"/>
      <c r="H37" s="88"/>
    </row>
    <row r="38" spans="1:8" s="11" customFormat="1" ht="15.95" customHeight="1" x14ac:dyDescent="0.25">
      <c r="A38" s="11" t="s">
        <v>1311</v>
      </c>
      <c r="B38" s="25">
        <v>58939.85</v>
      </c>
      <c r="C38" s="31">
        <v>44837</v>
      </c>
      <c r="D38" s="91" t="s">
        <v>1282</v>
      </c>
      <c r="E38" s="70"/>
      <c r="H38" s="88"/>
    </row>
    <row r="39" spans="1:8" s="11" customFormat="1" ht="15.95" customHeight="1" x14ac:dyDescent="0.25">
      <c r="A39" s="11" t="s">
        <v>1218</v>
      </c>
      <c r="B39" s="25">
        <v>59012.7</v>
      </c>
      <c r="C39" s="31">
        <v>44783</v>
      </c>
      <c r="D39" s="91">
        <v>3800</v>
      </c>
      <c r="E39" s="70"/>
    </row>
    <row r="40" spans="1:8" s="11" customFormat="1" ht="15.95" customHeight="1" x14ac:dyDescent="0.25">
      <c r="A40" s="11" t="s">
        <v>1312</v>
      </c>
      <c r="B40" s="25">
        <v>59539.7</v>
      </c>
      <c r="C40" s="31">
        <v>44853</v>
      </c>
      <c r="D40" s="91" t="s">
        <v>1282</v>
      </c>
      <c r="E40" s="70"/>
      <c r="H40" s="88"/>
    </row>
    <row r="41" spans="1:8" s="11" customFormat="1" ht="15.95" customHeight="1" x14ac:dyDescent="0.25">
      <c r="A41" s="11" t="s">
        <v>1219</v>
      </c>
      <c r="B41" s="25">
        <v>60815.35</v>
      </c>
      <c r="C41" s="31">
        <v>44804</v>
      </c>
      <c r="D41" s="91" t="s">
        <v>1282</v>
      </c>
      <c r="E41" s="70"/>
      <c r="H41" s="88"/>
    </row>
    <row r="42" spans="1:8" s="11" customFormat="1" ht="15.95" customHeight="1" x14ac:dyDescent="0.25">
      <c r="A42" s="11" t="s">
        <v>1313</v>
      </c>
      <c r="B42" s="25">
        <v>62729.599999999999</v>
      </c>
      <c r="C42" s="31">
        <v>44862</v>
      </c>
      <c r="D42" s="91">
        <v>3800</v>
      </c>
      <c r="E42" s="70"/>
      <c r="H42" s="88"/>
    </row>
    <row r="43" spans="1:8" s="11" customFormat="1" ht="15.95" customHeight="1" x14ac:dyDescent="0.25">
      <c r="A43" s="11" t="s">
        <v>1220</v>
      </c>
      <c r="B43" s="25">
        <v>62957.45</v>
      </c>
      <c r="C43" s="31">
        <v>44833</v>
      </c>
      <c r="D43" s="91" t="s">
        <v>1282</v>
      </c>
      <c r="E43" s="70"/>
      <c r="H43" s="88"/>
    </row>
    <row r="44" spans="1:8" s="11" customFormat="1" ht="15.95" customHeight="1" x14ac:dyDescent="0.25">
      <c r="A44" s="11" t="s">
        <v>1222</v>
      </c>
      <c r="B44" s="25">
        <v>63417.8</v>
      </c>
      <c r="C44" s="31">
        <v>44833</v>
      </c>
      <c r="D44" s="91" t="s">
        <v>1282</v>
      </c>
      <c r="E44" s="70"/>
      <c r="H44" s="88"/>
    </row>
    <row r="45" spans="1:8" s="11" customFormat="1" ht="15.95" customHeight="1" x14ac:dyDescent="0.25">
      <c r="A45" s="11" t="s">
        <v>1314</v>
      </c>
      <c r="B45" s="25">
        <v>63882.8</v>
      </c>
      <c r="C45" s="31">
        <v>44848</v>
      </c>
      <c r="D45" s="91" t="s">
        <v>1282</v>
      </c>
      <c r="E45" s="70"/>
      <c r="H45" s="88"/>
    </row>
    <row r="46" spans="1:8" s="11" customFormat="1" ht="15.95" customHeight="1" x14ac:dyDescent="0.25">
      <c r="A46" s="11" t="s">
        <v>1315</v>
      </c>
      <c r="B46" s="25">
        <v>63882.8</v>
      </c>
      <c r="C46" s="31">
        <v>44848</v>
      </c>
      <c r="D46" s="91" t="s">
        <v>1282</v>
      </c>
      <c r="E46" s="70"/>
      <c r="H46" s="88"/>
    </row>
    <row r="47" spans="1:8" s="11" customFormat="1" ht="15.75" customHeight="1" x14ac:dyDescent="0.25">
      <c r="A47" s="11" t="s">
        <v>1316</v>
      </c>
      <c r="B47" s="25">
        <v>64343.15</v>
      </c>
      <c r="C47" s="31">
        <v>44848</v>
      </c>
      <c r="D47" s="91" t="s">
        <v>1282</v>
      </c>
      <c r="E47" s="70"/>
      <c r="H47" s="88"/>
    </row>
    <row r="48" spans="1:8" s="11" customFormat="1" ht="15.95" customHeight="1" x14ac:dyDescent="0.25">
      <c r="A48" s="11" t="s">
        <v>1223</v>
      </c>
      <c r="B48" s="25">
        <v>64343.15</v>
      </c>
      <c r="C48" s="31">
        <v>44833</v>
      </c>
      <c r="D48" s="91" t="s">
        <v>1282</v>
      </c>
      <c r="E48" s="70"/>
      <c r="H48" s="88"/>
    </row>
    <row r="49" spans="1:8" s="11" customFormat="1" ht="15.95" customHeight="1" x14ac:dyDescent="0.25">
      <c r="A49" s="11" t="s">
        <v>1317</v>
      </c>
      <c r="B49" s="25">
        <v>65408.25</v>
      </c>
      <c r="C49" s="31">
        <v>44848</v>
      </c>
      <c r="D49" s="91" t="s">
        <v>1282</v>
      </c>
      <c r="E49" s="70"/>
      <c r="H49" s="88"/>
    </row>
    <row r="50" spans="1:8" s="11" customFormat="1" ht="15.95" customHeight="1" x14ac:dyDescent="0.25">
      <c r="A50" s="11" t="s">
        <v>1318</v>
      </c>
      <c r="B50" s="25">
        <v>66100.850000000006</v>
      </c>
      <c r="C50" s="31">
        <v>44848</v>
      </c>
      <c r="D50" s="91" t="s">
        <v>1282</v>
      </c>
      <c r="E50" s="70"/>
      <c r="H50" s="88"/>
    </row>
    <row r="51" spans="1:8" s="11" customFormat="1" ht="15.95" customHeight="1" x14ac:dyDescent="0.25">
      <c r="A51" s="11" t="s">
        <v>1225</v>
      </c>
      <c r="B51" s="25">
        <v>66658.850000000006</v>
      </c>
      <c r="C51" s="31">
        <v>44833</v>
      </c>
      <c r="D51" s="91" t="s">
        <v>1282</v>
      </c>
      <c r="E51" s="70"/>
      <c r="H51" s="88"/>
    </row>
    <row r="52" spans="1:8" s="11" customFormat="1" ht="15.95" customHeight="1" x14ac:dyDescent="0.25">
      <c r="A52" s="11" t="s">
        <v>1319</v>
      </c>
      <c r="B52" s="25">
        <v>69620.899999999994</v>
      </c>
      <c r="C52" s="31">
        <v>44841</v>
      </c>
      <c r="D52" s="86">
        <v>44873</v>
      </c>
      <c r="E52" s="70"/>
      <c r="H52" s="88"/>
    </row>
    <row r="53" spans="1:8" s="11" customFormat="1" ht="15.95" customHeight="1" x14ac:dyDescent="0.25">
      <c r="A53" s="11" t="s">
        <v>1320</v>
      </c>
      <c r="B53" s="25">
        <v>70388.149999999994</v>
      </c>
      <c r="C53" s="31">
        <v>44848</v>
      </c>
      <c r="D53" s="91" t="s">
        <v>1282</v>
      </c>
      <c r="E53" s="70"/>
      <c r="H53" s="88"/>
    </row>
    <row r="54" spans="1:8" s="11" customFormat="1" ht="15.95" customHeight="1" x14ac:dyDescent="0.25">
      <c r="A54" s="11" t="s">
        <v>1321</v>
      </c>
      <c r="B54" s="25">
        <v>70848.5</v>
      </c>
      <c r="C54" s="31">
        <v>44840</v>
      </c>
      <c r="D54" s="91" t="s">
        <v>1282</v>
      </c>
      <c r="E54" s="70"/>
      <c r="H54" s="88"/>
    </row>
    <row r="55" spans="1:8" s="11" customFormat="1" ht="15.95" customHeight="1" x14ac:dyDescent="0.25">
      <c r="A55" s="11" t="s">
        <v>1325</v>
      </c>
      <c r="B55" s="25">
        <v>71406.5</v>
      </c>
      <c r="C55" s="31">
        <v>44795</v>
      </c>
      <c r="D55" s="86">
        <v>44868</v>
      </c>
      <c r="E55" s="70"/>
      <c r="H55" s="88"/>
    </row>
    <row r="56" spans="1:8" s="11" customFormat="1" ht="15.95" customHeight="1" x14ac:dyDescent="0.25">
      <c r="A56" s="11" t="s">
        <v>1322</v>
      </c>
      <c r="B56" s="25">
        <v>71406.5</v>
      </c>
      <c r="C56" s="31">
        <v>44848</v>
      </c>
      <c r="D56" s="91" t="s">
        <v>1282</v>
      </c>
      <c r="E56" s="70"/>
      <c r="H56" s="88"/>
    </row>
    <row r="57" spans="1:8" s="11" customFormat="1" ht="15.95" customHeight="1" x14ac:dyDescent="0.25">
      <c r="A57" s="11" t="s">
        <v>1323</v>
      </c>
      <c r="B57" s="25">
        <v>71571.399999999994</v>
      </c>
      <c r="C57" s="31">
        <v>44860</v>
      </c>
      <c r="D57" s="91">
        <v>4800</v>
      </c>
      <c r="E57" s="70"/>
      <c r="H57" s="88"/>
    </row>
    <row r="58" spans="1:8" s="11" customFormat="1" ht="15.95" customHeight="1" x14ac:dyDescent="0.25">
      <c r="A58" s="11" t="s">
        <v>1324</v>
      </c>
      <c r="B58" s="25">
        <v>72610.850000000006</v>
      </c>
      <c r="C58" s="31">
        <v>44848</v>
      </c>
      <c r="D58" s="91" t="s">
        <v>1282</v>
      </c>
      <c r="E58" s="70"/>
      <c r="H58" s="88"/>
    </row>
    <row r="59" spans="1:8" s="11" customFormat="1" ht="15.95" customHeight="1" x14ac:dyDescent="0.25">
      <c r="A59" s="11" t="s">
        <v>1326</v>
      </c>
      <c r="B59" s="25">
        <v>78238.899999999994</v>
      </c>
      <c r="C59" s="31">
        <v>44845</v>
      </c>
      <c r="D59" s="91">
        <v>3800</v>
      </c>
      <c r="E59" s="70"/>
      <c r="H59" s="88"/>
    </row>
    <row r="60" spans="1:8" s="11" customFormat="1" ht="15.95" customHeight="1" x14ac:dyDescent="0.25">
      <c r="A60" s="11" t="s">
        <v>1327</v>
      </c>
      <c r="B60" s="25">
        <v>78238.899999999994</v>
      </c>
      <c r="C60" s="31">
        <v>44845</v>
      </c>
      <c r="D60" s="91">
        <v>3800</v>
      </c>
      <c r="E60" s="70"/>
      <c r="H60" s="88"/>
    </row>
    <row r="61" spans="1:8" s="11" customFormat="1" ht="15.95" customHeight="1" x14ac:dyDescent="0.25">
      <c r="A61" s="11" t="s">
        <v>1328</v>
      </c>
      <c r="B61" s="25">
        <v>79860.800000000003</v>
      </c>
      <c r="C61" s="31">
        <v>44865</v>
      </c>
      <c r="D61" s="91">
        <v>4200</v>
      </c>
      <c r="E61" s="70"/>
      <c r="H61" s="88"/>
    </row>
    <row r="62" spans="1:8" s="11" customFormat="1" ht="15.95" customHeight="1" x14ac:dyDescent="0.25">
      <c r="A62" s="11" t="s">
        <v>1329</v>
      </c>
      <c r="B62" s="25">
        <v>80140.75</v>
      </c>
      <c r="C62" s="31">
        <v>44859</v>
      </c>
      <c r="D62" s="91" t="s">
        <v>1282</v>
      </c>
      <c r="E62" s="70"/>
      <c r="H62" s="88"/>
    </row>
    <row r="63" spans="1:8" s="11" customFormat="1" ht="15.95" customHeight="1" x14ac:dyDescent="0.25">
      <c r="A63" s="11" t="s">
        <v>1330</v>
      </c>
      <c r="B63" s="25">
        <v>80977.75</v>
      </c>
      <c r="C63" s="31">
        <v>44838</v>
      </c>
      <c r="D63" s="91" t="s">
        <v>1282</v>
      </c>
      <c r="E63" s="70"/>
      <c r="H63" s="88"/>
    </row>
    <row r="64" spans="1:8" s="11" customFormat="1" ht="15.95" customHeight="1" x14ac:dyDescent="0.25">
      <c r="A64" s="11" t="s">
        <v>1231</v>
      </c>
      <c r="B64" s="25">
        <v>80977.75</v>
      </c>
      <c r="C64" s="31">
        <v>44812</v>
      </c>
      <c r="D64" s="91" t="s">
        <v>1282</v>
      </c>
      <c r="E64" s="70"/>
      <c r="H64" s="88"/>
    </row>
    <row r="65" spans="1:8" s="11" customFormat="1" ht="15.95" customHeight="1" x14ac:dyDescent="0.25">
      <c r="A65" s="11" t="s">
        <v>1335</v>
      </c>
      <c r="B65" s="25">
        <v>80977.75</v>
      </c>
      <c r="C65" s="31">
        <v>44851</v>
      </c>
      <c r="D65" s="91" t="s">
        <v>1282</v>
      </c>
      <c r="E65" s="70"/>
      <c r="H65" s="88"/>
    </row>
    <row r="66" spans="1:8" s="11" customFormat="1" ht="15.95" customHeight="1" x14ac:dyDescent="0.25">
      <c r="A66" s="11" t="s">
        <v>1331</v>
      </c>
      <c r="B66" s="25">
        <v>81230.75</v>
      </c>
      <c r="C66" s="31">
        <v>44865</v>
      </c>
      <c r="D66" s="86">
        <v>44866</v>
      </c>
      <c r="E66" s="70"/>
      <c r="H66" s="88"/>
    </row>
    <row r="67" spans="1:8" s="11" customFormat="1" ht="15.95" customHeight="1" x14ac:dyDescent="0.25">
      <c r="A67" s="11" t="s">
        <v>1336</v>
      </c>
      <c r="B67" s="25">
        <v>81370.25</v>
      </c>
      <c r="C67" s="31">
        <v>44862</v>
      </c>
      <c r="D67" s="86">
        <v>44873</v>
      </c>
      <c r="E67" s="70"/>
      <c r="H67" s="88"/>
    </row>
    <row r="68" spans="1:8" s="11" customFormat="1" ht="15.95" customHeight="1" x14ac:dyDescent="0.25">
      <c r="A68" s="11" t="s">
        <v>1332</v>
      </c>
      <c r="B68" s="25">
        <v>81700.399999999994</v>
      </c>
      <c r="C68" s="31">
        <v>44840</v>
      </c>
      <c r="D68" s="91" t="s">
        <v>1282</v>
      </c>
      <c r="E68" s="70"/>
      <c r="H68" s="88"/>
    </row>
    <row r="69" spans="1:8" s="11" customFormat="1" ht="15.95" customHeight="1" x14ac:dyDescent="0.25">
      <c r="A69" s="11" t="s">
        <v>1333</v>
      </c>
      <c r="B69" s="25">
        <v>82197.55</v>
      </c>
      <c r="C69" s="31">
        <v>44799</v>
      </c>
      <c r="D69" s="86">
        <v>44867</v>
      </c>
      <c r="E69" s="70"/>
      <c r="H69" s="88"/>
    </row>
    <row r="70" spans="1:8" s="11" customFormat="1" ht="15.95" customHeight="1" x14ac:dyDescent="0.25">
      <c r="A70" s="11" t="s">
        <v>1233</v>
      </c>
      <c r="B70" s="25">
        <v>82432.05</v>
      </c>
      <c r="C70" s="31">
        <v>44810</v>
      </c>
      <c r="D70" s="91" t="s">
        <v>1282</v>
      </c>
      <c r="E70" s="70"/>
      <c r="H70" s="88"/>
    </row>
    <row r="71" spans="1:8" s="11" customFormat="1" ht="15.95" customHeight="1" x14ac:dyDescent="0.25">
      <c r="A71" s="11" t="s">
        <v>1234</v>
      </c>
      <c r="B71" s="25">
        <v>84350.8</v>
      </c>
      <c r="C71" s="31">
        <v>44834</v>
      </c>
      <c r="D71" s="91">
        <v>3800</v>
      </c>
      <c r="E71" s="70"/>
      <c r="H71" s="88"/>
    </row>
    <row r="72" spans="1:8" s="11" customFormat="1" ht="15.95" customHeight="1" x14ac:dyDescent="0.25">
      <c r="A72" s="11" t="s">
        <v>1334</v>
      </c>
      <c r="B72" s="25">
        <v>84705.9</v>
      </c>
      <c r="C72" s="31">
        <v>44854</v>
      </c>
      <c r="D72" s="86">
        <v>44869</v>
      </c>
      <c r="E72" s="70"/>
      <c r="H72" s="88"/>
    </row>
    <row r="73" spans="1:8" s="11" customFormat="1" ht="14.1" customHeight="1" x14ac:dyDescent="0.25">
      <c r="A73" s="39"/>
      <c r="B73" s="46"/>
      <c r="C73" s="42"/>
      <c r="D73" s="43"/>
      <c r="E73" s="75"/>
      <c r="F73" s="39"/>
      <c r="H73" s="88"/>
    </row>
    <row r="74" spans="1:8" s="11" customFormat="1" ht="15.95" customHeight="1" x14ac:dyDescent="0.25">
      <c r="B74" s="25">
        <f>SUM(B15:B73)</f>
        <v>3704448.1999999993</v>
      </c>
      <c r="C74" s="13"/>
      <c r="D74" s="51"/>
      <c r="E74" s="70"/>
      <c r="H74" s="88"/>
    </row>
    <row r="75" spans="1:8" s="11" customFormat="1" ht="15.95" customHeight="1" x14ac:dyDescent="0.25">
      <c r="A75" s="11" t="s">
        <v>1</v>
      </c>
      <c r="B75" s="17">
        <f>B74+B13</f>
        <v>3577647.5999999992</v>
      </c>
      <c r="C75" s="222" t="s">
        <v>1367</v>
      </c>
      <c r="D75" s="223"/>
      <c r="E75" s="70"/>
      <c r="H75" s="88"/>
    </row>
    <row r="76" spans="1:8" s="11" customFormat="1" ht="15.95" customHeight="1" x14ac:dyDescent="0.25">
      <c r="A76" s="11" t="s">
        <v>0</v>
      </c>
      <c r="B76" s="17">
        <f>B75-B7</f>
        <v>0</v>
      </c>
      <c r="C76" s="224" t="s">
        <v>1368</v>
      </c>
      <c r="D76" s="225"/>
      <c r="E76" s="70"/>
      <c r="H76" s="88"/>
    </row>
    <row r="77" spans="1:8" s="11" customFormat="1" ht="15.95" customHeight="1" x14ac:dyDescent="0.25">
      <c r="B77" s="17"/>
      <c r="C77" s="226" t="s">
        <v>1369</v>
      </c>
      <c r="D77" s="227"/>
      <c r="E77" s="70"/>
      <c r="H77" s="88"/>
    </row>
    <row r="78" spans="1:8" s="11" customFormat="1" ht="20.100000000000001" customHeight="1" x14ac:dyDescent="0.25">
      <c r="A78" s="213"/>
      <c r="B78" s="221"/>
      <c r="C78" s="207"/>
      <c r="D78" s="207"/>
      <c r="E78" s="70"/>
      <c r="H78" s="88"/>
    </row>
    <row r="79" spans="1:8" s="11" customFormat="1" ht="20.100000000000001" customHeight="1" x14ac:dyDescent="0.25">
      <c r="A79" s="213"/>
      <c r="B79" s="221"/>
      <c r="C79" s="207"/>
      <c r="D79" s="207"/>
      <c r="E79" s="70"/>
      <c r="H79" s="88"/>
    </row>
    <row r="80" spans="1:8" s="11" customFormat="1" ht="20.100000000000001" customHeight="1" x14ac:dyDescent="0.3">
      <c r="A80" s="1"/>
      <c r="B80" s="10"/>
      <c r="C80" s="13"/>
      <c r="D80" s="51"/>
      <c r="E80" s="70"/>
      <c r="H80" s="88"/>
    </row>
    <row r="81" spans="1:9" s="11" customFormat="1" ht="20.100000000000001" customHeight="1" x14ac:dyDescent="0.3">
      <c r="A81" s="1"/>
      <c r="B81" s="10"/>
      <c r="C81" s="13"/>
      <c r="D81" s="51"/>
      <c r="E81" s="70"/>
      <c r="H81" s="88"/>
    </row>
    <row r="82" spans="1:9" s="11" customFormat="1" ht="20.100000000000001" customHeight="1" x14ac:dyDescent="0.3">
      <c r="A82" s="1"/>
      <c r="B82" s="10"/>
      <c r="C82" s="13"/>
      <c r="D82" s="51"/>
      <c r="E82" s="70"/>
      <c r="H82" s="88"/>
    </row>
    <row r="83" spans="1:9" s="13" customFormat="1" ht="20.100000000000001" customHeight="1" x14ac:dyDescent="0.3">
      <c r="A83" s="1"/>
      <c r="B83" s="10"/>
      <c r="D83" s="51"/>
      <c r="E83" s="70"/>
      <c r="F83" s="11"/>
      <c r="G83" s="11"/>
      <c r="H83" s="88"/>
      <c r="I83" s="11"/>
    </row>
    <row r="84" spans="1:9" s="13" customFormat="1" ht="20.100000000000001" customHeight="1" x14ac:dyDescent="0.3">
      <c r="A84" s="1"/>
      <c r="B84" s="10"/>
      <c r="D84" s="51"/>
      <c r="E84" s="70"/>
      <c r="F84" s="11"/>
      <c r="G84" s="11"/>
      <c r="H84" s="88"/>
      <c r="I84" s="11"/>
    </row>
    <row r="85" spans="1:9" s="13" customFormat="1" ht="20.100000000000001" customHeight="1" x14ac:dyDescent="0.3">
      <c r="A85" s="1"/>
      <c r="B85" s="10"/>
      <c r="D85" s="51"/>
      <c r="E85" s="70"/>
      <c r="F85" s="11"/>
      <c r="G85" s="11"/>
      <c r="H85" s="88"/>
      <c r="I85" s="11"/>
    </row>
    <row r="86" spans="1:9" ht="20.100000000000001" customHeight="1" x14ac:dyDescent="0.3"/>
    <row r="87" spans="1:9" ht="20.100000000000001" customHeight="1" x14ac:dyDescent="0.3"/>
    <row r="88" spans="1:9" ht="20.100000000000001" customHeight="1" x14ac:dyDescent="0.3"/>
    <row r="89" spans="1:9" ht="20.100000000000001" customHeight="1" x14ac:dyDescent="0.3"/>
  </sheetData>
  <mergeCells count="7">
    <mergeCell ref="A78:A79"/>
    <mergeCell ref="B78:B79"/>
    <mergeCell ref="C78:C79"/>
    <mergeCell ref="D78:D79"/>
    <mergeCell ref="C75:D75"/>
    <mergeCell ref="C76:D76"/>
    <mergeCell ref="C77:D77"/>
  </mergeCells>
  <pageMargins left="0.7" right="0.7" top="0.75" bottom="0.75" header="0.3" footer="0.3"/>
  <pageSetup fitToHeight="0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FA070-5ED0-4881-A7FD-66A1EB82BA79}">
  <sheetPr>
    <pageSetUpPr fitToPage="1"/>
  </sheetPr>
  <dimension ref="A1:S100"/>
  <sheetViews>
    <sheetView topLeftCell="A45" workbookViewId="0">
      <selection activeCell="B66" sqref="B66"/>
    </sheetView>
  </sheetViews>
  <sheetFormatPr defaultRowHeight="18.75" x14ac:dyDescent="0.3"/>
  <cols>
    <col min="1" max="1" width="20.7109375" style="1" customWidth="1"/>
    <col min="2" max="2" width="16.85546875" style="10" customWidth="1"/>
    <col min="3" max="3" width="28" style="6" bestFit="1" customWidth="1"/>
    <col min="4" max="4" width="19.7109375" style="82" customWidth="1"/>
    <col min="5" max="5" width="9.85546875" style="76" bestFit="1" customWidth="1"/>
    <col min="6" max="6" width="9.140625" style="1"/>
    <col min="7" max="7" width="35" style="1" bestFit="1" customWidth="1"/>
    <col min="8" max="8" width="5.5703125" style="90" bestFit="1" customWidth="1"/>
    <col min="9" max="11" width="9.140625" style="1"/>
    <col min="12" max="12" width="42.28515625" style="1" bestFit="1" customWidth="1"/>
    <col min="13" max="16384" width="9.140625" style="1"/>
  </cols>
  <sheetData>
    <row r="1" spans="1:19" s="11" customFormat="1" ht="20.100000000000001" customHeight="1" x14ac:dyDescent="0.25">
      <c r="A1" s="11" t="s">
        <v>1203</v>
      </c>
      <c r="B1" s="17"/>
      <c r="C1" s="13"/>
      <c r="D1" s="51"/>
      <c r="E1" s="70"/>
      <c r="H1" s="88"/>
    </row>
    <row r="2" spans="1:19" s="11" customFormat="1" ht="20.100000000000001" customHeight="1" x14ac:dyDescent="0.25">
      <c r="A2" s="14">
        <v>44895</v>
      </c>
      <c r="B2" s="17"/>
      <c r="C2" s="13"/>
      <c r="D2" s="51"/>
      <c r="E2" s="70"/>
      <c r="H2" s="88"/>
    </row>
    <row r="3" spans="1:19" s="11" customFormat="1" ht="20.100000000000001" customHeight="1" x14ac:dyDescent="0.25">
      <c r="A3" s="11" t="s">
        <v>311</v>
      </c>
      <c r="B3" s="17">
        <v>12697909.73</v>
      </c>
      <c r="C3" s="13"/>
      <c r="D3" s="51"/>
      <c r="E3" s="70"/>
      <c r="H3" s="88"/>
      <c r="L3" s="11" t="s">
        <v>1437</v>
      </c>
      <c r="M3" s="89"/>
    </row>
    <row r="4" spans="1:19" s="11" customFormat="1" ht="20.100000000000001" customHeight="1" x14ac:dyDescent="0.25">
      <c r="A4" s="11" t="s">
        <v>6</v>
      </c>
      <c r="B4" s="17"/>
      <c r="C4" s="13"/>
      <c r="D4" s="51"/>
      <c r="E4" s="70"/>
      <c r="H4" s="88"/>
      <c r="L4" s="11" t="s">
        <v>1438</v>
      </c>
      <c r="M4" s="89"/>
    </row>
    <row r="5" spans="1:19" s="11" customFormat="1" ht="20.100000000000001" customHeight="1" x14ac:dyDescent="0.25">
      <c r="A5" s="11">
        <v>2100</v>
      </c>
      <c r="B5" s="17">
        <v>-11085146.23</v>
      </c>
      <c r="C5" s="13"/>
      <c r="D5" s="51"/>
      <c r="E5" s="70"/>
      <c r="H5" s="88"/>
      <c r="L5" s="11" t="s">
        <v>1439</v>
      </c>
      <c r="M5" s="89"/>
    </row>
    <row r="6" spans="1:19" s="11" customFormat="1" ht="20.100000000000001" customHeight="1" x14ac:dyDescent="0.25">
      <c r="A6" s="11" t="s">
        <v>5</v>
      </c>
      <c r="B6" s="17">
        <f>SUM(B5)</f>
        <v>-11085146.23</v>
      </c>
      <c r="C6" s="13"/>
      <c r="D6" s="51"/>
      <c r="E6" s="70"/>
      <c r="H6" s="88"/>
      <c r="L6" s="11" t="s">
        <v>1440</v>
      </c>
      <c r="M6" s="89"/>
      <c r="O6" s="62"/>
      <c r="P6" s="62"/>
      <c r="Q6" s="62"/>
      <c r="R6" s="62"/>
      <c r="S6" s="62"/>
    </row>
    <row r="7" spans="1:19" s="11" customFormat="1" ht="20.100000000000001" customHeight="1" x14ac:dyDescent="0.25">
      <c r="A7" s="11" t="s">
        <v>4</v>
      </c>
      <c r="B7" s="17">
        <f>B6+B3</f>
        <v>1612763.5</v>
      </c>
      <c r="C7" s="13"/>
      <c r="D7" s="51"/>
      <c r="E7" s="70"/>
      <c r="H7" s="88"/>
      <c r="L7" s="11" t="s">
        <v>1441</v>
      </c>
      <c r="M7" s="88"/>
    </row>
    <row r="8" spans="1:19" s="11" customFormat="1" ht="15.95" customHeight="1" x14ac:dyDescent="0.25">
      <c r="A8" s="11" t="s">
        <v>3</v>
      </c>
      <c r="B8" s="17"/>
      <c r="C8" s="34" t="s">
        <v>628</v>
      </c>
      <c r="D8" s="81" t="s">
        <v>626</v>
      </c>
      <c r="E8" s="70"/>
      <c r="H8" s="88"/>
      <c r="L8" s="11" t="s">
        <v>1442</v>
      </c>
      <c r="M8" s="88"/>
    </row>
    <row r="9" spans="1:19" s="11" customFormat="1" ht="15" customHeight="1" x14ac:dyDescent="0.25">
      <c r="A9" s="77" t="s">
        <v>1370</v>
      </c>
      <c r="B9" s="66">
        <v>-32145</v>
      </c>
      <c r="C9" s="13">
        <v>44895</v>
      </c>
      <c r="D9" s="86">
        <v>44896</v>
      </c>
      <c r="E9" s="71"/>
      <c r="F9" s="55"/>
      <c r="G9" s="55"/>
      <c r="L9" s="11" t="s">
        <v>1443</v>
      </c>
      <c r="M9" s="88"/>
    </row>
    <row r="10" spans="1:19" s="11" customFormat="1" ht="15" customHeight="1" x14ac:dyDescent="0.25">
      <c r="A10" s="77" t="s">
        <v>1371</v>
      </c>
      <c r="B10" s="66">
        <v>-33025</v>
      </c>
      <c r="C10" s="13">
        <v>44895</v>
      </c>
      <c r="D10" s="86">
        <v>44896</v>
      </c>
      <c r="E10" s="71"/>
      <c r="F10" s="55"/>
      <c r="G10" s="55"/>
      <c r="L10" s="11" t="s">
        <v>1444</v>
      </c>
      <c r="M10" s="88"/>
    </row>
    <row r="11" spans="1:19" s="11" customFormat="1" ht="15" customHeight="1" x14ac:dyDescent="0.25">
      <c r="A11" s="77" t="s">
        <v>1372</v>
      </c>
      <c r="B11" s="66">
        <v>-33859</v>
      </c>
      <c r="C11" s="13">
        <v>44895</v>
      </c>
      <c r="D11" s="86">
        <v>44896</v>
      </c>
      <c r="E11" s="71"/>
      <c r="F11" s="55"/>
      <c r="G11" s="55"/>
      <c r="L11" s="11" t="s">
        <v>1445</v>
      </c>
      <c r="M11" s="88"/>
    </row>
    <row r="12" spans="1:19" s="11" customFormat="1" ht="15" customHeight="1" x14ac:dyDescent="0.25">
      <c r="A12" s="77" t="s">
        <v>1373</v>
      </c>
      <c r="B12" s="66">
        <v>-34854</v>
      </c>
      <c r="C12" s="13">
        <v>44895</v>
      </c>
      <c r="D12" s="86">
        <v>44896</v>
      </c>
      <c r="E12" s="71"/>
      <c r="F12" s="55"/>
      <c r="G12" s="55"/>
      <c r="L12" s="11" t="s">
        <v>1446</v>
      </c>
      <c r="M12" s="88"/>
    </row>
    <row r="13" spans="1:19" s="11" customFormat="1" ht="15" customHeight="1" x14ac:dyDescent="0.25">
      <c r="A13" s="77" t="s">
        <v>1374</v>
      </c>
      <c r="B13" s="66">
        <v>-35355</v>
      </c>
      <c r="C13" s="13">
        <v>44895</v>
      </c>
      <c r="D13" s="86">
        <v>44896</v>
      </c>
      <c r="E13" s="71"/>
      <c r="F13" s="55"/>
      <c r="G13" s="55"/>
      <c r="L13" s="11" t="s">
        <v>1447</v>
      </c>
      <c r="M13" s="88"/>
    </row>
    <row r="14" spans="1:19" s="11" customFormat="1" ht="15" customHeight="1" x14ac:dyDescent="0.25">
      <c r="A14" s="77" t="s">
        <v>1375</v>
      </c>
      <c r="B14" s="66">
        <v>-35355</v>
      </c>
      <c r="C14" s="13">
        <v>44895</v>
      </c>
      <c r="D14" s="86">
        <v>44896</v>
      </c>
      <c r="E14" s="71"/>
      <c r="F14" s="55"/>
      <c r="G14" s="55"/>
      <c r="L14" s="11" t="s">
        <v>1448</v>
      </c>
      <c r="M14" s="88"/>
    </row>
    <row r="15" spans="1:19" s="11" customFormat="1" ht="15" customHeight="1" x14ac:dyDescent="0.25">
      <c r="A15" s="77" t="s">
        <v>1406</v>
      </c>
      <c r="B15" s="66">
        <v>-35534</v>
      </c>
      <c r="C15" s="13">
        <v>44895</v>
      </c>
      <c r="D15" s="86">
        <v>44896</v>
      </c>
      <c r="E15" s="71"/>
      <c r="F15" s="55"/>
      <c r="G15" s="55"/>
      <c r="L15" s="11" t="s">
        <v>1449</v>
      </c>
      <c r="M15" s="88"/>
    </row>
    <row r="16" spans="1:19" s="11" customFormat="1" ht="15" customHeight="1" x14ac:dyDescent="0.25">
      <c r="A16" s="77" t="s">
        <v>1376</v>
      </c>
      <c r="B16" s="66">
        <v>-35635</v>
      </c>
      <c r="C16" s="13">
        <v>44895</v>
      </c>
      <c r="D16" s="86">
        <v>44897</v>
      </c>
      <c r="E16" s="71"/>
      <c r="F16" s="55"/>
      <c r="G16" s="55"/>
      <c r="L16" s="11" t="s">
        <v>1450</v>
      </c>
      <c r="M16" s="88"/>
    </row>
    <row r="17" spans="1:14" s="11" customFormat="1" ht="15" customHeight="1" x14ac:dyDescent="0.25">
      <c r="A17" s="77" t="s">
        <v>1377</v>
      </c>
      <c r="B17" s="66">
        <v>-35968</v>
      </c>
      <c r="C17" s="228" t="s">
        <v>1432</v>
      </c>
      <c r="D17" s="228"/>
      <c r="E17" s="71"/>
      <c r="F17" s="55"/>
      <c r="G17" s="55"/>
      <c r="L17" s="11" t="s">
        <v>1451</v>
      </c>
      <c r="M17" s="88"/>
    </row>
    <row r="18" spans="1:14" s="11" customFormat="1" ht="15" customHeight="1" x14ac:dyDescent="0.25">
      <c r="A18" s="77" t="s">
        <v>1378</v>
      </c>
      <c r="B18" s="66">
        <v>-36115</v>
      </c>
      <c r="C18" s="228" t="s">
        <v>1432</v>
      </c>
      <c r="D18" s="228"/>
      <c r="E18" s="71"/>
      <c r="F18" s="55"/>
      <c r="G18" s="55"/>
      <c r="L18" s="11" t="s">
        <v>1452</v>
      </c>
      <c r="M18" s="88"/>
    </row>
    <row r="19" spans="1:14" s="11" customFormat="1" ht="15" customHeight="1" x14ac:dyDescent="0.25">
      <c r="A19" s="77" t="s">
        <v>1379</v>
      </c>
      <c r="B19" s="66">
        <v>-36433</v>
      </c>
      <c r="C19" s="13">
        <v>44895</v>
      </c>
      <c r="D19" s="86">
        <v>44897</v>
      </c>
      <c r="E19" s="71"/>
      <c r="F19" s="55"/>
      <c r="G19" s="55"/>
      <c r="L19" s="11" t="s">
        <v>1453</v>
      </c>
      <c r="M19" s="88"/>
    </row>
    <row r="20" spans="1:14" s="11" customFormat="1" ht="15" customHeight="1" x14ac:dyDescent="0.25">
      <c r="A20" s="77" t="s">
        <v>1380</v>
      </c>
      <c r="B20" s="66">
        <v>-36433</v>
      </c>
      <c r="C20" s="13">
        <v>44895</v>
      </c>
      <c r="D20" s="86">
        <v>44897</v>
      </c>
      <c r="E20" s="71"/>
      <c r="F20" s="55"/>
      <c r="G20" s="55"/>
      <c r="L20" s="11" t="s">
        <v>1436</v>
      </c>
      <c r="M20" s="88"/>
    </row>
    <row r="21" spans="1:14" s="11" customFormat="1" ht="15" customHeight="1" x14ac:dyDescent="0.25">
      <c r="A21" s="77" t="s">
        <v>1381</v>
      </c>
      <c r="B21" s="66">
        <v>-37347</v>
      </c>
      <c r="C21" s="13">
        <v>44895</v>
      </c>
      <c r="D21" s="86">
        <v>44896</v>
      </c>
      <c r="E21" s="71"/>
      <c r="F21" s="55"/>
      <c r="G21" s="55"/>
      <c r="L21" s="11" t="s">
        <v>1454</v>
      </c>
      <c r="M21" s="88"/>
    </row>
    <row r="22" spans="1:14" s="11" customFormat="1" ht="15" customHeight="1" x14ac:dyDescent="0.25">
      <c r="A22" s="77" t="s">
        <v>1382</v>
      </c>
      <c r="B22" s="66">
        <v>-37800</v>
      </c>
      <c r="C22" s="13">
        <v>44895</v>
      </c>
      <c r="D22" s="86">
        <v>44897</v>
      </c>
      <c r="E22" s="71"/>
      <c r="F22" s="55"/>
      <c r="G22" s="55"/>
      <c r="L22" s="11" t="s">
        <v>1455</v>
      </c>
      <c r="M22" s="88"/>
    </row>
    <row r="23" spans="1:14" s="11" customFormat="1" ht="15" customHeight="1" x14ac:dyDescent="0.25">
      <c r="A23" s="77" t="s">
        <v>1383</v>
      </c>
      <c r="B23" s="66">
        <v>-39181</v>
      </c>
      <c r="C23" s="228" t="s">
        <v>1432</v>
      </c>
      <c r="D23" s="228"/>
      <c r="E23" s="71"/>
      <c r="F23" s="55"/>
      <c r="G23" s="55"/>
      <c r="L23" s="11" t="s">
        <v>1456</v>
      </c>
      <c r="M23" s="88"/>
    </row>
    <row r="24" spans="1:14" s="11" customFormat="1" ht="15" customHeight="1" x14ac:dyDescent="0.25">
      <c r="A24" s="77" t="s">
        <v>1384</v>
      </c>
      <c r="B24" s="66">
        <v>-39308</v>
      </c>
      <c r="C24" s="13">
        <v>44895</v>
      </c>
      <c r="D24" s="86">
        <v>44897</v>
      </c>
      <c r="E24" s="71"/>
      <c r="F24" s="55"/>
      <c r="G24" s="55"/>
      <c r="L24" s="11" t="s">
        <v>1457</v>
      </c>
      <c r="M24" s="88"/>
    </row>
    <row r="25" spans="1:14" s="11" customFormat="1" ht="15" customHeight="1" x14ac:dyDescent="0.25">
      <c r="A25" s="77" t="s">
        <v>1385</v>
      </c>
      <c r="B25" s="66">
        <v>-40103</v>
      </c>
      <c r="C25" s="13">
        <v>44895</v>
      </c>
      <c r="D25" s="86">
        <v>44897</v>
      </c>
      <c r="E25" s="71"/>
      <c r="F25" s="55"/>
      <c r="G25" s="55"/>
      <c r="L25" s="11" t="s">
        <v>1458</v>
      </c>
      <c r="M25" s="92"/>
    </row>
    <row r="26" spans="1:14" s="11" customFormat="1" ht="15" customHeight="1" x14ac:dyDescent="0.25">
      <c r="A26" s="77" t="s">
        <v>1386</v>
      </c>
      <c r="B26" s="66">
        <v>-40210</v>
      </c>
      <c r="C26" s="13">
        <v>44895</v>
      </c>
      <c r="D26" s="86">
        <v>44896</v>
      </c>
      <c r="E26" s="71"/>
      <c r="F26" s="55"/>
      <c r="G26" s="55"/>
      <c r="L26" s="11" t="s">
        <v>1368</v>
      </c>
      <c r="M26" s="88"/>
    </row>
    <row r="27" spans="1:14" s="11" customFormat="1" ht="15" customHeight="1" x14ac:dyDescent="0.25">
      <c r="A27" s="77" t="s">
        <v>1387</v>
      </c>
      <c r="B27" s="66">
        <v>-41730</v>
      </c>
      <c r="C27" s="228" t="s">
        <v>1432</v>
      </c>
      <c r="D27" s="228"/>
      <c r="E27" s="71"/>
      <c r="F27" s="55"/>
      <c r="G27" s="55"/>
      <c r="L27" s="11" t="s">
        <v>1459</v>
      </c>
      <c r="M27" s="88"/>
    </row>
    <row r="28" spans="1:14" s="11" customFormat="1" ht="15" customHeight="1" x14ac:dyDescent="0.25">
      <c r="A28" s="77" t="s">
        <v>1388</v>
      </c>
      <c r="B28" s="66">
        <v>-41775</v>
      </c>
      <c r="C28" s="228" t="s">
        <v>1432</v>
      </c>
      <c r="D28" s="228"/>
      <c r="E28" s="71"/>
      <c r="F28" s="55"/>
      <c r="G28" s="55"/>
      <c r="L28" s="11" t="s">
        <v>1369</v>
      </c>
      <c r="M28" s="88"/>
    </row>
    <row r="29" spans="1:14" s="11" customFormat="1" ht="15" customHeight="1" x14ac:dyDescent="0.25">
      <c r="A29" s="77" t="s">
        <v>1389</v>
      </c>
      <c r="B29" s="66">
        <v>-43891</v>
      </c>
      <c r="C29" s="13">
        <v>44895</v>
      </c>
      <c r="D29" s="86">
        <v>44897</v>
      </c>
      <c r="E29" s="71"/>
      <c r="F29" s="55"/>
      <c r="G29" s="55"/>
      <c r="L29" s="11" t="s">
        <v>1460</v>
      </c>
      <c r="M29" s="88"/>
    </row>
    <row r="30" spans="1:14" s="11" customFormat="1" ht="15" customHeight="1" x14ac:dyDescent="0.25">
      <c r="A30" s="77" t="s">
        <v>1391</v>
      </c>
      <c r="B30" s="66">
        <v>-44330</v>
      </c>
      <c r="C30" s="13">
        <v>44895</v>
      </c>
      <c r="D30" s="86">
        <v>44897</v>
      </c>
      <c r="E30" s="71"/>
      <c r="F30" s="55"/>
      <c r="G30" s="55"/>
      <c r="M30" s="88"/>
      <c r="N30" s="88"/>
    </row>
    <row r="31" spans="1:14" s="11" customFormat="1" ht="15" customHeight="1" x14ac:dyDescent="0.25">
      <c r="A31" s="77" t="s">
        <v>1392</v>
      </c>
      <c r="B31" s="66">
        <v>-44357</v>
      </c>
      <c r="C31" s="228" t="s">
        <v>1432</v>
      </c>
      <c r="D31" s="228"/>
      <c r="E31" s="71"/>
      <c r="F31" s="55"/>
      <c r="G31" s="55"/>
      <c r="M31" s="88"/>
      <c r="N31" s="88"/>
    </row>
    <row r="32" spans="1:14" s="11" customFormat="1" ht="15" customHeight="1" x14ac:dyDescent="0.25">
      <c r="A32" s="77" t="s">
        <v>1393</v>
      </c>
      <c r="B32" s="66">
        <v>-44525</v>
      </c>
      <c r="C32" s="228" t="s">
        <v>1432</v>
      </c>
      <c r="D32" s="228"/>
      <c r="E32" s="71"/>
      <c r="F32" s="55"/>
      <c r="G32" s="55"/>
      <c r="M32" s="88"/>
      <c r="N32" s="88"/>
    </row>
    <row r="33" spans="1:7" s="11" customFormat="1" ht="15" customHeight="1" x14ac:dyDescent="0.25">
      <c r="A33" s="77" t="s">
        <v>1394</v>
      </c>
      <c r="B33" s="66">
        <v>-46475</v>
      </c>
      <c r="C33" s="13">
        <v>44895</v>
      </c>
      <c r="D33" s="86">
        <v>44897</v>
      </c>
      <c r="E33" s="71"/>
      <c r="F33" s="55"/>
      <c r="G33" s="55"/>
    </row>
    <row r="34" spans="1:7" s="11" customFormat="1" ht="15" customHeight="1" x14ac:dyDescent="0.25">
      <c r="A34" s="77" t="s">
        <v>1401</v>
      </c>
      <c r="B34" s="66">
        <v>-69540.3</v>
      </c>
      <c r="C34" s="13">
        <v>44893</v>
      </c>
      <c r="D34" s="86">
        <v>44896</v>
      </c>
      <c r="E34" s="71"/>
      <c r="F34" s="55"/>
      <c r="G34" s="55"/>
    </row>
    <row r="35" spans="1:7" s="11" customFormat="1" ht="15" customHeight="1" x14ac:dyDescent="0.25">
      <c r="A35" s="77" t="s">
        <v>1402</v>
      </c>
      <c r="B35" s="66">
        <v>-69540.3</v>
      </c>
      <c r="C35" s="13">
        <v>44893</v>
      </c>
      <c r="D35" s="86">
        <v>44896</v>
      </c>
      <c r="E35" s="71"/>
      <c r="F35" s="55"/>
      <c r="G35" s="55"/>
    </row>
    <row r="36" spans="1:7" s="11" customFormat="1" ht="15" customHeight="1" x14ac:dyDescent="0.25">
      <c r="A36" s="77" t="s">
        <v>1403</v>
      </c>
      <c r="B36" s="66">
        <v>-73631.5</v>
      </c>
      <c r="C36" s="228" t="s">
        <v>1433</v>
      </c>
      <c r="D36" s="228"/>
      <c r="E36" s="94"/>
      <c r="F36" s="55"/>
      <c r="G36" s="55"/>
    </row>
    <row r="37" spans="1:7" s="11" customFormat="1" ht="15.95" customHeight="1" x14ac:dyDescent="0.25">
      <c r="B37" s="25">
        <f>SUM(B9:B36)</f>
        <v>-1174455.1000000001</v>
      </c>
      <c r="C37" s="18"/>
      <c r="D37" s="18"/>
      <c r="E37" s="75"/>
      <c r="F37" s="19"/>
      <c r="G37" s="19"/>
    </row>
    <row r="38" spans="1:7" s="11" customFormat="1" ht="15.95" customHeight="1" x14ac:dyDescent="0.25">
      <c r="A38" s="11" t="s">
        <v>2</v>
      </c>
      <c r="B38" s="25"/>
      <c r="C38" s="52" t="s">
        <v>626</v>
      </c>
      <c r="D38" s="81" t="s">
        <v>628</v>
      </c>
      <c r="E38" s="70"/>
    </row>
    <row r="39" spans="1:7" s="11" customFormat="1" ht="15.95" customHeight="1" x14ac:dyDescent="0.25">
      <c r="A39" s="11" t="s">
        <v>1405</v>
      </c>
      <c r="B39" s="25">
        <v>34203</v>
      </c>
      <c r="C39" s="228" t="s">
        <v>1432</v>
      </c>
      <c r="D39" s="228"/>
      <c r="E39" s="70"/>
    </row>
    <row r="40" spans="1:7" s="11" customFormat="1" ht="15.95" customHeight="1" x14ac:dyDescent="0.25">
      <c r="A40" s="11" t="s">
        <v>1407</v>
      </c>
      <c r="B40" s="25">
        <v>34350</v>
      </c>
      <c r="C40" s="228" t="s">
        <v>1432</v>
      </c>
      <c r="D40" s="228"/>
      <c r="E40" s="70"/>
    </row>
    <row r="41" spans="1:7" s="11" customFormat="1" ht="15.95" customHeight="1" x14ac:dyDescent="0.25">
      <c r="A41" s="11" t="s">
        <v>1408</v>
      </c>
      <c r="B41" s="25">
        <v>37282</v>
      </c>
      <c r="C41" s="228" t="s">
        <v>1432</v>
      </c>
      <c r="D41" s="228"/>
      <c r="E41" s="70"/>
    </row>
    <row r="42" spans="1:7" s="11" customFormat="1" ht="15.95" customHeight="1" x14ac:dyDescent="0.25">
      <c r="A42" s="11" t="s">
        <v>1409</v>
      </c>
      <c r="B42" s="25">
        <v>39713</v>
      </c>
      <c r="C42" s="228" t="s">
        <v>1432</v>
      </c>
      <c r="D42" s="228"/>
      <c r="E42" s="70"/>
    </row>
    <row r="43" spans="1:7" s="11" customFormat="1" ht="15.95" customHeight="1" x14ac:dyDescent="0.25">
      <c r="A43" s="11" t="s">
        <v>1410</v>
      </c>
      <c r="B43" s="25">
        <v>39758</v>
      </c>
      <c r="C43" s="228" t="s">
        <v>1432</v>
      </c>
      <c r="D43" s="228"/>
      <c r="E43" s="70"/>
    </row>
    <row r="44" spans="1:7" s="11" customFormat="1" ht="15.95" customHeight="1" x14ac:dyDescent="0.25">
      <c r="A44" s="11" t="s">
        <v>1411</v>
      </c>
      <c r="B44" s="25">
        <v>42224</v>
      </c>
      <c r="C44" s="228" t="s">
        <v>1432</v>
      </c>
      <c r="D44" s="228"/>
      <c r="E44" s="70"/>
    </row>
    <row r="45" spans="1:7" s="11" customFormat="1" ht="15.95" customHeight="1" x14ac:dyDescent="0.25">
      <c r="A45" s="11" t="s">
        <v>1412</v>
      </c>
      <c r="B45" s="25">
        <v>42392</v>
      </c>
      <c r="C45" s="228" t="s">
        <v>1432</v>
      </c>
      <c r="D45" s="228"/>
      <c r="E45" s="70"/>
    </row>
    <row r="46" spans="1:7" s="11" customFormat="1" ht="15.95" customHeight="1" x14ac:dyDescent="0.25">
      <c r="A46" s="11" t="s">
        <v>1413</v>
      </c>
      <c r="B46" s="25">
        <v>44086.95</v>
      </c>
      <c r="C46" s="13">
        <v>44895</v>
      </c>
      <c r="D46" s="86">
        <v>44896</v>
      </c>
      <c r="E46" s="70"/>
    </row>
    <row r="47" spans="1:7" s="11" customFormat="1" ht="15.95" customHeight="1" x14ac:dyDescent="0.25">
      <c r="A47" s="11" t="s">
        <v>1290</v>
      </c>
      <c r="B47" s="25">
        <v>44152.95</v>
      </c>
      <c r="C47" s="13">
        <v>44860</v>
      </c>
      <c r="D47" s="91" t="s">
        <v>1435</v>
      </c>
      <c r="E47" s="70"/>
    </row>
    <row r="48" spans="1:7" s="11" customFormat="1" ht="15.95" customHeight="1" x14ac:dyDescent="0.25">
      <c r="A48" s="11" t="s">
        <v>1390</v>
      </c>
      <c r="B48" s="25">
        <v>44292.45</v>
      </c>
      <c r="C48" s="13">
        <v>44859</v>
      </c>
      <c r="D48" s="91">
        <v>4300</v>
      </c>
      <c r="E48" s="70"/>
    </row>
    <row r="49" spans="1:8" s="11" customFormat="1" ht="15.95" customHeight="1" x14ac:dyDescent="0.25">
      <c r="A49" s="11" t="s">
        <v>1414</v>
      </c>
      <c r="B49" s="25">
        <v>44994.6</v>
      </c>
      <c r="C49" s="13">
        <v>44868</v>
      </c>
      <c r="D49" s="86">
        <v>44900</v>
      </c>
      <c r="E49" s="70"/>
    </row>
    <row r="50" spans="1:8" s="11" customFormat="1" ht="15.95" customHeight="1" x14ac:dyDescent="0.25">
      <c r="A50" s="11" t="s">
        <v>1415</v>
      </c>
      <c r="B50" s="25">
        <v>45454.95</v>
      </c>
      <c r="C50" s="13">
        <v>44867</v>
      </c>
      <c r="D50" s="86">
        <v>44900</v>
      </c>
      <c r="E50" s="70"/>
    </row>
    <row r="51" spans="1:8" s="11" customFormat="1" ht="15.95" customHeight="1" x14ac:dyDescent="0.25">
      <c r="A51" s="11" t="s">
        <v>1292</v>
      </c>
      <c r="B51" s="25">
        <v>45915.3</v>
      </c>
      <c r="C51" s="13">
        <v>44858</v>
      </c>
      <c r="D51" s="91">
        <v>3800</v>
      </c>
      <c r="E51" s="70"/>
    </row>
    <row r="52" spans="1:8" s="11" customFormat="1" ht="15.95" customHeight="1" x14ac:dyDescent="0.25">
      <c r="A52" s="11" t="s">
        <v>1395</v>
      </c>
      <c r="B52" s="25">
        <v>49458.400000000001</v>
      </c>
      <c r="C52" s="13">
        <v>44866</v>
      </c>
      <c r="D52" s="91" t="s">
        <v>1435</v>
      </c>
      <c r="E52" s="70"/>
    </row>
    <row r="53" spans="1:8" s="11" customFormat="1" ht="15.95" customHeight="1" x14ac:dyDescent="0.25">
      <c r="A53" s="11" t="s">
        <v>1396</v>
      </c>
      <c r="B53" s="25">
        <v>50016.4</v>
      </c>
      <c r="C53" s="13">
        <v>44867</v>
      </c>
      <c r="D53" s="91">
        <v>3800</v>
      </c>
      <c r="E53" s="70"/>
    </row>
    <row r="54" spans="1:8" s="11" customFormat="1" ht="15.95" customHeight="1" x14ac:dyDescent="0.25">
      <c r="A54" s="11" t="s">
        <v>1434</v>
      </c>
      <c r="B54" s="25">
        <v>52257.75</v>
      </c>
      <c r="C54" s="13">
        <v>44865</v>
      </c>
      <c r="D54" s="86">
        <v>44908</v>
      </c>
      <c r="E54" s="70"/>
    </row>
    <row r="55" spans="1:8" s="11" customFormat="1" ht="15.95" customHeight="1" x14ac:dyDescent="0.25">
      <c r="A55" s="11" t="s">
        <v>1397</v>
      </c>
      <c r="B55" s="25">
        <v>52784.1</v>
      </c>
      <c r="C55" s="13">
        <v>44888</v>
      </c>
      <c r="D55" s="91">
        <v>3800</v>
      </c>
      <c r="E55" s="70"/>
    </row>
    <row r="56" spans="1:8" s="11" customFormat="1" ht="15.95" customHeight="1" x14ac:dyDescent="0.25">
      <c r="A56" s="11" t="s">
        <v>1398</v>
      </c>
      <c r="B56" s="25">
        <v>52784.1</v>
      </c>
      <c r="C56" s="13">
        <v>44893</v>
      </c>
      <c r="D56" s="91">
        <v>3800</v>
      </c>
      <c r="E56" s="70"/>
    </row>
    <row r="57" spans="1:8" s="11" customFormat="1" ht="15.95" customHeight="1" x14ac:dyDescent="0.25">
      <c r="A57" s="11" t="s">
        <v>1399</v>
      </c>
      <c r="B57" s="25">
        <v>52923.6</v>
      </c>
      <c r="C57" s="13">
        <v>44890</v>
      </c>
      <c r="D57" s="91">
        <v>3800</v>
      </c>
      <c r="E57" s="70"/>
    </row>
    <row r="58" spans="1:8" s="11" customFormat="1" ht="15.95" customHeight="1" x14ac:dyDescent="0.25">
      <c r="A58" s="11" t="s">
        <v>1400</v>
      </c>
      <c r="B58" s="25">
        <v>53342.1</v>
      </c>
      <c r="C58" s="13">
        <v>44893</v>
      </c>
      <c r="D58" s="91">
        <v>3800</v>
      </c>
      <c r="E58" s="70"/>
    </row>
    <row r="59" spans="1:8" s="11" customFormat="1" ht="15.95" customHeight="1" x14ac:dyDescent="0.25">
      <c r="A59" s="11" t="s">
        <v>1416</v>
      </c>
      <c r="B59" s="25">
        <v>53832.6</v>
      </c>
      <c r="C59" s="13">
        <v>44888</v>
      </c>
      <c r="D59" s="86">
        <v>44897</v>
      </c>
      <c r="E59" s="70"/>
    </row>
    <row r="60" spans="1:8" s="11" customFormat="1" ht="15.95" customHeight="1" x14ac:dyDescent="0.25">
      <c r="A60" s="11" t="s">
        <v>1308</v>
      </c>
      <c r="B60" s="25">
        <v>57522.400000000001</v>
      </c>
      <c r="C60" s="13">
        <v>44851</v>
      </c>
      <c r="D60" s="91">
        <v>3800</v>
      </c>
      <c r="E60" s="70"/>
      <c r="H60" s="88"/>
    </row>
    <row r="61" spans="1:8" s="11" customFormat="1" ht="15.95" customHeight="1" x14ac:dyDescent="0.25">
      <c r="A61" s="11" t="s">
        <v>1218</v>
      </c>
      <c r="B61" s="25">
        <v>59012.7</v>
      </c>
      <c r="C61" s="13">
        <v>44783</v>
      </c>
      <c r="D61" s="91">
        <v>3800</v>
      </c>
      <c r="E61" s="70"/>
      <c r="H61" s="88"/>
    </row>
    <row r="62" spans="1:8" s="11" customFormat="1" ht="15.95" customHeight="1" x14ac:dyDescent="0.25">
      <c r="A62" s="11" t="s">
        <v>1312</v>
      </c>
      <c r="B62" s="25">
        <v>59539.7</v>
      </c>
      <c r="C62" s="13">
        <v>44853</v>
      </c>
      <c r="D62" s="91">
        <v>4200</v>
      </c>
      <c r="E62" s="70"/>
      <c r="H62" s="88"/>
    </row>
    <row r="63" spans="1:8" s="11" customFormat="1" ht="15.95" customHeight="1" x14ac:dyDescent="0.25">
      <c r="A63" s="11" t="s">
        <v>1417</v>
      </c>
      <c r="B63" s="25">
        <v>62729.599999999999</v>
      </c>
      <c r="C63" s="13">
        <v>44862</v>
      </c>
      <c r="D63" s="91">
        <v>3800</v>
      </c>
      <c r="E63" s="70"/>
    </row>
    <row r="64" spans="1:8" s="11" customFormat="1" ht="15.95" customHeight="1" x14ac:dyDescent="0.25">
      <c r="A64" s="11" t="s">
        <v>1418</v>
      </c>
      <c r="B64" s="25">
        <v>65835.8</v>
      </c>
      <c r="C64" s="13">
        <v>44881</v>
      </c>
      <c r="D64" s="86">
        <v>44897</v>
      </c>
      <c r="E64" s="70"/>
      <c r="H64" s="88"/>
    </row>
    <row r="65" spans="1:8" s="11" customFormat="1" ht="15.95" customHeight="1" x14ac:dyDescent="0.25">
      <c r="A65" s="11" t="s">
        <v>1419</v>
      </c>
      <c r="B65" s="25">
        <v>68814.55</v>
      </c>
      <c r="C65" s="13">
        <v>44873</v>
      </c>
      <c r="D65" s="86">
        <v>44903</v>
      </c>
      <c r="E65" s="70"/>
      <c r="H65" s="88"/>
    </row>
    <row r="66" spans="1:8" s="11" customFormat="1" ht="15.95" customHeight="1" x14ac:dyDescent="0.25">
      <c r="A66" s="11" t="s">
        <v>1322</v>
      </c>
      <c r="B66" s="25">
        <v>71406.5</v>
      </c>
      <c r="C66" s="13">
        <v>44848</v>
      </c>
      <c r="D66" s="91" t="s">
        <v>1435</v>
      </c>
      <c r="E66" s="70"/>
      <c r="H66" s="88"/>
    </row>
    <row r="67" spans="1:8" s="11" customFormat="1" ht="15.95" customHeight="1" x14ac:dyDescent="0.25">
      <c r="A67" s="11" t="s">
        <v>1420</v>
      </c>
      <c r="B67" s="25">
        <v>71571.399999999994</v>
      </c>
      <c r="C67" s="13">
        <v>44860</v>
      </c>
      <c r="D67" s="86">
        <v>44902</v>
      </c>
      <c r="E67" s="70"/>
      <c r="H67" s="88"/>
    </row>
    <row r="68" spans="1:8" s="11" customFormat="1" ht="15.95" customHeight="1" x14ac:dyDescent="0.25">
      <c r="A68" s="11" t="s">
        <v>1421</v>
      </c>
      <c r="B68" s="25">
        <v>71786.25</v>
      </c>
      <c r="C68" s="13">
        <v>44894</v>
      </c>
      <c r="D68" s="86">
        <v>44896</v>
      </c>
      <c r="E68" s="70"/>
      <c r="H68" s="88"/>
    </row>
    <row r="69" spans="1:8" s="11" customFormat="1" ht="15.95" customHeight="1" x14ac:dyDescent="0.25">
      <c r="A69" s="11" t="s">
        <v>1422</v>
      </c>
      <c r="B69" s="25">
        <v>72344.25</v>
      </c>
      <c r="C69" s="13">
        <v>44895</v>
      </c>
      <c r="D69" s="86">
        <v>44900</v>
      </c>
      <c r="E69" s="70"/>
      <c r="H69" s="88"/>
    </row>
    <row r="70" spans="1:8" s="11" customFormat="1" ht="15.95" customHeight="1" x14ac:dyDescent="0.25">
      <c r="A70" s="11" t="s">
        <v>1423</v>
      </c>
      <c r="B70" s="25">
        <v>72344.25</v>
      </c>
      <c r="C70" s="13">
        <v>44895</v>
      </c>
      <c r="D70" s="86">
        <v>44896</v>
      </c>
      <c r="E70" s="70"/>
      <c r="H70" s="88"/>
    </row>
    <row r="71" spans="1:8" s="11" customFormat="1" ht="15.75" customHeight="1" x14ac:dyDescent="0.25">
      <c r="A71" s="11" t="s">
        <v>1424</v>
      </c>
      <c r="B71" s="25">
        <v>73548.600000000006</v>
      </c>
      <c r="C71" s="13">
        <v>44895</v>
      </c>
      <c r="D71" s="86">
        <v>44897</v>
      </c>
      <c r="E71" s="70"/>
      <c r="H71" s="88"/>
    </row>
    <row r="72" spans="1:8" s="11" customFormat="1" ht="15.95" customHeight="1" x14ac:dyDescent="0.25">
      <c r="A72" s="11" t="s">
        <v>1425</v>
      </c>
      <c r="B72" s="25">
        <v>73548.600000000006</v>
      </c>
      <c r="C72" s="13">
        <v>44895</v>
      </c>
      <c r="D72" s="86">
        <v>44897</v>
      </c>
      <c r="E72" s="70"/>
      <c r="H72" s="88"/>
    </row>
    <row r="73" spans="1:8" s="11" customFormat="1" ht="15.95" customHeight="1" x14ac:dyDescent="0.25">
      <c r="A73" s="11" t="s">
        <v>1426</v>
      </c>
      <c r="B73" s="25">
        <v>73631.5</v>
      </c>
      <c r="C73" s="228" t="s">
        <v>1433</v>
      </c>
      <c r="D73" s="228"/>
      <c r="E73" s="70"/>
      <c r="H73" s="88"/>
    </row>
    <row r="74" spans="1:8" s="11" customFormat="1" ht="15.95" customHeight="1" x14ac:dyDescent="0.25">
      <c r="A74" s="11" t="s">
        <v>1404</v>
      </c>
      <c r="B74" s="25">
        <v>74664.600000000006</v>
      </c>
      <c r="C74" s="13">
        <v>44879</v>
      </c>
      <c r="D74" s="91">
        <v>3800</v>
      </c>
      <c r="E74" s="70"/>
      <c r="H74" s="88"/>
    </row>
    <row r="75" spans="1:8" s="11" customFormat="1" ht="15.95" customHeight="1" x14ac:dyDescent="0.25">
      <c r="A75" s="11" t="s">
        <v>1427</v>
      </c>
      <c r="B75" s="25">
        <v>74664.600000000006</v>
      </c>
      <c r="C75" s="13">
        <v>44881</v>
      </c>
      <c r="D75" s="86">
        <v>44896</v>
      </c>
      <c r="E75" s="70"/>
      <c r="H75" s="88"/>
    </row>
    <row r="76" spans="1:8" s="11" customFormat="1" ht="15.95" customHeight="1" x14ac:dyDescent="0.25">
      <c r="A76" s="11" t="s">
        <v>1326</v>
      </c>
      <c r="B76" s="25">
        <v>78238.899999999994</v>
      </c>
      <c r="C76" s="13">
        <v>44845</v>
      </c>
      <c r="D76" s="91">
        <v>3800</v>
      </c>
      <c r="E76" s="70"/>
      <c r="H76" s="88"/>
    </row>
    <row r="77" spans="1:8" s="11" customFormat="1" ht="15.95" customHeight="1" x14ac:dyDescent="0.25">
      <c r="A77" s="11" t="s">
        <v>1428</v>
      </c>
      <c r="B77" s="25">
        <v>78238.899999999994</v>
      </c>
      <c r="C77" s="13">
        <v>44845</v>
      </c>
      <c r="D77" s="86">
        <v>44907</v>
      </c>
      <c r="E77" s="70"/>
      <c r="H77" s="88"/>
    </row>
    <row r="78" spans="1:8" s="11" customFormat="1" ht="15.95" customHeight="1" x14ac:dyDescent="0.25">
      <c r="A78" s="11" t="s">
        <v>1329</v>
      </c>
      <c r="B78" s="25">
        <v>80140.75</v>
      </c>
      <c r="C78" s="13">
        <v>44859</v>
      </c>
      <c r="D78" s="91" t="s">
        <v>1435</v>
      </c>
      <c r="E78" s="70"/>
      <c r="H78" s="88"/>
    </row>
    <row r="79" spans="1:8" s="11" customFormat="1" ht="15.95" customHeight="1" x14ac:dyDescent="0.25">
      <c r="A79" s="11" t="s">
        <v>1330</v>
      </c>
      <c r="B79" s="25">
        <v>80977.75</v>
      </c>
      <c r="C79" s="13">
        <v>44838</v>
      </c>
      <c r="D79" s="91">
        <v>4200</v>
      </c>
      <c r="E79" s="70"/>
      <c r="H79" s="88"/>
    </row>
    <row r="80" spans="1:8" s="11" customFormat="1" ht="15.95" customHeight="1" x14ac:dyDescent="0.25">
      <c r="A80" s="11" t="s">
        <v>1231</v>
      </c>
      <c r="B80" s="25">
        <v>80977.75</v>
      </c>
      <c r="C80" s="13">
        <v>44812</v>
      </c>
      <c r="D80" s="91">
        <v>4200</v>
      </c>
      <c r="E80" s="70"/>
      <c r="H80" s="88"/>
    </row>
    <row r="81" spans="1:9" s="11" customFormat="1" ht="15.95" customHeight="1" x14ac:dyDescent="0.25">
      <c r="A81" s="11" t="s">
        <v>1429</v>
      </c>
      <c r="B81" s="25">
        <v>80977.75</v>
      </c>
      <c r="C81" s="13">
        <v>44851</v>
      </c>
      <c r="D81" s="86">
        <v>44897</v>
      </c>
      <c r="E81" s="70"/>
      <c r="H81" s="88"/>
    </row>
    <row r="82" spans="1:9" s="11" customFormat="1" ht="15.95" customHeight="1" x14ac:dyDescent="0.25">
      <c r="A82" s="11" t="s">
        <v>1332</v>
      </c>
      <c r="B82" s="25">
        <v>81700.399999999994</v>
      </c>
      <c r="C82" s="13">
        <v>44840</v>
      </c>
      <c r="D82" s="91" t="s">
        <v>1435</v>
      </c>
      <c r="E82" s="70"/>
      <c r="H82" s="88"/>
    </row>
    <row r="83" spans="1:9" s="11" customFormat="1" ht="15.95" customHeight="1" x14ac:dyDescent="0.25">
      <c r="A83" s="11" t="s">
        <v>1430</v>
      </c>
      <c r="B83" s="25">
        <v>82432.05</v>
      </c>
      <c r="C83" s="13">
        <v>44810</v>
      </c>
      <c r="D83" s="86">
        <v>44902</v>
      </c>
      <c r="E83" s="70"/>
      <c r="H83" s="88"/>
    </row>
    <row r="84" spans="1:9" s="11" customFormat="1" ht="15.95" customHeight="1" x14ac:dyDescent="0.25">
      <c r="A84" s="11" t="s">
        <v>1431</v>
      </c>
      <c r="B84" s="25">
        <v>84350.8</v>
      </c>
      <c r="C84" s="13">
        <v>44834</v>
      </c>
      <c r="D84" s="86">
        <v>44897</v>
      </c>
      <c r="E84" s="70"/>
      <c r="H84" s="88"/>
    </row>
    <row r="85" spans="1:9" s="11" customFormat="1" ht="15.95" customHeight="1" x14ac:dyDescent="0.25">
      <c r="B85" s="25">
        <f>SUM(B39:B84)</f>
        <v>2787218.6</v>
      </c>
      <c r="C85" s="222" t="s">
        <v>1436</v>
      </c>
      <c r="D85" s="223"/>
      <c r="E85" s="70"/>
      <c r="H85" s="88"/>
    </row>
    <row r="86" spans="1:9" s="11" customFormat="1" ht="15.95" customHeight="1" x14ac:dyDescent="0.25">
      <c r="A86" s="11" t="s">
        <v>1</v>
      </c>
      <c r="B86" s="17">
        <f>B85+B37</f>
        <v>1612763.5</v>
      </c>
      <c r="C86" s="229" t="s">
        <v>1368</v>
      </c>
      <c r="D86" s="230"/>
      <c r="E86" s="70"/>
      <c r="H86" s="88"/>
    </row>
    <row r="87" spans="1:9" s="11" customFormat="1" ht="15.95" customHeight="1" x14ac:dyDescent="0.25">
      <c r="A87" s="11" t="s">
        <v>0</v>
      </c>
      <c r="B87" s="17">
        <f>B86-B7</f>
        <v>0</v>
      </c>
      <c r="C87" s="231" t="s">
        <v>1459</v>
      </c>
      <c r="D87" s="232"/>
      <c r="E87" s="70"/>
      <c r="H87" s="88"/>
    </row>
    <row r="88" spans="1:9" s="11" customFormat="1" ht="15.95" customHeight="1" x14ac:dyDescent="0.25">
      <c r="B88" s="17"/>
      <c r="E88" s="70"/>
      <c r="H88" s="88"/>
    </row>
    <row r="89" spans="1:9" s="11" customFormat="1" ht="20.100000000000001" customHeight="1" x14ac:dyDescent="0.25">
      <c r="A89" s="39"/>
      <c r="B89" s="93"/>
      <c r="C89" s="18"/>
      <c r="D89" s="18"/>
      <c r="E89" s="70"/>
      <c r="H89" s="88"/>
    </row>
    <row r="90" spans="1:9" s="11" customFormat="1" ht="20.100000000000001" customHeight="1" x14ac:dyDescent="0.25">
      <c r="A90" s="39"/>
      <c r="B90" s="93"/>
      <c r="C90" s="18"/>
      <c r="D90" s="18"/>
      <c r="E90" s="70"/>
      <c r="H90" s="88"/>
    </row>
    <row r="91" spans="1:9" s="11" customFormat="1" ht="20.100000000000001" customHeight="1" x14ac:dyDescent="0.3">
      <c r="A91" s="1"/>
      <c r="B91" s="10"/>
      <c r="C91" s="13"/>
      <c r="D91" s="51"/>
      <c r="E91" s="70"/>
      <c r="H91" s="88"/>
    </row>
    <row r="92" spans="1:9" s="11" customFormat="1" ht="20.100000000000001" customHeight="1" x14ac:dyDescent="0.3">
      <c r="A92" s="1"/>
      <c r="B92" s="10"/>
      <c r="C92" s="13"/>
      <c r="D92" s="51"/>
      <c r="E92" s="70"/>
      <c r="H92" s="88"/>
    </row>
    <row r="93" spans="1:9" s="11" customFormat="1" ht="20.100000000000001" customHeight="1" x14ac:dyDescent="0.3">
      <c r="A93" s="1"/>
      <c r="B93" s="10"/>
      <c r="C93" s="13"/>
      <c r="D93" s="51"/>
      <c r="E93" s="70"/>
      <c r="H93" s="88"/>
    </row>
    <row r="94" spans="1:9" s="13" customFormat="1" ht="20.100000000000001" customHeight="1" x14ac:dyDescent="0.3">
      <c r="A94" s="1"/>
      <c r="B94" s="10"/>
      <c r="D94" s="51"/>
      <c r="E94" s="70"/>
      <c r="F94" s="11"/>
      <c r="G94" s="11"/>
      <c r="H94" s="88"/>
      <c r="I94" s="11"/>
    </row>
    <row r="95" spans="1:9" s="13" customFormat="1" ht="20.100000000000001" customHeight="1" x14ac:dyDescent="0.3">
      <c r="A95" s="1"/>
      <c r="B95" s="10"/>
      <c r="D95" s="51"/>
      <c r="E95" s="70"/>
      <c r="F95" s="11"/>
      <c r="G95" s="11"/>
      <c r="H95" s="88"/>
      <c r="I95" s="11"/>
    </row>
    <row r="96" spans="1:9" s="13" customFormat="1" ht="20.100000000000001" customHeight="1" x14ac:dyDescent="0.3">
      <c r="A96" s="1"/>
      <c r="B96" s="10"/>
      <c r="D96" s="51"/>
      <c r="E96" s="70"/>
      <c r="F96" s="11"/>
      <c r="G96" s="11"/>
      <c r="H96" s="88"/>
      <c r="I96" s="11"/>
    </row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</sheetData>
  <mergeCells count="19">
    <mergeCell ref="C17:D17"/>
    <mergeCell ref="C18:D18"/>
    <mergeCell ref="C23:D23"/>
    <mergeCell ref="C27:D27"/>
    <mergeCell ref="C28:D28"/>
    <mergeCell ref="C43:D43"/>
    <mergeCell ref="C85:D85"/>
    <mergeCell ref="C86:D86"/>
    <mergeCell ref="C87:D87"/>
    <mergeCell ref="C31:D31"/>
    <mergeCell ref="C44:D44"/>
    <mergeCell ref="C45:D45"/>
    <mergeCell ref="C73:D73"/>
    <mergeCell ref="C36:D36"/>
    <mergeCell ref="C32:D32"/>
    <mergeCell ref="C39:D39"/>
    <mergeCell ref="C40:D40"/>
    <mergeCell ref="C41:D41"/>
    <mergeCell ref="C42:D42"/>
  </mergeCells>
  <pageMargins left="0.7" right="0.7" top="0.75" bottom="0.75" header="0.3" footer="0.3"/>
  <pageSetup fitToHeight="0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E7253-BBAF-4CA9-A537-B376C13E30FF}">
  <sheetPr>
    <pageSetUpPr fitToPage="1"/>
  </sheetPr>
  <dimension ref="A1:S72"/>
  <sheetViews>
    <sheetView topLeftCell="A17" workbookViewId="0">
      <selection activeCell="B43" sqref="B43"/>
    </sheetView>
  </sheetViews>
  <sheetFormatPr defaultRowHeight="18.75" x14ac:dyDescent="0.3"/>
  <cols>
    <col min="1" max="1" width="20.7109375" style="1" customWidth="1"/>
    <col min="2" max="2" width="16.85546875" style="10" customWidth="1"/>
    <col min="3" max="3" width="28" style="6" bestFit="1" customWidth="1"/>
    <col min="4" max="4" width="19.7109375" style="82" customWidth="1"/>
    <col min="5" max="5" width="9.85546875" style="76" bestFit="1" customWidth="1"/>
    <col min="6" max="6" width="9.140625" style="1"/>
    <col min="7" max="7" width="35" style="1" bestFit="1" customWidth="1"/>
    <col min="8" max="8" width="5.5703125" style="90" bestFit="1" customWidth="1"/>
    <col min="9" max="11" width="9.140625" style="1"/>
    <col min="12" max="12" width="42.28515625" style="1" bestFit="1" customWidth="1"/>
    <col min="13" max="16384" width="9.140625" style="1"/>
  </cols>
  <sheetData>
    <row r="1" spans="1:19" s="11" customFormat="1" ht="20.100000000000001" customHeight="1" x14ac:dyDescent="0.25">
      <c r="A1" s="11" t="s">
        <v>1203</v>
      </c>
      <c r="B1" s="17"/>
      <c r="C1" s="13"/>
      <c r="D1" s="51"/>
      <c r="E1" s="70"/>
      <c r="H1" s="88"/>
    </row>
    <row r="2" spans="1:19" s="11" customFormat="1" ht="20.100000000000001" customHeight="1" x14ac:dyDescent="0.25">
      <c r="A2" s="14">
        <v>44926</v>
      </c>
      <c r="B2" s="17"/>
      <c r="C2" s="13"/>
      <c r="D2" s="51"/>
      <c r="E2" s="70"/>
      <c r="H2" s="88"/>
    </row>
    <row r="3" spans="1:19" s="11" customFormat="1" ht="20.100000000000001" customHeight="1" x14ac:dyDescent="0.25">
      <c r="A3" s="11" t="s">
        <v>311</v>
      </c>
      <c r="B3" s="17">
        <v>13287839.26</v>
      </c>
      <c r="C3" s="13"/>
      <c r="D3" s="51"/>
      <c r="E3" s="70"/>
      <c r="H3" s="88"/>
      <c r="M3" s="89"/>
    </row>
    <row r="4" spans="1:19" s="11" customFormat="1" ht="20.100000000000001" customHeight="1" x14ac:dyDescent="0.25">
      <c r="A4" s="11" t="s">
        <v>6</v>
      </c>
      <c r="B4" s="17"/>
      <c r="C4" s="13"/>
      <c r="D4" s="51"/>
      <c r="E4" s="70"/>
      <c r="H4" s="88"/>
      <c r="M4" s="89"/>
    </row>
    <row r="5" spans="1:19" s="11" customFormat="1" ht="20.100000000000001" customHeight="1" x14ac:dyDescent="0.25">
      <c r="A5" s="11">
        <v>2100</v>
      </c>
      <c r="B5" s="17">
        <v>-11616127.1</v>
      </c>
      <c r="C5" s="13"/>
      <c r="D5" s="51"/>
      <c r="E5" s="70"/>
      <c r="H5" s="88"/>
      <c r="M5" s="89"/>
    </row>
    <row r="6" spans="1:19" s="11" customFormat="1" ht="20.100000000000001" customHeight="1" x14ac:dyDescent="0.25">
      <c r="A6" s="11" t="s">
        <v>5</v>
      </c>
      <c r="B6" s="17">
        <f>SUM(B5)</f>
        <v>-11616127.1</v>
      </c>
      <c r="C6" s="13"/>
      <c r="D6" s="51"/>
      <c r="E6" s="70"/>
      <c r="H6" s="88"/>
      <c r="M6" s="89"/>
      <c r="O6" s="62"/>
      <c r="P6" s="62"/>
      <c r="Q6" s="62"/>
      <c r="R6" s="62"/>
      <c r="S6" s="62"/>
    </row>
    <row r="7" spans="1:19" s="11" customFormat="1" ht="20.100000000000001" customHeight="1" x14ac:dyDescent="0.25">
      <c r="A7" s="11" t="s">
        <v>4</v>
      </c>
      <c r="B7" s="17">
        <f>B6+B3</f>
        <v>1671712.1600000001</v>
      </c>
      <c r="C7" s="13"/>
      <c r="D7" s="51"/>
      <c r="E7" s="70"/>
      <c r="H7" s="88"/>
      <c r="M7" s="88"/>
    </row>
    <row r="8" spans="1:19" s="11" customFormat="1" ht="15.95" customHeight="1" x14ac:dyDescent="0.25">
      <c r="A8" s="11" t="s">
        <v>3</v>
      </c>
      <c r="B8" s="17"/>
      <c r="C8" s="44" t="s">
        <v>628</v>
      </c>
      <c r="D8" s="80" t="s">
        <v>626</v>
      </c>
      <c r="E8" s="70"/>
      <c r="H8" s="88"/>
      <c r="M8" s="88"/>
    </row>
    <row r="9" spans="1:19" s="11" customFormat="1" ht="15" customHeight="1" x14ac:dyDescent="0.25">
      <c r="A9" s="77" t="s">
        <v>1461</v>
      </c>
      <c r="B9" s="66">
        <v>-29702</v>
      </c>
      <c r="C9" s="31">
        <v>44925</v>
      </c>
      <c r="D9" s="14">
        <v>44930</v>
      </c>
      <c r="E9" s="71"/>
      <c r="F9" s="55"/>
      <c r="G9" s="55"/>
      <c r="M9" s="88"/>
    </row>
    <row r="10" spans="1:19" s="11" customFormat="1" ht="15" customHeight="1" x14ac:dyDescent="0.25">
      <c r="A10" s="77" t="s">
        <v>1462</v>
      </c>
      <c r="B10" s="66">
        <v>-31853</v>
      </c>
      <c r="C10" s="31">
        <v>44925</v>
      </c>
      <c r="D10" s="14">
        <v>44930</v>
      </c>
      <c r="E10" s="71"/>
      <c r="F10" s="55"/>
      <c r="G10" s="55"/>
      <c r="M10" s="88"/>
    </row>
    <row r="11" spans="1:19" s="11" customFormat="1" ht="15" customHeight="1" x14ac:dyDescent="0.25">
      <c r="A11" s="77" t="s">
        <v>1463</v>
      </c>
      <c r="B11" s="66">
        <v>-33900.1</v>
      </c>
      <c r="C11" s="31">
        <v>44901</v>
      </c>
      <c r="D11" s="14">
        <v>44929</v>
      </c>
      <c r="E11" s="71"/>
      <c r="F11" s="55"/>
      <c r="G11" s="55"/>
      <c r="M11" s="88"/>
    </row>
    <row r="12" spans="1:19" s="11" customFormat="1" ht="15" customHeight="1" x14ac:dyDescent="0.25">
      <c r="A12" s="77" t="s">
        <v>1472</v>
      </c>
      <c r="B12" s="66">
        <v>-37378.300000000003</v>
      </c>
      <c r="C12" s="31">
        <v>44902</v>
      </c>
      <c r="D12" s="14">
        <v>44935</v>
      </c>
      <c r="E12" s="71"/>
      <c r="F12" s="55"/>
      <c r="G12" s="55"/>
      <c r="M12" s="88"/>
    </row>
    <row r="13" spans="1:19" s="11" customFormat="1" ht="15" customHeight="1" x14ac:dyDescent="0.25">
      <c r="A13" s="77" t="s">
        <v>1464</v>
      </c>
      <c r="B13" s="66">
        <v>-52149</v>
      </c>
      <c r="C13" s="31">
        <v>44924</v>
      </c>
      <c r="D13" s="14">
        <v>44929</v>
      </c>
      <c r="E13" s="71"/>
      <c r="F13" s="55"/>
      <c r="G13" s="55"/>
      <c r="M13" s="88"/>
    </row>
    <row r="14" spans="1:19" s="11" customFormat="1" ht="15" customHeight="1" x14ac:dyDescent="0.25">
      <c r="A14" s="77" t="s">
        <v>1466</v>
      </c>
      <c r="B14" s="66">
        <v>-74046.399999999994</v>
      </c>
      <c r="C14" s="31">
        <v>44925</v>
      </c>
      <c r="D14" s="14">
        <v>44929</v>
      </c>
      <c r="E14" s="71"/>
      <c r="F14" s="55"/>
      <c r="G14" s="55"/>
      <c r="M14" s="88"/>
    </row>
    <row r="15" spans="1:19" s="11" customFormat="1" ht="15" customHeight="1" x14ac:dyDescent="0.25">
      <c r="A15" s="77" t="s">
        <v>1467</v>
      </c>
      <c r="B15" s="66">
        <v>-74078.990000000005</v>
      </c>
      <c r="C15" s="31">
        <v>44925</v>
      </c>
      <c r="D15" s="14">
        <v>44929</v>
      </c>
      <c r="E15" s="71"/>
      <c r="F15" s="55"/>
      <c r="G15" s="55"/>
      <c r="M15" s="88"/>
    </row>
    <row r="16" spans="1:19" s="11" customFormat="1" ht="15" customHeight="1" x14ac:dyDescent="0.25">
      <c r="A16" s="77" t="s">
        <v>1469</v>
      </c>
      <c r="B16" s="66">
        <v>-74539.34</v>
      </c>
      <c r="C16" s="31">
        <v>44925</v>
      </c>
      <c r="D16" s="28">
        <v>44929</v>
      </c>
      <c r="E16" s="71"/>
      <c r="F16" s="55"/>
      <c r="G16" s="55"/>
      <c r="M16" s="88"/>
    </row>
    <row r="17" spans="1:13" s="11" customFormat="1" ht="15" customHeight="1" x14ac:dyDescent="0.25">
      <c r="A17" s="77" t="s">
        <v>1470</v>
      </c>
      <c r="B17" s="66">
        <v>-82325.75</v>
      </c>
      <c r="C17" s="31">
        <v>44925</v>
      </c>
      <c r="D17" s="28">
        <v>44929</v>
      </c>
      <c r="E17" s="71"/>
      <c r="F17" s="55"/>
      <c r="G17" s="55"/>
      <c r="M17" s="88"/>
    </row>
    <row r="18" spans="1:13" s="11" customFormat="1" ht="15" customHeight="1" x14ac:dyDescent="0.25">
      <c r="A18" s="77"/>
      <c r="B18" s="66"/>
      <c r="C18" s="33"/>
      <c r="D18" s="28"/>
      <c r="E18" s="94"/>
      <c r="F18" s="55"/>
      <c r="G18" s="55"/>
    </row>
    <row r="19" spans="1:13" s="11" customFormat="1" ht="15.95" customHeight="1" x14ac:dyDescent="0.25">
      <c r="B19" s="25">
        <f>SUM(B9:B18)</f>
        <v>-489972.88</v>
      </c>
      <c r="C19" s="28"/>
      <c r="D19" s="28"/>
      <c r="E19" s="75"/>
      <c r="F19" s="19"/>
      <c r="G19" s="19"/>
    </row>
    <row r="20" spans="1:13" s="11" customFormat="1" ht="15.95" customHeight="1" x14ac:dyDescent="0.25">
      <c r="A20" s="11" t="s">
        <v>2</v>
      </c>
      <c r="B20" s="25"/>
      <c r="C20" s="30" t="s">
        <v>626</v>
      </c>
      <c r="D20" s="80" t="s">
        <v>628</v>
      </c>
      <c r="E20" s="70"/>
    </row>
    <row r="21" spans="1:13" s="11" customFormat="1" ht="15.95" customHeight="1" x14ac:dyDescent="0.25">
      <c r="A21" s="11" t="s">
        <v>1488</v>
      </c>
      <c r="B21" s="25">
        <v>42258.35</v>
      </c>
      <c r="C21" s="95">
        <v>44925</v>
      </c>
      <c r="D21" s="28">
        <v>44942</v>
      </c>
      <c r="E21" s="70"/>
    </row>
    <row r="22" spans="1:13" s="11" customFormat="1" ht="15.95" customHeight="1" x14ac:dyDescent="0.25">
      <c r="A22" s="11" t="s">
        <v>1473</v>
      </c>
      <c r="B22" s="25">
        <v>42341.95</v>
      </c>
      <c r="C22" s="95">
        <v>44922</v>
      </c>
      <c r="D22" s="28">
        <v>44930</v>
      </c>
      <c r="E22" s="70"/>
    </row>
    <row r="23" spans="1:13" s="11" customFormat="1" ht="15.95" customHeight="1" x14ac:dyDescent="0.25">
      <c r="A23" s="11" t="s">
        <v>1290</v>
      </c>
      <c r="B23" s="25">
        <v>44152.95</v>
      </c>
      <c r="C23" s="95">
        <v>44860</v>
      </c>
      <c r="D23" s="11" t="s">
        <v>1496</v>
      </c>
      <c r="E23" s="70"/>
    </row>
    <row r="24" spans="1:13" s="11" customFormat="1" ht="15.95" customHeight="1" x14ac:dyDescent="0.25">
      <c r="A24" s="11" t="s">
        <v>1390</v>
      </c>
      <c r="B24" s="25">
        <v>44292.45</v>
      </c>
      <c r="C24" s="95">
        <v>44859</v>
      </c>
      <c r="D24" s="28" t="s">
        <v>1496</v>
      </c>
      <c r="E24" s="70"/>
    </row>
    <row r="25" spans="1:13" s="11" customFormat="1" ht="15.95" customHeight="1" x14ac:dyDescent="0.25">
      <c r="A25" s="11" t="s">
        <v>1474</v>
      </c>
      <c r="B25" s="25">
        <v>44595.6</v>
      </c>
      <c r="C25" s="95">
        <v>44904</v>
      </c>
      <c r="D25" s="28">
        <v>44935</v>
      </c>
      <c r="E25" s="70"/>
    </row>
    <row r="26" spans="1:13" s="11" customFormat="1" ht="15.95" customHeight="1" x14ac:dyDescent="0.25">
      <c r="A26" s="11" t="s">
        <v>1475</v>
      </c>
      <c r="B26" s="25">
        <v>44735.1</v>
      </c>
      <c r="C26" s="95">
        <v>44904</v>
      </c>
      <c r="D26" s="28">
        <v>44935</v>
      </c>
      <c r="E26" s="70"/>
    </row>
    <row r="27" spans="1:13" s="11" customFormat="1" ht="15.95" customHeight="1" x14ac:dyDescent="0.25">
      <c r="A27" s="11" t="s">
        <v>1292</v>
      </c>
      <c r="B27" s="25">
        <v>45915.3</v>
      </c>
      <c r="C27" s="95">
        <v>44858</v>
      </c>
      <c r="D27" s="88">
        <v>4300</v>
      </c>
      <c r="E27" s="70"/>
    </row>
    <row r="28" spans="1:13" s="11" customFormat="1" ht="15.95" customHeight="1" x14ac:dyDescent="0.25">
      <c r="A28" s="11" t="s">
        <v>1489</v>
      </c>
      <c r="B28" s="25">
        <v>47169.9</v>
      </c>
      <c r="C28" s="95">
        <v>44904</v>
      </c>
      <c r="D28" s="14">
        <v>44942</v>
      </c>
      <c r="E28" s="70"/>
    </row>
    <row r="29" spans="1:13" s="11" customFormat="1" ht="15.95" customHeight="1" x14ac:dyDescent="0.25">
      <c r="A29" s="11" t="s">
        <v>1476</v>
      </c>
      <c r="B29" s="25">
        <v>48109.9</v>
      </c>
      <c r="C29" s="96">
        <v>44924</v>
      </c>
      <c r="D29" s="86">
        <v>44929</v>
      </c>
      <c r="E29" s="70"/>
      <c r="L29" s="11" t="s">
        <v>1437</v>
      </c>
    </row>
    <row r="30" spans="1:13" s="11" customFormat="1" ht="15.95" customHeight="1" x14ac:dyDescent="0.25">
      <c r="A30" s="11" t="s">
        <v>1477</v>
      </c>
      <c r="B30" s="25">
        <v>48109.9</v>
      </c>
      <c r="C30" s="96">
        <v>44925</v>
      </c>
      <c r="D30" s="86">
        <v>44929</v>
      </c>
      <c r="E30" s="70"/>
      <c r="L30" s="11" t="s">
        <v>1438</v>
      </c>
    </row>
    <row r="31" spans="1:13" s="11" customFormat="1" ht="15.95" customHeight="1" x14ac:dyDescent="0.25">
      <c r="A31" s="11" t="s">
        <v>1478</v>
      </c>
      <c r="B31" s="25">
        <v>48667.9</v>
      </c>
      <c r="C31" s="96">
        <v>44924</v>
      </c>
      <c r="D31" s="86">
        <v>44929</v>
      </c>
      <c r="E31" s="70"/>
      <c r="L31" s="11" t="s">
        <v>1439</v>
      </c>
    </row>
    <row r="32" spans="1:13" s="11" customFormat="1" ht="15.95" customHeight="1" x14ac:dyDescent="0.25">
      <c r="A32" s="11" t="s">
        <v>1395</v>
      </c>
      <c r="B32" s="25">
        <v>49458.400000000001</v>
      </c>
      <c r="C32" s="96">
        <v>44866</v>
      </c>
      <c r="D32" s="86" t="s">
        <v>1496</v>
      </c>
      <c r="E32" s="70"/>
      <c r="L32" s="11" t="s">
        <v>1440</v>
      </c>
    </row>
    <row r="33" spans="1:12" s="11" customFormat="1" ht="15.95" customHeight="1" x14ac:dyDescent="0.25">
      <c r="A33" s="11" t="s">
        <v>1396</v>
      </c>
      <c r="B33" s="25">
        <v>50016.4</v>
      </c>
      <c r="C33" s="96">
        <v>44867</v>
      </c>
      <c r="D33" s="88">
        <v>3800</v>
      </c>
      <c r="E33" s="70"/>
      <c r="L33" s="11" t="s">
        <v>1441</v>
      </c>
    </row>
    <row r="34" spans="1:12" s="11" customFormat="1" ht="15.95" customHeight="1" x14ac:dyDescent="0.25">
      <c r="A34" s="11" t="s">
        <v>1479</v>
      </c>
      <c r="B34" s="25">
        <v>52784.1</v>
      </c>
      <c r="C34" s="96">
        <v>44893</v>
      </c>
      <c r="D34" s="86">
        <v>44935</v>
      </c>
      <c r="E34" s="70"/>
      <c r="L34" s="11" t="s">
        <v>1442</v>
      </c>
    </row>
    <row r="35" spans="1:12" s="11" customFormat="1" ht="15.95" customHeight="1" x14ac:dyDescent="0.25">
      <c r="A35" s="11" t="s">
        <v>1465</v>
      </c>
      <c r="B35" s="25">
        <v>52923.6</v>
      </c>
      <c r="C35" s="96">
        <v>44922</v>
      </c>
      <c r="D35" s="88">
        <v>3800</v>
      </c>
      <c r="E35" s="70"/>
      <c r="L35" s="11" t="s">
        <v>1443</v>
      </c>
    </row>
    <row r="36" spans="1:12" s="11" customFormat="1" ht="15.95" customHeight="1" x14ac:dyDescent="0.25">
      <c r="A36" s="11" t="s">
        <v>1480</v>
      </c>
      <c r="B36" s="25">
        <v>52923.6</v>
      </c>
      <c r="C36" s="96">
        <v>44922</v>
      </c>
      <c r="D36" s="86">
        <v>44929</v>
      </c>
      <c r="E36" s="70"/>
      <c r="L36" s="11" t="s">
        <v>1444</v>
      </c>
    </row>
    <row r="37" spans="1:12" s="11" customFormat="1" ht="15.95" customHeight="1" x14ac:dyDescent="0.25">
      <c r="A37" s="11" t="s">
        <v>1308</v>
      </c>
      <c r="B37" s="25">
        <v>57522.400000000001</v>
      </c>
      <c r="C37" s="96">
        <v>44851</v>
      </c>
      <c r="D37" s="88">
        <v>3800</v>
      </c>
      <c r="E37" s="70"/>
      <c r="L37" s="11" t="s">
        <v>1445</v>
      </c>
    </row>
    <row r="38" spans="1:12" s="11" customFormat="1" ht="15.95" customHeight="1" x14ac:dyDescent="0.25">
      <c r="A38" s="11" t="s">
        <v>1481</v>
      </c>
      <c r="B38" s="25">
        <v>59012.7</v>
      </c>
      <c r="C38" s="96">
        <v>44783</v>
      </c>
      <c r="D38" s="86">
        <v>44938</v>
      </c>
      <c r="E38" s="70"/>
      <c r="L38" s="11" t="s">
        <v>1446</v>
      </c>
    </row>
    <row r="39" spans="1:12" s="11" customFormat="1" ht="15.95" customHeight="1" x14ac:dyDescent="0.25">
      <c r="A39" s="11" t="s">
        <v>1313</v>
      </c>
      <c r="B39" s="25">
        <v>62729.599999999999</v>
      </c>
      <c r="C39" s="96">
        <v>44862</v>
      </c>
      <c r="D39" s="86" t="s">
        <v>1496</v>
      </c>
      <c r="E39" s="70"/>
      <c r="L39" s="11" t="s">
        <v>1447</v>
      </c>
    </row>
    <row r="40" spans="1:12" s="11" customFormat="1" ht="15.95" customHeight="1" x14ac:dyDescent="0.25">
      <c r="A40" s="11" t="s">
        <v>1490</v>
      </c>
      <c r="B40" s="25">
        <v>69540.3</v>
      </c>
      <c r="C40" s="96">
        <v>44915</v>
      </c>
      <c r="D40" s="86">
        <v>44939</v>
      </c>
      <c r="E40" s="70"/>
      <c r="L40" s="11" t="s">
        <v>1448</v>
      </c>
    </row>
    <row r="41" spans="1:12" s="11" customFormat="1" ht="15.95" customHeight="1" x14ac:dyDescent="0.25">
      <c r="A41" s="11" t="s">
        <v>1482</v>
      </c>
      <c r="B41" s="25">
        <v>71191.05</v>
      </c>
      <c r="C41" s="96">
        <v>44924</v>
      </c>
      <c r="D41" s="86">
        <v>44931</v>
      </c>
      <c r="E41" s="70"/>
      <c r="H41" s="88"/>
      <c r="L41" s="11" t="s">
        <v>1449</v>
      </c>
    </row>
    <row r="42" spans="1:12" s="11" customFormat="1" ht="15.95" customHeight="1" x14ac:dyDescent="0.25">
      <c r="A42" s="11" t="s">
        <v>1491</v>
      </c>
      <c r="B42" s="25">
        <v>71307.3</v>
      </c>
      <c r="C42" s="96">
        <v>44915</v>
      </c>
      <c r="D42" s="86">
        <v>44939</v>
      </c>
      <c r="E42" s="70"/>
      <c r="H42" s="88"/>
      <c r="L42" s="11" t="s">
        <v>1450</v>
      </c>
    </row>
    <row r="43" spans="1:12" s="11" customFormat="1" ht="15.95" customHeight="1" x14ac:dyDescent="0.25">
      <c r="A43" s="11" t="s">
        <v>1322</v>
      </c>
      <c r="B43" s="25">
        <v>71406.5</v>
      </c>
      <c r="C43" s="96">
        <v>44848</v>
      </c>
      <c r="D43" s="86" t="s">
        <v>1496</v>
      </c>
      <c r="E43" s="70"/>
      <c r="H43" s="88"/>
      <c r="L43" s="11" t="s">
        <v>1451</v>
      </c>
    </row>
    <row r="44" spans="1:12" s="11" customFormat="1" ht="15.95" customHeight="1" x14ac:dyDescent="0.25">
      <c r="A44" s="11" t="s">
        <v>1492</v>
      </c>
      <c r="B44" s="25">
        <v>72325.649999999994</v>
      </c>
      <c r="C44" s="96">
        <v>44915</v>
      </c>
      <c r="D44" s="86">
        <v>44939</v>
      </c>
      <c r="E44" s="70"/>
      <c r="L44" s="11" t="s">
        <v>1452</v>
      </c>
    </row>
    <row r="45" spans="1:12" s="11" customFormat="1" ht="15.95" customHeight="1" x14ac:dyDescent="0.25">
      <c r="A45" s="11" t="s">
        <v>1493</v>
      </c>
      <c r="B45" s="25">
        <v>72325.649999999994</v>
      </c>
      <c r="C45" s="96">
        <v>44915</v>
      </c>
      <c r="D45" s="86">
        <v>44939</v>
      </c>
      <c r="E45" s="70"/>
      <c r="H45" s="88"/>
      <c r="L45" s="11" t="s">
        <v>1453</v>
      </c>
    </row>
    <row r="46" spans="1:12" s="11" customFormat="1" ht="15.95" customHeight="1" x14ac:dyDescent="0.25">
      <c r="A46" s="11" t="s">
        <v>1494</v>
      </c>
      <c r="B46" s="25">
        <v>73023.149999999994</v>
      </c>
      <c r="C46" s="96">
        <v>44915</v>
      </c>
      <c r="D46" s="86">
        <v>44939</v>
      </c>
      <c r="E46" s="70"/>
      <c r="H46" s="88"/>
      <c r="L46" s="11" t="s">
        <v>1436</v>
      </c>
    </row>
    <row r="47" spans="1:12" s="11" customFormat="1" ht="15.95" customHeight="1" x14ac:dyDescent="0.25">
      <c r="A47" s="11" t="s">
        <v>1483</v>
      </c>
      <c r="B47" s="25">
        <v>73088.25</v>
      </c>
      <c r="C47" s="96">
        <v>44924</v>
      </c>
      <c r="D47" s="86">
        <v>44931</v>
      </c>
      <c r="E47" s="70"/>
      <c r="H47" s="88"/>
      <c r="L47" s="11" t="s">
        <v>1454</v>
      </c>
    </row>
    <row r="48" spans="1:12" s="11" customFormat="1" ht="15.95" customHeight="1" x14ac:dyDescent="0.25">
      <c r="A48" s="11" t="s">
        <v>1468</v>
      </c>
      <c r="B48" s="25">
        <v>74106.600000000006</v>
      </c>
      <c r="C48" s="96">
        <v>44924</v>
      </c>
      <c r="D48" s="88">
        <v>3800</v>
      </c>
      <c r="E48" s="70"/>
      <c r="H48" s="88"/>
      <c r="L48" s="11" t="s">
        <v>1455</v>
      </c>
    </row>
    <row r="49" spans="1:12" s="11" customFormat="1" ht="15.95" customHeight="1" x14ac:dyDescent="0.25">
      <c r="A49" s="11" t="s">
        <v>1484</v>
      </c>
      <c r="B49" s="25">
        <v>74664.600000000006</v>
      </c>
      <c r="C49" s="96">
        <v>44879</v>
      </c>
      <c r="D49" s="86">
        <v>44938</v>
      </c>
      <c r="E49" s="70"/>
      <c r="H49" s="88"/>
      <c r="L49" s="11" t="s">
        <v>1456</v>
      </c>
    </row>
    <row r="50" spans="1:12" s="11" customFormat="1" ht="15.95" customHeight="1" x14ac:dyDescent="0.25">
      <c r="A50" s="11" t="s">
        <v>1326</v>
      </c>
      <c r="B50" s="25">
        <v>78238.899999999994</v>
      </c>
      <c r="C50" s="96">
        <v>44845</v>
      </c>
      <c r="D50" s="88">
        <v>3800</v>
      </c>
      <c r="E50" s="70"/>
      <c r="H50" s="88"/>
      <c r="L50" s="11" t="s">
        <v>1457</v>
      </c>
    </row>
    <row r="51" spans="1:12" s="11" customFormat="1" ht="15.95" customHeight="1" x14ac:dyDescent="0.25">
      <c r="A51" s="11" t="s">
        <v>1485</v>
      </c>
      <c r="B51" s="25">
        <v>79960.800000000003</v>
      </c>
      <c r="C51" s="96">
        <v>44911</v>
      </c>
      <c r="D51" s="86">
        <v>44937</v>
      </c>
      <c r="E51" s="70"/>
      <c r="H51" s="88"/>
      <c r="L51" s="11" t="s">
        <v>1458</v>
      </c>
    </row>
    <row r="52" spans="1:12" s="11" customFormat="1" ht="15.75" customHeight="1" x14ac:dyDescent="0.25">
      <c r="A52" s="11" t="s">
        <v>1486</v>
      </c>
      <c r="B52" s="25">
        <v>80140.75</v>
      </c>
      <c r="C52" s="96">
        <v>44859</v>
      </c>
      <c r="D52" s="86">
        <v>44938</v>
      </c>
      <c r="E52" s="70"/>
      <c r="H52" s="88"/>
      <c r="L52" s="11" t="s">
        <v>1368</v>
      </c>
    </row>
    <row r="53" spans="1:12" s="11" customFormat="1" ht="15.95" customHeight="1" x14ac:dyDescent="0.25">
      <c r="A53" s="11" t="s">
        <v>1495</v>
      </c>
      <c r="B53" s="25">
        <v>81009.8</v>
      </c>
      <c r="C53" s="96">
        <v>44925</v>
      </c>
      <c r="D53" s="86">
        <v>44942</v>
      </c>
      <c r="E53" s="70"/>
      <c r="H53" s="88"/>
      <c r="L53" s="11" t="s">
        <v>1459</v>
      </c>
    </row>
    <row r="54" spans="1:12" s="11" customFormat="1" ht="15.95" customHeight="1" x14ac:dyDescent="0.25">
      <c r="A54" s="11" t="s">
        <v>1471</v>
      </c>
      <c r="B54" s="25">
        <v>83269.45</v>
      </c>
      <c r="C54" s="96">
        <v>44922</v>
      </c>
      <c r="D54" s="88">
        <v>3800</v>
      </c>
      <c r="E54" s="70"/>
      <c r="H54" s="88"/>
      <c r="L54" s="11" t="s">
        <v>1369</v>
      </c>
    </row>
    <row r="55" spans="1:12" s="11" customFormat="1" ht="15.95" customHeight="1" x14ac:dyDescent="0.25">
      <c r="A55" s="11" t="s">
        <v>1487</v>
      </c>
      <c r="B55" s="25">
        <v>98366.19</v>
      </c>
      <c r="C55" s="96">
        <v>44918</v>
      </c>
      <c r="D55" s="86">
        <v>44936</v>
      </c>
      <c r="E55" s="70"/>
      <c r="H55" s="88"/>
      <c r="L55" s="11" t="s">
        <v>1460</v>
      </c>
    </row>
    <row r="56" spans="1:12" s="11" customFormat="1" ht="15.95" customHeight="1" x14ac:dyDescent="0.25">
      <c r="B56" s="25"/>
      <c r="C56" s="13"/>
      <c r="D56" s="86"/>
      <c r="E56" s="70"/>
      <c r="H56" s="88"/>
    </row>
    <row r="57" spans="1:12" s="11" customFormat="1" ht="15.95" customHeight="1" x14ac:dyDescent="0.25">
      <c r="B57" s="25">
        <f>SUM(B21:B56)</f>
        <v>2161685.04</v>
      </c>
      <c r="C57" s="222" t="s">
        <v>1436</v>
      </c>
      <c r="D57" s="223"/>
      <c r="E57" s="70"/>
      <c r="H57" s="88"/>
    </row>
    <row r="58" spans="1:12" s="11" customFormat="1" ht="15.95" customHeight="1" x14ac:dyDescent="0.25">
      <c r="A58" s="11" t="s">
        <v>1</v>
      </c>
      <c r="B58" s="17">
        <f>B57+B19</f>
        <v>1671712.1600000001</v>
      </c>
      <c r="C58" s="229" t="s">
        <v>1459</v>
      </c>
      <c r="D58" s="230"/>
      <c r="E58" s="70"/>
      <c r="H58" s="88"/>
    </row>
    <row r="59" spans="1:12" s="11" customFormat="1" ht="15.95" customHeight="1" x14ac:dyDescent="0.25">
      <c r="A59" s="11" t="s">
        <v>0</v>
      </c>
      <c r="B59" s="17">
        <f>B58-B7</f>
        <v>0</v>
      </c>
      <c r="C59" s="231"/>
      <c r="D59" s="232"/>
      <c r="E59" s="70"/>
      <c r="H59" s="88"/>
    </row>
    <row r="60" spans="1:12" s="11" customFormat="1" ht="15.95" customHeight="1" x14ac:dyDescent="0.25">
      <c r="B60" s="17"/>
      <c r="E60" s="70"/>
      <c r="H60" s="88"/>
    </row>
    <row r="61" spans="1:12" s="11" customFormat="1" ht="20.100000000000001" customHeight="1" x14ac:dyDescent="0.25">
      <c r="A61" s="39"/>
      <c r="B61" s="93"/>
      <c r="C61" s="18"/>
      <c r="D61" s="18"/>
      <c r="E61" s="70"/>
      <c r="H61" s="88"/>
    </row>
    <row r="62" spans="1:12" s="11" customFormat="1" ht="20.100000000000001" customHeight="1" x14ac:dyDescent="0.25">
      <c r="A62" s="39"/>
      <c r="B62" s="93"/>
      <c r="C62" s="18"/>
      <c r="D62" s="18"/>
      <c r="E62" s="70"/>
      <c r="H62" s="88"/>
    </row>
    <row r="63" spans="1:12" s="11" customFormat="1" ht="20.100000000000001" customHeight="1" x14ac:dyDescent="0.3">
      <c r="A63" s="1"/>
      <c r="B63" s="10"/>
      <c r="C63" s="13"/>
      <c r="D63" s="51"/>
      <c r="E63" s="70"/>
      <c r="H63" s="88"/>
    </row>
    <row r="64" spans="1:12" s="11" customFormat="1" ht="20.100000000000001" customHeight="1" x14ac:dyDescent="0.3">
      <c r="A64" s="1"/>
      <c r="B64" s="10"/>
      <c r="C64" s="13"/>
      <c r="D64" s="51"/>
      <c r="E64" s="70"/>
      <c r="H64" s="88"/>
    </row>
    <row r="65" spans="1:9" s="11" customFormat="1" ht="20.100000000000001" customHeight="1" x14ac:dyDescent="0.3">
      <c r="A65" s="1"/>
      <c r="B65" s="10"/>
      <c r="C65" s="13"/>
      <c r="D65" s="51"/>
      <c r="E65" s="70"/>
      <c r="H65" s="88"/>
    </row>
    <row r="66" spans="1:9" s="13" customFormat="1" ht="20.100000000000001" customHeight="1" x14ac:dyDescent="0.3">
      <c r="A66" s="1"/>
      <c r="B66" s="10"/>
      <c r="D66" s="51"/>
      <c r="E66" s="70"/>
      <c r="F66" s="11"/>
      <c r="G66" s="11"/>
      <c r="H66" s="88"/>
      <c r="I66" s="11"/>
    </row>
    <row r="67" spans="1:9" s="13" customFormat="1" ht="20.100000000000001" customHeight="1" x14ac:dyDescent="0.3">
      <c r="A67" s="1"/>
      <c r="B67" s="10"/>
      <c r="D67" s="51"/>
      <c r="E67" s="70"/>
      <c r="F67" s="11"/>
      <c r="G67" s="11"/>
      <c r="H67" s="88"/>
      <c r="I67" s="11"/>
    </row>
    <row r="68" spans="1:9" s="13" customFormat="1" ht="20.100000000000001" customHeight="1" x14ac:dyDescent="0.3">
      <c r="A68" s="1"/>
      <c r="B68" s="10"/>
      <c r="D68" s="51"/>
      <c r="E68" s="70"/>
      <c r="F68" s="11"/>
      <c r="G68" s="11"/>
      <c r="H68" s="88"/>
      <c r="I68" s="11"/>
    </row>
    <row r="69" spans="1:9" ht="20.100000000000001" customHeight="1" x14ac:dyDescent="0.3"/>
    <row r="70" spans="1:9" ht="20.100000000000001" customHeight="1" x14ac:dyDescent="0.3"/>
    <row r="71" spans="1:9" ht="20.100000000000001" customHeight="1" x14ac:dyDescent="0.3"/>
    <row r="72" spans="1:9" ht="20.100000000000001" customHeight="1" x14ac:dyDescent="0.3"/>
  </sheetData>
  <mergeCells count="3">
    <mergeCell ref="C59:D59"/>
    <mergeCell ref="C57:D57"/>
    <mergeCell ref="C58:D58"/>
  </mergeCells>
  <pageMargins left="0.7" right="0.7" top="0.75" bottom="0.75" header="0.3" footer="0.3"/>
  <pageSetup fitToHeight="0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DC358-DCC3-4908-A585-B3FEA30FED03}">
  <sheetPr>
    <pageSetUpPr fitToPage="1"/>
  </sheetPr>
  <dimension ref="A1:S55"/>
  <sheetViews>
    <sheetView topLeftCell="A6" workbookViewId="0">
      <selection activeCell="D18" sqref="D18"/>
    </sheetView>
  </sheetViews>
  <sheetFormatPr defaultRowHeight="18.75" x14ac:dyDescent="0.3"/>
  <cols>
    <col min="1" max="1" width="20.7109375" style="1" customWidth="1"/>
    <col min="2" max="2" width="16.85546875" style="10" customWidth="1"/>
    <col min="3" max="3" width="28" style="6" bestFit="1" customWidth="1"/>
    <col min="4" max="4" width="19.7109375" style="82" customWidth="1"/>
    <col min="5" max="5" width="9.85546875" style="76" bestFit="1" customWidth="1"/>
    <col min="6" max="6" width="9.140625" style="1"/>
    <col min="7" max="7" width="35" style="1" bestFit="1" customWidth="1"/>
    <col min="8" max="8" width="5.5703125" style="90" bestFit="1" customWidth="1"/>
    <col min="9" max="11" width="9.140625" style="1"/>
    <col min="12" max="12" width="42.28515625" style="1" bestFit="1" customWidth="1"/>
    <col min="13" max="16384" width="9.140625" style="1"/>
  </cols>
  <sheetData>
    <row r="1" spans="1:19" s="11" customFormat="1" ht="20.100000000000001" customHeight="1" x14ac:dyDescent="0.25">
      <c r="A1" s="11" t="s">
        <v>1203</v>
      </c>
      <c r="B1" s="17"/>
      <c r="C1" s="13"/>
      <c r="D1" s="51"/>
      <c r="E1" s="70"/>
      <c r="H1" s="88"/>
    </row>
    <row r="2" spans="1:19" s="11" customFormat="1" ht="20.100000000000001" customHeight="1" x14ac:dyDescent="0.25">
      <c r="A2" s="14">
        <v>44957</v>
      </c>
      <c r="B2" s="17"/>
      <c r="C2" s="13"/>
      <c r="D2" s="51"/>
      <c r="E2" s="70"/>
      <c r="H2" s="88"/>
    </row>
    <row r="3" spans="1:19" s="11" customFormat="1" ht="20.100000000000001" customHeight="1" x14ac:dyDescent="0.25">
      <c r="A3" s="11" t="s">
        <v>311</v>
      </c>
      <c r="B3" s="17">
        <v>12048735.92</v>
      </c>
      <c r="C3" s="13"/>
      <c r="D3" s="51"/>
      <c r="E3" s="70"/>
      <c r="H3" s="88"/>
      <c r="M3" s="89"/>
    </row>
    <row r="4" spans="1:19" s="11" customFormat="1" ht="20.100000000000001" customHeight="1" x14ac:dyDescent="0.25">
      <c r="A4" s="11" t="s">
        <v>6</v>
      </c>
      <c r="B4" s="17"/>
      <c r="C4" s="13"/>
      <c r="D4" s="51"/>
      <c r="E4" s="70"/>
      <c r="H4" s="88"/>
      <c r="M4" s="89"/>
    </row>
    <row r="5" spans="1:19" s="11" customFormat="1" ht="20.100000000000001" customHeight="1" x14ac:dyDescent="0.25">
      <c r="A5" s="11">
        <v>2100</v>
      </c>
      <c r="B5" s="17">
        <v>-10885541.689999999</v>
      </c>
      <c r="C5" s="13"/>
      <c r="D5" s="51"/>
      <c r="E5" s="70"/>
      <c r="H5" s="88"/>
      <c r="M5" s="89"/>
    </row>
    <row r="6" spans="1:19" s="11" customFormat="1" ht="20.100000000000001" customHeight="1" x14ac:dyDescent="0.25">
      <c r="A6" s="11" t="s">
        <v>5</v>
      </c>
      <c r="B6" s="17">
        <f>SUM(B5)</f>
        <v>-10885541.689999999</v>
      </c>
      <c r="C6" s="13"/>
      <c r="D6" s="51"/>
      <c r="E6" s="70"/>
      <c r="H6" s="88"/>
      <c r="M6" s="89"/>
      <c r="O6" s="62"/>
      <c r="P6" s="62"/>
      <c r="Q6" s="62"/>
      <c r="R6" s="62"/>
      <c r="S6" s="62"/>
    </row>
    <row r="7" spans="1:19" s="11" customFormat="1" ht="20.100000000000001" customHeight="1" x14ac:dyDescent="0.25">
      <c r="A7" s="11" t="s">
        <v>4</v>
      </c>
      <c r="B7" s="17">
        <f>B6+B3</f>
        <v>1163194.2300000004</v>
      </c>
      <c r="C7" s="13"/>
      <c r="D7" s="51"/>
      <c r="E7" s="70"/>
      <c r="H7" s="88"/>
      <c r="M7" s="88"/>
    </row>
    <row r="8" spans="1:19" s="11" customFormat="1" ht="15.95" customHeight="1" x14ac:dyDescent="0.25">
      <c r="A8" s="11" t="s">
        <v>3</v>
      </c>
      <c r="B8" s="17"/>
      <c r="C8" s="44" t="s">
        <v>628</v>
      </c>
      <c r="D8" s="80" t="s">
        <v>626</v>
      </c>
      <c r="E8" s="70"/>
      <c r="H8" s="88"/>
      <c r="M8" s="88"/>
    </row>
    <row r="9" spans="1:19" s="11" customFormat="1" ht="15" customHeight="1" x14ac:dyDescent="0.25">
      <c r="A9" s="77" t="s">
        <v>1497</v>
      </c>
      <c r="B9" s="66">
        <v>-28186.3</v>
      </c>
      <c r="C9" s="31">
        <v>44957</v>
      </c>
      <c r="D9" s="14">
        <v>44958</v>
      </c>
      <c r="E9" s="71"/>
      <c r="F9" s="55"/>
      <c r="G9" s="55"/>
      <c r="M9" s="88"/>
    </row>
    <row r="10" spans="1:19" s="11" customFormat="1" ht="15" customHeight="1" x14ac:dyDescent="0.25">
      <c r="A10" s="77" t="s">
        <v>1501</v>
      </c>
      <c r="B10" s="66">
        <v>-45887.839999999997</v>
      </c>
      <c r="C10" s="31">
        <v>44951</v>
      </c>
      <c r="D10" s="14">
        <v>44970</v>
      </c>
      <c r="E10" s="71"/>
      <c r="F10" s="55"/>
      <c r="G10" s="55"/>
      <c r="M10" s="88"/>
    </row>
    <row r="11" spans="1:19" s="11" customFormat="1" ht="15" customHeight="1" x14ac:dyDescent="0.25">
      <c r="A11" s="77" t="s">
        <v>1502</v>
      </c>
      <c r="B11" s="66">
        <v>-45911.09</v>
      </c>
      <c r="C11" s="31">
        <v>44952</v>
      </c>
      <c r="D11" s="14">
        <v>44970</v>
      </c>
      <c r="E11" s="71"/>
      <c r="F11" s="55"/>
      <c r="G11" s="55"/>
      <c r="M11" s="88"/>
    </row>
    <row r="12" spans="1:19" s="11" customFormat="1" ht="15" customHeight="1" x14ac:dyDescent="0.25">
      <c r="A12" s="77" t="s">
        <v>1505</v>
      </c>
      <c r="B12" s="66">
        <v>-52923.6</v>
      </c>
      <c r="C12" s="31">
        <v>44956</v>
      </c>
      <c r="D12" s="14">
        <v>44960</v>
      </c>
      <c r="E12" s="71"/>
      <c r="F12" s="55"/>
      <c r="G12" s="55"/>
      <c r="L12" s="11" t="s">
        <v>1437</v>
      </c>
      <c r="M12" s="88"/>
    </row>
    <row r="13" spans="1:19" s="11" customFormat="1" ht="15" customHeight="1" x14ac:dyDescent="0.25">
      <c r="A13" s="77"/>
      <c r="B13" s="66"/>
      <c r="C13" s="33"/>
      <c r="D13" s="28"/>
      <c r="E13" s="94"/>
      <c r="F13" s="55"/>
      <c r="G13" s="55"/>
      <c r="L13" s="11" t="s">
        <v>1438</v>
      </c>
    </row>
    <row r="14" spans="1:19" s="11" customFormat="1" ht="15.95" customHeight="1" x14ac:dyDescent="0.25">
      <c r="B14" s="25">
        <f>SUM(B9:B13)</f>
        <v>-172908.83</v>
      </c>
      <c r="C14" s="28"/>
      <c r="D14" s="28"/>
      <c r="E14" s="75"/>
      <c r="F14" s="19"/>
      <c r="G14" s="19"/>
      <c r="L14" s="11" t="s">
        <v>1439</v>
      </c>
    </row>
    <row r="15" spans="1:19" s="11" customFormat="1" ht="15.95" customHeight="1" x14ac:dyDescent="0.25">
      <c r="A15" s="11" t="s">
        <v>2</v>
      </c>
      <c r="B15" s="25"/>
      <c r="C15" s="30" t="s">
        <v>626</v>
      </c>
      <c r="D15" s="80" t="s">
        <v>628</v>
      </c>
      <c r="E15" s="70"/>
      <c r="L15" s="11" t="s">
        <v>1440</v>
      </c>
    </row>
    <row r="16" spans="1:19" s="11" customFormat="1" ht="15.95" customHeight="1" x14ac:dyDescent="0.25">
      <c r="A16" s="11" t="s">
        <v>1508</v>
      </c>
      <c r="B16" s="25">
        <v>31263</v>
      </c>
      <c r="C16" s="97">
        <v>44936</v>
      </c>
      <c r="D16" s="28" t="s">
        <v>1515</v>
      </c>
      <c r="E16" s="70"/>
      <c r="L16" s="11" t="s">
        <v>1441</v>
      </c>
    </row>
    <row r="17" spans="1:12" s="11" customFormat="1" ht="15.95" customHeight="1" x14ac:dyDescent="0.25">
      <c r="A17" s="11" t="s">
        <v>1498</v>
      </c>
      <c r="B17" s="25">
        <v>34360.449999999997</v>
      </c>
      <c r="C17" s="95">
        <v>44956</v>
      </c>
      <c r="D17" s="28" t="s">
        <v>1496</v>
      </c>
      <c r="E17" s="70"/>
      <c r="L17" s="11" t="s">
        <v>1442</v>
      </c>
    </row>
    <row r="18" spans="1:12" s="11" customFormat="1" ht="15.95" customHeight="1" x14ac:dyDescent="0.25">
      <c r="A18" s="11" t="s">
        <v>1499</v>
      </c>
      <c r="B18" s="25">
        <v>38307.35</v>
      </c>
      <c r="C18" s="95">
        <v>44956</v>
      </c>
      <c r="D18" s="88">
        <v>4200</v>
      </c>
      <c r="E18" s="70"/>
      <c r="L18" s="11" t="s">
        <v>1443</v>
      </c>
    </row>
    <row r="19" spans="1:12" s="11" customFormat="1" ht="15.95" customHeight="1" x14ac:dyDescent="0.25">
      <c r="A19" s="11" t="s">
        <v>1500</v>
      </c>
      <c r="B19" s="25">
        <v>39744.199999999997</v>
      </c>
      <c r="C19" s="95">
        <v>44956</v>
      </c>
      <c r="D19" s="88">
        <v>4200</v>
      </c>
      <c r="E19" s="70"/>
      <c r="L19" s="11" t="s">
        <v>1444</v>
      </c>
    </row>
    <row r="20" spans="1:12" s="11" customFormat="1" ht="15.95" customHeight="1" x14ac:dyDescent="0.25">
      <c r="A20" s="11" t="s">
        <v>1516</v>
      </c>
      <c r="B20" s="25">
        <v>44152.95</v>
      </c>
      <c r="C20" s="95">
        <v>44860</v>
      </c>
      <c r="D20" s="28">
        <v>44973</v>
      </c>
      <c r="E20" s="70"/>
      <c r="L20" s="11" t="s">
        <v>1445</v>
      </c>
    </row>
    <row r="21" spans="1:12" s="11" customFormat="1" ht="15.95" customHeight="1" x14ac:dyDescent="0.25">
      <c r="A21" s="11" t="s">
        <v>1509</v>
      </c>
      <c r="B21" s="25">
        <v>44292.45</v>
      </c>
      <c r="C21" s="95">
        <v>44859</v>
      </c>
      <c r="D21" s="28">
        <v>44970</v>
      </c>
      <c r="E21" s="70"/>
      <c r="L21" s="11" t="s">
        <v>1446</v>
      </c>
    </row>
    <row r="22" spans="1:12" s="11" customFormat="1" ht="15.95" customHeight="1" x14ac:dyDescent="0.25">
      <c r="A22" s="11" t="s">
        <v>1503</v>
      </c>
      <c r="B22" s="25">
        <v>45911.09</v>
      </c>
      <c r="C22" s="95">
        <v>44956</v>
      </c>
      <c r="D22" s="88">
        <v>4200</v>
      </c>
      <c r="E22" s="70"/>
      <c r="L22" s="11" t="s">
        <v>1447</v>
      </c>
    </row>
    <row r="23" spans="1:12" s="11" customFormat="1" ht="15.95" customHeight="1" x14ac:dyDescent="0.25">
      <c r="A23" s="11" t="s">
        <v>1504</v>
      </c>
      <c r="B23" s="25">
        <v>45911.09</v>
      </c>
      <c r="C23" s="95">
        <v>44956</v>
      </c>
      <c r="D23" s="92">
        <v>4200</v>
      </c>
      <c r="E23" s="70"/>
      <c r="L23" s="11" t="s">
        <v>1448</v>
      </c>
    </row>
    <row r="24" spans="1:12" s="11" customFormat="1" ht="15.95" customHeight="1" x14ac:dyDescent="0.25">
      <c r="A24" s="11" t="s">
        <v>1517</v>
      </c>
      <c r="B24" s="25">
        <v>45915.3</v>
      </c>
      <c r="C24" s="95">
        <v>44858</v>
      </c>
      <c r="D24" s="14">
        <v>44973</v>
      </c>
      <c r="E24" s="70"/>
      <c r="L24" s="11" t="s">
        <v>1449</v>
      </c>
    </row>
    <row r="25" spans="1:12" s="11" customFormat="1" ht="15.95" customHeight="1" x14ac:dyDescent="0.25">
      <c r="A25" s="11" t="s">
        <v>1518</v>
      </c>
      <c r="B25" s="25">
        <v>49458.400000000001</v>
      </c>
      <c r="C25" s="95">
        <v>44866</v>
      </c>
      <c r="D25" s="14">
        <v>44973</v>
      </c>
      <c r="E25" s="70"/>
      <c r="L25" s="11" t="s">
        <v>1450</v>
      </c>
    </row>
    <row r="26" spans="1:12" s="11" customFormat="1" ht="15.95" customHeight="1" x14ac:dyDescent="0.25">
      <c r="A26" s="11" t="s">
        <v>1396</v>
      </c>
      <c r="B26" s="25">
        <v>50016.4</v>
      </c>
      <c r="C26" s="95">
        <v>44867</v>
      </c>
      <c r="D26" s="28" t="s">
        <v>1496</v>
      </c>
      <c r="E26" s="70"/>
      <c r="L26" s="11" t="s">
        <v>1451</v>
      </c>
    </row>
    <row r="27" spans="1:12" s="11" customFormat="1" ht="15.95" customHeight="1" x14ac:dyDescent="0.25">
      <c r="A27" s="11" t="s">
        <v>1510</v>
      </c>
      <c r="B27" s="25">
        <v>52923.6</v>
      </c>
      <c r="C27" s="95">
        <v>44909</v>
      </c>
      <c r="D27" s="14">
        <v>44961</v>
      </c>
      <c r="E27" s="70"/>
      <c r="L27" s="11" t="s">
        <v>1452</v>
      </c>
    </row>
    <row r="28" spans="1:12" s="11" customFormat="1" ht="15.95" customHeight="1" x14ac:dyDescent="0.25">
      <c r="A28" s="11" t="s">
        <v>1506</v>
      </c>
      <c r="B28" s="25">
        <v>57030.400000000001</v>
      </c>
      <c r="C28" s="95">
        <v>44939</v>
      </c>
      <c r="D28" s="28" t="s">
        <v>1496</v>
      </c>
      <c r="E28" s="70"/>
      <c r="L28" s="11" t="s">
        <v>1453</v>
      </c>
    </row>
    <row r="29" spans="1:12" s="11" customFormat="1" ht="15.95" customHeight="1" x14ac:dyDescent="0.25">
      <c r="A29" s="11" t="s">
        <v>1308</v>
      </c>
      <c r="B29" s="25">
        <v>57522.400000000001</v>
      </c>
      <c r="C29" s="95">
        <v>44851</v>
      </c>
      <c r="D29" s="14" t="s">
        <v>1496</v>
      </c>
      <c r="E29" s="70"/>
      <c r="L29" s="11" t="s">
        <v>1436</v>
      </c>
    </row>
    <row r="30" spans="1:12" s="11" customFormat="1" ht="15.95" customHeight="1" x14ac:dyDescent="0.25">
      <c r="A30" s="11" t="s">
        <v>1519</v>
      </c>
      <c r="B30" s="25">
        <v>60049.9</v>
      </c>
      <c r="C30" s="95">
        <v>44944</v>
      </c>
      <c r="D30" s="28">
        <v>44974</v>
      </c>
      <c r="E30" s="70"/>
      <c r="L30" s="11" t="s">
        <v>1454</v>
      </c>
    </row>
    <row r="31" spans="1:12" s="11" customFormat="1" ht="15.95" customHeight="1" x14ac:dyDescent="0.25">
      <c r="A31" s="11" t="s">
        <v>1322</v>
      </c>
      <c r="B31" s="25">
        <v>71406.5</v>
      </c>
      <c r="C31" s="95">
        <v>44848</v>
      </c>
      <c r="D31" s="14" t="s">
        <v>1496</v>
      </c>
      <c r="E31" s="70"/>
      <c r="L31" s="11" t="s">
        <v>1455</v>
      </c>
    </row>
    <row r="32" spans="1:12" s="11" customFormat="1" ht="15.95" customHeight="1" x14ac:dyDescent="0.25">
      <c r="A32" s="11" t="s">
        <v>1511</v>
      </c>
      <c r="B32" s="25">
        <v>72991.399999999994</v>
      </c>
      <c r="C32" s="95">
        <v>44951</v>
      </c>
      <c r="D32" s="28">
        <v>44970</v>
      </c>
      <c r="E32" s="70"/>
      <c r="L32" s="11" t="s">
        <v>1456</v>
      </c>
    </row>
    <row r="33" spans="1:13" s="11" customFormat="1" ht="15.95" customHeight="1" x14ac:dyDescent="0.25">
      <c r="A33" s="11" t="s">
        <v>1520</v>
      </c>
      <c r="B33" s="25">
        <v>78238.899999999994</v>
      </c>
      <c r="C33" s="95">
        <v>44845</v>
      </c>
      <c r="D33" s="14">
        <v>44974</v>
      </c>
      <c r="E33" s="70"/>
      <c r="L33" s="11" t="s">
        <v>1457</v>
      </c>
    </row>
    <row r="34" spans="1:13" s="11" customFormat="1" ht="15.95" customHeight="1" x14ac:dyDescent="0.25">
      <c r="A34" s="11" t="s">
        <v>1512</v>
      </c>
      <c r="B34" s="25">
        <v>78763.89</v>
      </c>
      <c r="C34" s="95">
        <v>44935</v>
      </c>
      <c r="D34" s="14">
        <v>44963</v>
      </c>
      <c r="E34" s="70"/>
      <c r="L34" s="11" t="s">
        <v>1458</v>
      </c>
    </row>
    <row r="35" spans="1:13" s="11" customFormat="1" ht="15.95" customHeight="1" x14ac:dyDescent="0.25">
      <c r="A35" s="11" t="s">
        <v>1507</v>
      </c>
      <c r="B35" s="25">
        <v>83269.45</v>
      </c>
      <c r="C35" s="95">
        <v>44945</v>
      </c>
      <c r="D35" s="14" t="s">
        <v>1496</v>
      </c>
      <c r="E35" s="70"/>
      <c r="L35" s="11" t="s">
        <v>1368</v>
      </c>
    </row>
    <row r="36" spans="1:13" s="11" customFormat="1" ht="15.95" customHeight="1" x14ac:dyDescent="0.25">
      <c r="A36" s="11" t="s">
        <v>1521</v>
      </c>
      <c r="B36" s="25">
        <v>83531.7</v>
      </c>
      <c r="C36" s="95">
        <v>44939</v>
      </c>
      <c r="D36" s="14">
        <v>44974</v>
      </c>
      <c r="E36" s="70"/>
      <c r="H36" s="88"/>
      <c r="L36" s="11" t="s">
        <v>1459</v>
      </c>
    </row>
    <row r="37" spans="1:13" s="11" customFormat="1" ht="15.95" customHeight="1" x14ac:dyDescent="0.25">
      <c r="A37" s="11" t="s">
        <v>1513</v>
      </c>
      <c r="B37" s="25">
        <v>84684.9</v>
      </c>
      <c r="C37" s="95">
        <v>44930</v>
      </c>
      <c r="D37" s="14">
        <v>44966</v>
      </c>
      <c r="E37" s="70"/>
      <c r="H37" s="88"/>
      <c r="L37" s="11" t="s">
        <v>1369</v>
      </c>
    </row>
    <row r="38" spans="1:13" s="11" customFormat="1" ht="15.95" customHeight="1" x14ac:dyDescent="0.25">
      <c r="A38" s="11" t="s">
        <v>1514</v>
      </c>
      <c r="B38" s="25">
        <v>86357.34</v>
      </c>
      <c r="C38" s="95">
        <v>44953</v>
      </c>
      <c r="D38" s="14">
        <v>44963</v>
      </c>
      <c r="E38" s="70"/>
      <c r="H38" s="88"/>
      <c r="L38" s="11" t="s">
        <v>1460</v>
      </c>
    </row>
    <row r="39" spans="1:13" s="11" customFormat="1" ht="15.95" customHeight="1" x14ac:dyDescent="0.25">
      <c r="B39" s="25"/>
      <c r="C39" s="95"/>
      <c r="D39" s="14"/>
      <c r="E39" s="70"/>
    </row>
    <row r="40" spans="1:13" s="11" customFormat="1" ht="15.95" customHeight="1" x14ac:dyDescent="0.25">
      <c r="B40" s="25">
        <f>SUM(B16:B39)</f>
        <v>1336103.06</v>
      </c>
      <c r="C40" s="222" t="s">
        <v>1368</v>
      </c>
      <c r="D40" s="223"/>
      <c r="E40" s="70"/>
      <c r="H40" s="88"/>
      <c r="L40" s="222" t="s">
        <v>1368</v>
      </c>
      <c r="M40" s="223"/>
    </row>
    <row r="41" spans="1:13" s="11" customFormat="1" ht="15.95" customHeight="1" x14ac:dyDescent="0.25">
      <c r="A41" s="11" t="s">
        <v>1</v>
      </c>
      <c r="B41" s="17">
        <f>B40+B14</f>
        <v>1163194.23</v>
      </c>
      <c r="C41" s="229"/>
      <c r="D41" s="230"/>
      <c r="E41" s="70"/>
      <c r="H41" s="88"/>
      <c r="L41" s="229" t="s">
        <v>1369</v>
      </c>
      <c r="M41" s="230"/>
    </row>
    <row r="42" spans="1:13" s="11" customFormat="1" ht="15.95" customHeight="1" x14ac:dyDescent="0.25">
      <c r="A42" s="11" t="s">
        <v>0</v>
      </c>
      <c r="B42" s="17">
        <f>B41-B7</f>
        <v>0</v>
      </c>
      <c r="C42" s="231"/>
      <c r="D42" s="232"/>
      <c r="E42" s="70"/>
      <c r="H42" s="88"/>
      <c r="L42" s="231"/>
      <c r="M42" s="232"/>
    </row>
    <row r="43" spans="1:13" s="11" customFormat="1" ht="15.95" customHeight="1" x14ac:dyDescent="0.25">
      <c r="B43" s="17"/>
      <c r="E43" s="70"/>
      <c r="H43" s="88"/>
    </row>
    <row r="44" spans="1:13" s="11" customFormat="1" ht="20.100000000000001" customHeight="1" x14ac:dyDescent="0.25">
      <c r="A44" s="39"/>
      <c r="B44" s="93"/>
      <c r="C44" s="18"/>
      <c r="D44" s="18"/>
      <c r="E44" s="70"/>
      <c r="H44" s="88"/>
    </row>
    <row r="45" spans="1:13" s="11" customFormat="1" ht="20.100000000000001" customHeight="1" x14ac:dyDescent="0.25">
      <c r="A45" s="39"/>
      <c r="B45" s="93"/>
      <c r="C45" s="18"/>
      <c r="D45" s="18"/>
      <c r="E45" s="70"/>
      <c r="H45" s="88"/>
    </row>
    <row r="46" spans="1:13" s="11" customFormat="1" ht="20.100000000000001" customHeight="1" x14ac:dyDescent="0.3">
      <c r="A46" s="1"/>
      <c r="B46" s="10"/>
      <c r="C46" s="13"/>
      <c r="D46" s="51"/>
      <c r="E46" s="70"/>
      <c r="H46" s="88"/>
    </row>
    <row r="47" spans="1:13" s="11" customFormat="1" ht="20.100000000000001" customHeight="1" x14ac:dyDescent="0.3">
      <c r="A47" s="1"/>
      <c r="B47" s="10"/>
      <c r="C47" s="13"/>
      <c r="D47" s="51"/>
      <c r="E47" s="70"/>
      <c r="H47" s="88"/>
    </row>
    <row r="48" spans="1:13" s="11" customFormat="1" ht="20.100000000000001" customHeight="1" x14ac:dyDescent="0.3">
      <c r="A48" s="1"/>
      <c r="B48" s="10"/>
      <c r="C48" s="13"/>
      <c r="D48" s="51"/>
      <c r="E48" s="70"/>
      <c r="H48" s="88"/>
    </row>
    <row r="49" spans="1:9" s="13" customFormat="1" ht="20.100000000000001" customHeight="1" x14ac:dyDescent="0.3">
      <c r="A49" s="1"/>
      <c r="B49" s="10"/>
      <c r="D49" s="51"/>
      <c r="E49" s="70"/>
      <c r="F49" s="11"/>
      <c r="G49" s="11"/>
      <c r="H49" s="88"/>
      <c r="I49" s="11"/>
    </row>
    <row r="50" spans="1:9" s="13" customFormat="1" ht="20.100000000000001" customHeight="1" x14ac:dyDescent="0.3">
      <c r="A50" s="1"/>
      <c r="B50" s="10"/>
      <c r="D50" s="51"/>
      <c r="E50" s="70"/>
      <c r="F50" s="11"/>
      <c r="G50" s="11"/>
      <c r="H50" s="88"/>
      <c r="I50" s="11"/>
    </row>
    <row r="51" spans="1:9" s="13" customFormat="1" ht="20.100000000000001" customHeight="1" x14ac:dyDescent="0.3">
      <c r="A51" s="1"/>
      <c r="B51" s="10"/>
      <c r="D51" s="51"/>
      <c r="E51" s="70"/>
      <c r="F51" s="11"/>
      <c r="G51" s="11"/>
      <c r="H51" s="88"/>
      <c r="I51" s="11"/>
    </row>
    <row r="52" spans="1:9" ht="20.100000000000001" customHeight="1" x14ac:dyDescent="0.3"/>
    <row r="53" spans="1:9" ht="20.100000000000001" customHeight="1" x14ac:dyDescent="0.3"/>
    <row r="54" spans="1:9" ht="20.100000000000001" customHeight="1" x14ac:dyDescent="0.3"/>
    <row r="55" spans="1:9" ht="20.100000000000001" customHeight="1" x14ac:dyDescent="0.3"/>
  </sheetData>
  <mergeCells count="6">
    <mergeCell ref="L40:M40"/>
    <mergeCell ref="L41:M41"/>
    <mergeCell ref="L42:M42"/>
    <mergeCell ref="C40:D40"/>
    <mergeCell ref="C41:D41"/>
    <mergeCell ref="C42:D42"/>
  </mergeCells>
  <pageMargins left="0.7" right="0.7" top="0.75" bottom="0.75" header="0.3" footer="0.3"/>
  <pageSetup fitToHeight="0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2A5F8-1CE4-414F-A3C1-19126415EF5F}">
  <sheetPr>
    <pageSetUpPr fitToPage="1"/>
  </sheetPr>
  <dimension ref="A1:S59"/>
  <sheetViews>
    <sheetView workbookViewId="0"/>
  </sheetViews>
  <sheetFormatPr defaultRowHeight="18.75" x14ac:dyDescent="0.3"/>
  <cols>
    <col min="1" max="1" width="20.7109375" style="1" customWidth="1"/>
    <col min="2" max="2" width="16.85546875" style="10" customWidth="1"/>
    <col min="3" max="3" width="28" style="6" bestFit="1" customWidth="1"/>
    <col min="4" max="4" width="19.7109375" style="82" customWidth="1"/>
    <col min="5" max="5" width="9.85546875" style="76" bestFit="1" customWidth="1"/>
    <col min="6" max="6" width="9.140625" style="1"/>
    <col min="7" max="7" width="35" style="1" bestFit="1" customWidth="1"/>
    <col min="8" max="8" width="5.5703125" style="90" bestFit="1" customWidth="1"/>
    <col min="9" max="11" width="9.140625" style="1"/>
    <col min="12" max="12" width="42.28515625" style="1" bestFit="1" customWidth="1"/>
    <col min="13" max="16384" width="9.140625" style="1"/>
  </cols>
  <sheetData>
    <row r="1" spans="1:19" s="11" customFormat="1" ht="20.100000000000001" customHeight="1" x14ac:dyDescent="0.25">
      <c r="A1" s="11" t="s">
        <v>1203</v>
      </c>
      <c r="B1" s="17"/>
      <c r="C1" s="13"/>
      <c r="D1" s="51"/>
      <c r="E1" s="70"/>
      <c r="H1" s="88"/>
    </row>
    <row r="2" spans="1:19" s="11" customFormat="1" ht="20.100000000000001" customHeight="1" x14ac:dyDescent="0.25">
      <c r="A2" s="14">
        <v>44985</v>
      </c>
      <c r="B2" s="17"/>
      <c r="C2" s="13"/>
      <c r="D2" s="51"/>
      <c r="E2" s="70"/>
      <c r="H2" s="88"/>
    </row>
    <row r="3" spans="1:19" s="11" customFormat="1" ht="20.100000000000001" customHeight="1" x14ac:dyDescent="0.25">
      <c r="A3" s="11" t="s">
        <v>311</v>
      </c>
      <c r="B3" s="17">
        <v>13073528.779999999</v>
      </c>
      <c r="C3" s="13"/>
      <c r="D3" s="51"/>
      <c r="E3" s="70"/>
      <c r="H3" s="88"/>
      <c r="M3" s="89"/>
    </row>
    <row r="4" spans="1:19" s="11" customFormat="1" ht="20.100000000000001" customHeight="1" x14ac:dyDescent="0.25">
      <c r="A4" s="11" t="s">
        <v>6</v>
      </c>
      <c r="B4" s="17"/>
      <c r="C4" s="13"/>
      <c r="D4" s="51"/>
      <c r="E4" s="70"/>
      <c r="H4" s="88"/>
      <c r="M4" s="89"/>
    </row>
    <row r="5" spans="1:19" s="11" customFormat="1" ht="20.100000000000001" customHeight="1" x14ac:dyDescent="0.25">
      <c r="A5" s="11">
        <v>2100</v>
      </c>
      <c r="B5" s="17">
        <v>-12094291.77</v>
      </c>
      <c r="C5" s="13"/>
      <c r="D5" s="51"/>
      <c r="E5" s="70"/>
      <c r="H5" s="88"/>
      <c r="M5" s="89"/>
    </row>
    <row r="6" spans="1:19" s="11" customFormat="1" ht="20.100000000000001" customHeight="1" x14ac:dyDescent="0.25">
      <c r="A6" s="11" t="s">
        <v>5</v>
      </c>
      <c r="B6" s="17">
        <f>SUM(B5)</f>
        <v>-12094291.77</v>
      </c>
      <c r="C6" s="13"/>
      <c r="D6" s="51"/>
      <c r="E6" s="70"/>
      <c r="H6" s="88"/>
      <c r="M6" s="89"/>
      <c r="O6" s="62"/>
      <c r="P6" s="62"/>
      <c r="Q6" s="62"/>
      <c r="R6" s="62"/>
      <c r="S6" s="62"/>
    </row>
    <row r="7" spans="1:19" s="11" customFormat="1" ht="20.100000000000001" customHeight="1" x14ac:dyDescent="0.25">
      <c r="A7" s="11" t="s">
        <v>4</v>
      </c>
      <c r="B7" s="17">
        <f>B6+B3</f>
        <v>979237.00999999978</v>
      </c>
      <c r="C7" s="13"/>
      <c r="D7" s="51"/>
      <c r="E7" s="70"/>
      <c r="H7" s="88"/>
      <c r="M7" s="88"/>
    </row>
    <row r="8" spans="1:19" s="11" customFormat="1" ht="15.95" customHeight="1" x14ac:dyDescent="0.25">
      <c r="A8" s="11" t="s">
        <v>3</v>
      </c>
      <c r="B8" s="17"/>
      <c r="C8" s="44" t="s">
        <v>628</v>
      </c>
      <c r="D8" s="80" t="s">
        <v>626</v>
      </c>
      <c r="E8" s="70"/>
      <c r="H8" s="88"/>
      <c r="M8" s="88"/>
    </row>
    <row r="9" spans="1:19" s="11" customFormat="1" ht="15" customHeight="1" x14ac:dyDescent="0.25">
      <c r="A9" s="77" t="s">
        <v>1522</v>
      </c>
      <c r="B9" s="98">
        <v>-37770</v>
      </c>
      <c r="C9" s="31" t="s">
        <v>1548</v>
      </c>
      <c r="D9" s="14"/>
      <c r="E9" s="71"/>
      <c r="F9" s="55"/>
      <c r="G9" s="55"/>
      <c r="M9" s="88"/>
    </row>
    <row r="10" spans="1:19" s="11" customFormat="1" ht="15" customHeight="1" x14ac:dyDescent="0.25">
      <c r="A10" s="77" t="s">
        <v>1523</v>
      </c>
      <c r="B10" s="98">
        <v>-37770</v>
      </c>
      <c r="C10" s="31" t="s">
        <v>1548</v>
      </c>
      <c r="D10" s="14"/>
      <c r="E10" s="71"/>
      <c r="F10" s="55"/>
      <c r="G10" s="55"/>
      <c r="M10" s="88"/>
    </row>
    <row r="11" spans="1:19" s="11" customFormat="1" ht="15" customHeight="1" x14ac:dyDescent="0.25">
      <c r="A11" s="77" t="s">
        <v>1524</v>
      </c>
      <c r="B11" s="98">
        <v>-39283.85</v>
      </c>
      <c r="C11" s="31">
        <v>44973</v>
      </c>
      <c r="D11" s="14">
        <v>44986</v>
      </c>
      <c r="E11" s="71"/>
      <c r="F11" s="55"/>
      <c r="G11" s="55"/>
      <c r="M11" s="88"/>
    </row>
    <row r="12" spans="1:19" s="11" customFormat="1" ht="15" customHeight="1" x14ac:dyDescent="0.25">
      <c r="A12" s="77" t="s">
        <v>1525</v>
      </c>
      <c r="B12" s="98">
        <v>-57390.78</v>
      </c>
      <c r="C12" s="31">
        <v>44985</v>
      </c>
      <c r="D12" s="14">
        <v>44986</v>
      </c>
      <c r="E12" s="71"/>
      <c r="F12" s="55"/>
      <c r="G12" s="55"/>
      <c r="M12" s="88"/>
    </row>
    <row r="13" spans="1:19" s="11" customFormat="1" ht="15" customHeight="1" x14ac:dyDescent="0.25">
      <c r="A13" s="77" t="s">
        <v>1532</v>
      </c>
      <c r="B13" s="98">
        <v>-82325.75</v>
      </c>
      <c r="C13" s="31">
        <v>44985</v>
      </c>
      <c r="D13" s="14">
        <v>44988</v>
      </c>
      <c r="E13" s="71"/>
      <c r="F13" s="55"/>
      <c r="G13" s="55"/>
      <c r="M13" s="88"/>
    </row>
    <row r="14" spans="1:19" s="11" customFormat="1" ht="15" customHeight="1" x14ac:dyDescent="0.25">
      <c r="A14" s="77" t="s">
        <v>1533</v>
      </c>
      <c r="B14" s="98">
        <v>-95757.99</v>
      </c>
      <c r="C14" s="31">
        <v>44963</v>
      </c>
      <c r="D14" s="14">
        <v>44992</v>
      </c>
      <c r="E14" s="71"/>
      <c r="F14" s="55"/>
      <c r="G14" s="55"/>
      <c r="M14" s="88"/>
    </row>
    <row r="15" spans="1:19" s="11" customFormat="1" ht="15" customHeight="1" x14ac:dyDescent="0.25">
      <c r="B15" s="66"/>
      <c r="C15" s="31"/>
      <c r="D15" s="14"/>
      <c r="E15" s="71"/>
      <c r="F15" s="55"/>
      <c r="G15" s="55"/>
      <c r="M15" s="88"/>
    </row>
    <row r="16" spans="1:19" s="11" customFormat="1" ht="15" customHeight="1" x14ac:dyDescent="0.25">
      <c r="A16" s="77"/>
      <c r="B16" s="66"/>
      <c r="C16" s="31"/>
      <c r="D16" s="14"/>
      <c r="E16" s="71"/>
      <c r="F16" s="55"/>
      <c r="G16" s="55"/>
      <c r="L16" s="11" t="s">
        <v>1437</v>
      </c>
      <c r="M16" s="88"/>
    </row>
    <row r="17" spans="1:12" s="11" customFormat="1" ht="15" customHeight="1" x14ac:dyDescent="0.25">
      <c r="A17" s="77"/>
      <c r="B17" s="66"/>
      <c r="C17" s="33"/>
      <c r="D17" s="28"/>
      <c r="E17" s="94"/>
      <c r="F17" s="55"/>
      <c r="G17" s="55"/>
      <c r="L17" s="11" t="s">
        <v>1438</v>
      </c>
    </row>
    <row r="18" spans="1:12" s="11" customFormat="1" ht="15.95" customHeight="1" x14ac:dyDescent="0.25">
      <c r="B18" s="25">
        <f>SUM(B9:B17)</f>
        <v>-350298.37</v>
      </c>
      <c r="C18" s="28"/>
      <c r="D18" s="28"/>
      <c r="E18" s="75"/>
      <c r="F18" s="19"/>
      <c r="G18" s="19"/>
      <c r="L18" s="11" t="s">
        <v>1439</v>
      </c>
    </row>
    <row r="19" spans="1:12" s="11" customFormat="1" ht="15.95" customHeight="1" x14ac:dyDescent="0.25">
      <c r="A19" s="11" t="s">
        <v>2</v>
      </c>
      <c r="B19" s="25"/>
      <c r="C19" s="30" t="s">
        <v>626</v>
      </c>
      <c r="D19" s="80" t="s">
        <v>628</v>
      </c>
      <c r="E19" s="70"/>
      <c r="L19" s="11" t="s">
        <v>1440</v>
      </c>
    </row>
    <row r="20" spans="1:12" s="11" customFormat="1" ht="15.95" customHeight="1" x14ac:dyDescent="0.25">
      <c r="A20" s="11" t="s">
        <v>1534</v>
      </c>
      <c r="B20" s="99">
        <v>34360.449999999997</v>
      </c>
      <c r="C20" s="97">
        <v>44956</v>
      </c>
      <c r="D20" s="28">
        <v>44991</v>
      </c>
      <c r="E20" s="70"/>
      <c r="L20" s="11" t="s">
        <v>1441</v>
      </c>
    </row>
    <row r="21" spans="1:12" s="11" customFormat="1" ht="15.95" customHeight="1" x14ac:dyDescent="0.25">
      <c r="A21" s="11" t="s">
        <v>1535</v>
      </c>
      <c r="B21" s="99">
        <v>35945</v>
      </c>
      <c r="C21" s="233" t="s">
        <v>687</v>
      </c>
      <c r="D21" s="233"/>
      <c r="E21" s="70"/>
      <c r="L21" s="11" t="s">
        <v>1442</v>
      </c>
    </row>
    <row r="22" spans="1:12" s="11" customFormat="1" ht="15.95" customHeight="1" x14ac:dyDescent="0.25">
      <c r="A22" s="11" t="s">
        <v>1536</v>
      </c>
      <c r="B22" s="99">
        <v>35945</v>
      </c>
      <c r="C22" s="233" t="s">
        <v>687</v>
      </c>
      <c r="D22" s="233"/>
      <c r="E22" s="70"/>
      <c r="L22" s="11" t="s">
        <v>1443</v>
      </c>
    </row>
    <row r="23" spans="1:12" s="11" customFormat="1" ht="15.95" customHeight="1" x14ac:dyDescent="0.25">
      <c r="A23" s="11" t="s">
        <v>1537</v>
      </c>
      <c r="B23" s="99">
        <v>38307.35</v>
      </c>
      <c r="C23" s="95">
        <v>44956</v>
      </c>
      <c r="D23" s="28">
        <v>44993</v>
      </c>
      <c r="E23" s="70"/>
      <c r="L23" s="11" t="s">
        <v>1444</v>
      </c>
    </row>
    <row r="24" spans="1:12" s="11" customFormat="1" ht="15.95" customHeight="1" x14ac:dyDescent="0.25">
      <c r="A24" s="11" t="s">
        <v>1538</v>
      </c>
      <c r="B24" s="99">
        <v>39744.199999999997</v>
      </c>
      <c r="C24" s="95">
        <v>44956</v>
      </c>
      <c r="D24" s="28">
        <v>44993</v>
      </c>
      <c r="E24" s="70"/>
      <c r="L24" s="11" t="s">
        <v>1445</v>
      </c>
    </row>
    <row r="25" spans="1:12" s="11" customFormat="1" ht="15.95" customHeight="1" x14ac:dyDescent="0.25">
      <c r="A25" s="11" t="s">
        <v>1547</v>
      </c>
      <c r="B25" s="99">
        <v>41742.1</v>
      </c>
      <c r="C25" s="95">
        <v>44979</v>
      </c>
      <c r="D25" s="28">
        <v>44986</v>
      </c>
      <c r="E25" s="70"/>
      <c r="L25" s="11" t="s">
        <v>1446</v>
      </c>
    </row>
    <row r="26" spans="1:12" s="11" customFormat="1" ht="15.95" customHeight="1" x14ac:dyDescent="0.25">
      <c r="A26" s="11" t="s">
        <v>1539</v>
      </c>
      <c r="B26" s="99">
        <v>42341.95</v>
      </c>
      <c r="C26" s="95">
        <v>44979</v>
      </c>
      <c r="D26" s="28">
        <v>44986</v>
      </c>
      <c r="E26" s="70"/>
      <c r="L26" s="11" t="s">
        <v>1447</v>
      </c>
    </row>
    <row r="27" spans="1:12" s="11" customFormat="1" ht="15.95" customHeight="1" x14ac:dyDescent="0.25">
      <c r="A27" s="11" t="s">
        <v>1540</v>
      </c>
      <c r="B27" s="99">
        <v>45911.09</v>
      </c>
      <c r="C27" s="95">
        <v>44956</v>
      </c>
      <c r="D27" s="14">
        <v>44993</v>
      </c>
      <c r="E27" s="70"/>
      <c r="L27" s="11" t="s">
        <v>1448</v>
      </c>
    </row>
    <row r="28" spans="1:12" s="11" customFormat="1" ht="15.95" customHeight="1" x14ac:dyDescent="0.25">
      <c r="A28" s="11" t="s">
        <v>1308</v>
      </c>
      <c r="B28" s="99">
        <v>57522.400000000001</v>
      </c>
      <c r="C28" s="95">
        <v>44851</v>
      </c>
      <c r="D28" s="14" t="s">
        <v>1282</v>
      </c>
      <c r="E28" s="70"/>
      <c r="L28" s="11" t="s">
        <v>1449</v>
      </c>
    </row>
    <row r="29" spans="1:12" s="11" customFormat="1" ht="15.95" customHeight="1" x14ac:dyDescent="0.25">
      <c r="A29" s="11" t="s">
        <v>1541</v>
      </c>
      <c r="B29" s="99">
        <v>58807.35</v>
      </c>
      <c r="C29" s="95">
        <v>44971</v>
      </c>
      <c r="D29" s="14">
        <v>44991</v>
      </c>
      <c r="E29" s="70"/>
      <c r="L29" s="11" t="s">
        <v>1450</v>
      </c>
    </row>
    <row r="30" spans="1:12" s="11" customFormat="1" ht="15.95" customHeight="1" x14ac:dyDescent="0.25">
      <c r="A30" s="11" t="s">
        <v>1526</v>
      </c>
      <c r="B30" s="99">
        <v>66943.95</v>
      </c>
      <c r="C30" s="95">
        <v>44981</v>
      </c>
      <c r="D30" s="100" t="s">
        <v>1549</v>
      </c>
      <c r="E30" s="70"/>
      <c r="L30" s="11" t="s">
        <v>1451</v>
      </c>
    </row>
    <row r="31" spans="1:12" s="11" customFormat="1" ht="15.95" customHeight="1" x14ac:dyDescent="0.25">
      <c r="A31" s="11" t="s">
        <v>1527</v>
      </c>
      <c r="B31" s="99">
        <v>71022.899999999994</v>
      </c>
      <c r="C31" s="95">
        <v>44981</v>
      </c>
      <c r="D31" s="100">
        <v>4800</v>
      </c>
      <c r="E31" s="70"/>
      <c r="L31" s="11" t="s">
        <v>1452</v>
      </c>
    </row>
    <row r="32" spans="1:12" s="11" customFormat="1" ht="15.95" customHeight="1" x14ac:dyDescent="0.25">
      <c r="A32" s="11" t="s">
        <v>1322</v>
      </c>
      <c r="B32" s="99">
        <v>71406.5</v>
      </c>
      <c r="C32" s="95">
        <v>44848</v>
      </c>
      <c r="D32" s="100" t="s">
        <v>1282</v>
      </c>
      <c r="E32" s="70"/>
      <c r="L32" s="11" t="s">
        <v>1453</v>
      </c>
    </row>
    <row r="33" spans="1:13" s="11" customFormat="1" ht="15.95" customHeight="1" x14ac:dyDescent="0.25">
      <c r="A33" s="11" t="s">
        <v>1528</v>
      </c>
      <c r="B33" s="99">
        <v>71483.25</v>
      </c>
      <c r="C33" s="95">
        <v>44978</v>
      </c>
      <c r="D33" s="100">
        <v>3800</v>
      </c>
      <c r="E33" s="70"/>
      <c r="L33" s="11" t="s">
        <v>1436</v>
      </c>
    </row>
    <row r="34" spans="1:13" s="11" customFormat="1" ht="15.95" customHeight="1" x14ac:dyDescent="0.25">
      <c r="A34" s="11" t="s">
        <v>1542</v>
      </c>
      <c r="B34" s="99">
        <v>71483.25</v>
      </c>
      <c r="C34" s="95">
        <v>44978</v>
      </c>
      <c r="D34" s="28">
        <v>44986</v>
      </c>
      <c r="E34" s="70"/>
      <c r="L34" s="11" t="s">
        <v>1454</v>
      </c>
    </row>
    <row r="35" spans="1:13" s="11" customFormat="1" ht="15.95" customHeight="1" x14ac:dyDescent="0.25">
      <c r="A35" s="11" t="s">
        <v>1543</v>
      </c>
      <c r="B35" s="99">
        <v>71483.25</v>
      </c>
      <c r="C35" s="95">
        <v>44980</v>
      </c>
      <c r="D35" s="14">
        <v>44991</v>
      </c>
      <c r="E35" s="70"/>
      <c r="L35" s="11" t="s">
        <v>1455</v>
      </c>
    </row>
    <row r="36" spans="1:13" s="11" customFormat="1" ht="15.95" customHeight="1" x14ac:dyDescent="0.25">
      <c r="A36" s="11" t="s">
        <v>1529</v>
      </c>
      <c r="B36" s="99">
        <v>71483.25</v>
      </c>
      <c r="C36" s="95">
        <v>44981</v>
      </c>
      <c r="D36" s="100">
        <v>3800</v>
      </c>
      <c r="E36" s="70"/>
      <c r="L36" s="11" t="s">
        <v>1456</v>
      </c>
    </row>
    <row r="37" spans="1:13" s="11" customFormat="1" ht="15.95" customHeight="1" x14ac:dyDescent="0.25">
      <c r="A37" s="11" t="s">
        <v>1544</v>
      </c>
      <c r="B37" s="99">
        <v>78348.2</v>
      </c>
      <c r="C37" s="95">
        <v>44974</v>
      </c>
      <c r="D37" s="14">
        <v>44986</v>
      </c>
      <c r="E37" s="70"/>
      <c r="L37" s="11" t="s">
        <v>1457</v>
      </c>
    </row>
    <row r="38" spans="1:13" s="11" customFormat="1" ht="15.95" customHeight="1" x14ac:dyDescent="0.25">
      <c r="A38" s="11" t="s">
        <v>1530</v>
      </c>
      <c r="B38" s="99">
        <v>78487.7</v>
      </c>
      <c r="C38" s="95">
        <v>44978</v>
      </c>
      <c r="D38" s="100">
        <v>3800</v>
      </c>
      <c r="E38" s="70"/>
      <c r="L38" s="11" t="s">
        <v>1458</v>
      </c>
    </row>
    <row r="39" spans="1:13" s="11" customFormat="1" ht="15.95" customHeight="1" x14ac:dyDescent="0.25">
      <c r="A39" s="11" t="s">
        <v>1531</v>
      </c>
      <c r="B39" s="99">
        <v>78487.7</v>
      </c>
      <c r="C39" s="95">
        <v>44978</v>
      </c>
      <c r="D39" s="100">
        <v>3800</v>
      </c>
      <c r="E39" s="70"/>
      <c r="L39" s="11" t="s">
        <v>1368</v>
      </c>
    </row>
    <row r="40" spans="1:13" s="11" customFormat="1" ht="15.95" customHeight="1" x14ac:dyDescent="0.25">
      <c r="A40" s="11" t="s">
        <v>1545</v>
      </c>
      <c r="B40" s="99">
        <v>81428.3</v>
      </c>
      <c r="C40" s="95">
        <v>44979</v>
      </c>
      <c r="D40" s="14">
        <v>44986</v>
      </c>
      <c r="E40" s="70"/>
      <c r="H40" s="88"/>
      <c r="L40" s="11" t="s">
        <v>1459</v>
      </c>
    </row>
    <row r="41" spans="1:13" s="11" customFormat="1" ht="15.95" customHeight="1" x14ac:dyDescent="0.25">
      <c r="A41" s="11" t="s">
        <v>1546</v>
      </c>
      <c r="B41" s="99">
        <v>86850.240000000005</v>
      </c>
      <c r="C41" s="95">
        <v>44984</v>
      </c>
      <c r="D41" s="14">
        <v>44991</v>
      </c>
      <c r="E41" s="70"/>
      <c r="H41" s="88"/>
      <c r="L41" s="11" t="s">
        <v>1369</v>
      </c>
    </row>
    <row r="42" spans="1:13" s="11" customFormat="1" ht="15.95" customHeight="1" x14ac:dyDescent="0.25">
      <c r="C42" s="95"/>
      <c r="D42" s="14"/>
      <c r="E42" s="70"/>
      <c r="H42" s="88"/>
      <c r="L42" s="11" t="s">
        <v>1460</v>
      </c>
    </row>
    <row r="43" spans="1:13" s="11" customFormat="1" ht="15.95" customHeight="1" x14ac:dyDescent="0.25">
      <c r="B43" s="25"/>
      <c r="C43" s="95"/>
      <c r="D43" s="14"/>
      <c r="E43" s="70"/>
    </row>
    <row r="44" spans="1:13" s="11" customFormat="1" ht="15.95" customHeight="1" x14ac:dyDescent="0.25">
      <c r="B44" s="25">
        <f>SUM(B20:B43)</f>
        <v>1329535.3799999999</v>
      </c>
      <c r="C44" s="222" t="s">
        <v>1436</v>
      </c>
      <c r="D44" s="223"/>
      <c r="E44" s="70"/>
      <c r="H44" s="88"/>
      <c r="L44" s="222"/>
      <c r="M44" s="223"/>
    </row>
    <row r="45" spans="1:13" s="11" customFormat="1" ht="15.95" customHeight="1" x14ac:dyDescent="0.25">
      <c r="A45" s="11" t="s">
        <v>1</v>
      </c>
      <c r="B45" s="17">
        <f>B44+B18</f>
        <v>979237.00999999989</v>
      </c>
      <c r="C45" s="229" t="s">
        <v>1369</v>
      </c>
      <c r="D45" s="230"/>
      <c r="E45" s="70"/>
      <c r="H45" s="88"/>
      <c r="L45" s="229"/>
      <c r="M45" s="230"/>
    </row>
    <row r="46" spans="1:13" s="11" customFormat="1" ht="15.95" customHeight="1" x14ac:dyDescent="0.25">
      <c r="A46" s="11" t="s">
        <v>0</v>
      </c>
      <c r="B46" s="17">
        <f>B45-B7</f>
        <v>0</v>
      </c>
      <c r="C46" s="231"/>
      <c r="D46" s="232"/>
      <c r="E46" s="70"/>
      <c r="H46" s="88"/>
      <c r="L46" s="231"/>
      <c r="M46" s="232"/>
    </row>
    <row r="47" spans="1:13" s="11" customFormat="1" ht="15.95" customHeight="1" x14ac:dyDescent="0.25">
      <c r="B47" s="17"/>
      <c r="E47" s="70"/>
      <c r="H47" s="88"/>
    </row>
    <row r="48" spans="1:13" s="11" customFormat="1" ht="20.100000000000001" customHeight="1" x14ac:dyDescent="0.25">
      <c r="A48" s="39"/>
      <c r="B48" s="93"/>
      <c r="C48" s="18"/>
      <c r="D48" s="18"/>
      <c r="E48" s="70"/>
      <c r="H48" s="88"/>
    </row>
    <row r="49" spans="1:9" s="11" customFormat="1" ht="20.100000000000001" customHeight="1" x14ac:dyDescent="0.25">
      <c r="A49" s="39"/>
      <c r="B49" s="93"/>
      <c r="C49" s="18"/>
      <c r="D49" s="18"/>
      <c r="E49" s="70"/>
      <c r="H49" s="88"/>
    </row>
    <row r="50" spans="1:9" s="11" customFormat="1" ht="20.100000000000001" customHeight="1" x14ac:dyDescent="0.3">
      <c r="A50" s="1"/>
      <c r="B50" s="10"/>
      <c r="C50" s="13"/>
      <c r="D50" s="51"/>
      <c r="E50" s="70"/>
      <c r="H50" s="88"/>
    </row>
    <row r="51" spans="1:9" s="11" customFormat="1" ht="20.100000000000001" customHeight="1" x14ac:dyDescent="0.3">
      <c r="A51" s="1"/>
      <c r="B51" s="10"/>
      <c r="C51" s="13"/>
      <c r="D51" s="51"/>
      <c r="E51" s="70"/>
      <c r="H51" s="88"/>
    </row>
    <row r="52" spans="1:9" s="11" customFormat="1" ht="20.100000000000001" customHeight="1" x14ac:dyDescent="0.3">
      <c r="A52" s="1"/>
      <c r="B52" s="10"/>
      <c r="C52" s="13"/>
      <c r="D52" s="51"/>
      <c r="E52" s="70"/>
      <c r="H52" s="88"/>
    </row>
    <row r="53" spans="1:9" s="13" customFormat="1" ht="20.100000000000001" customHeight="1" x14ac:dyDescent="0.3">
      <c r="A53" s="1"/>
      <c r="B53" s="10"/>
      <c r="D53" s="51"/>
      <c r="E53" s="70"/>
      <c r="F53" s="11"/>
      <c r="G53" s="11"/>
      <c r="H53" s="88"/>
      <c r="I53" s="11"/>
    </row>
    <row r="54" spans="1:9" s="13" customFormat="1" ht="20.100000000000001" customHeight="1" x14ac:dyDescent="0.3">
      <c r="A54" s="1"/>
      <c r="B54" s="10"/>
      <c r="D54" s="51"/>
      <c r="E54" s="70"/>
      <c r="F54" s="11"/>
      <c r="G54" s="11"/>
      <c r="H54" s="88"/>
      <c r="I54" s="11"/>
    </row>
    <row r="55" spans="1:9" s="13" customFormat="1" ht="20.100000000000001" customHeight="1" x14ac:dyDescent="0.3">
      <c r="A55" s="1"/>
      <c r="B55" s="10"/>
      <c r="D55" s="51"/>
      <c r="E55" s="70"/>
      <c r="F55" s="11"/>
      <c r="G55" s="11"/>
      <c r="H55" s="88"/>
      <c r="I55" s="11"/>
    </row>
    <row r="56" spans="1:9" ht="20.100000000000001" customHeight="1" x14ac:dyDescent="0.3"/>
    <row r="57" spans="1:9" ht="20.100000000000001" customHeight="1" x14ac:dyDescent="0.3"/>
    <row r="58" spans="1:9" ht="20.100000000000001" customHeight="1" x14ac:dyDescent="0.3"/>
    <row r="59" spans="1:9" ht="20.100000000000001" customHeight="1" x14ac:dyDescent="0.3"/>
  </sheetData>
  <mergeCells count="8">
    <mergeCell ref="C46:D46"/>
    <mergeCell ref="L46:M46"/>
    <mergeCell ref="C21:D21"/>
    <mergeCell ref="C22:D22"/>
    <mergeCell ref="C44:D44"/>
    <mergeCell ref="L44:M44"/>
    <mergeCell ref="C45:D45"/>
    <mergeCell ref="L45:M45"/>
  </mergeCells>
  <pageMargins left="0.7" right="0.7" top="0.75" bottom="0.75" header="0.3" footer="0.3"/>
  <pageSetup scale="86" fitToHeight="0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0F747-FB8C-4BE1-A68A-92D06FECF37A}">
  <sheetPr>
    <pageSetUpPr fitToPage="1"/>
  </sheetPr>
  <dimension ref="A1:S82"/>
  <sheetViews>
    <sheetView topLeftCell="A42" workbookViewId="0">
      <selection activeCell="D49" sqref="D49"/>
    </sheetView>
  </sheetViews>
  <sheetFormatPr defaultRowHeight="18.75" x14ac:dyDescent="0.3"/>
  <cols>
    <col min="1" max="1" width="20.7109375" style="1" customWidth="1"/>
    <col min="2" max="2" width="16.85546875" style="10" customWidth="1"/>
    <col min="3" max="3" width="28" style="6" bestFit="1" customWidth="1"/>
    <col min="4" max="4" width="19.7109375" style="82" customWidth="1"/>
    <col min="5" max="5" width="9.85546875" style="76" bestFit="1" customWidth="1"/>
    <col min="6" max="6" width="9.140625" style="1"/>
    <col min="7" max="7" width="35" style="1" bestFit="1" customWidth="1"/>
    <col min="8" max="8" width="5.5703125" style="90" bestFit="1" customWidth="1"/>
    <col min="9" max="11" width="9.140625" style="1"/>
    <col min="12" max="12" width="42.28515625" style="1" bestFit="1" customWidth="1"/>
    <col min="13" max="16384" width="9.140625" style="1"/>
  </cols>
  <sheetData>
    <row r="1" spans="1:19" s="11" customFormat="1" ht="20.100000000000001" customHeight="1" x14ac:dyDescent="0.25">
      <c r="A1" s="11" t="s">
        <v>1203</v>
      </c>
      <c r="B1" s="17"/>
      <c r="C1" s="13"/>
      <c r="D1" s="51"/>
      <c r="E1" s="70"/>
      <c r="H1" s="88"/>
    </row>
    <row r="2" spans="1:19" s="11" customFormat="1" ht="20.100000000000001" customHeight="1" x14ac:dyDescent="0.25">
      <c r="A2" s="14">
        <v>45016</v>
      </c>
      <c r="B2" s="17"/>
      <c r="C2" s="13"/>
      <c r="D2" s="51"/>
      <c r="E2" s="70"/>
      <c r="H2" s="88"/>
    </row>
    <row r="3" spans="1:19" s="11" customFormat="1" ht="20.100000000000001" customHeight="1" x14ac:dyDescent="0.25">
      <c r="A3" s="11" t="s">
        <v>311</v>
      </c>
      <c r="B3" s="17">
        <v>14283122.310000001</v>
      </c>
      <c r="C3" s="13"/>
      <c r="D3" s="51"/>
      <c r="E3" s="70"/>
      <c r="H3" s="88"/>
      <c r="M3" s="89"/>
    </row>
    <row r="4" spans="1:19" s="11" customFormat="1" ht="20.100000000000001" customHeight="1" x14ac:dyDescent="0.25">
      <c r="A4" s="11" t="s">
        <v>6</v>
      </c>
      <c r="B4" s="17"/>
      <c r="C4" s="13"/>
      <c r="D4" s="51"/>
      <c r="E4" s="70"/>
      <c r="H4" s="88"/>
      <c r="M4" s="89"/>
    </row>
    <row r="5" spans="1:19" s="11" customFormat="1" ht="20.100000000000001" customHeight="1" x14ac:dyDescent="0.25">
      <c r="A5" s="11">
        <v>2100</v>
      </c>
      <c r="B5" s="17">
        <v>-12761815.779999999</v>
      </c>
      <c r="C5" s="13"/>
      <c r="D5" s="51"/>
      <c r="E5" s="70"/>
      <c r="H5" s="88"/>
      <c r="M5" s="89"/>
    </row>
    <row r="6" spans="1:19" s="11" customFormat="1" ht="20.100000000000001" customHeight="1" x14ac:dyDescent="0.25">
      <c r="A6" s="11" t="s">
        <v>5</v>
      </c>
      <c r="B6" s="17">
        <f>SUM(B5)</f>
        <v>-12761815.779999999</v>
      </c>
      <c r="C6" s="13"/>
      <c r="D6" s="51"/>
      <c r="E6" s="70"/>
      <c r="H6" s="88"/>
      <c r="M6" s="89"/>
      <c r="O6" s="62"/>
      <c r="P6" s="62"/>
      <c r="Q6" s="62"/>
      <c r="R6" s="62"/>
      <c r="S6" s="62"/>
    </row>
    <row r="7" spans="1:19" s="11" customFormat="1" ht="20.100000000000001" customHeight="1" x14ac:dyDescent="0.25">
      <c r="A7" s="11" t="s">
        <v>4</v>
      </c>
      <c r="B7" s="17">
        <f>B6+B3</f>
        <v>1521306.5300000012</v>
      </c>
      <c r="C7" s="13"/>
      <c r="D7" s="51"/>
      <c r="E7" s="70"/>
      <c r="H7" s="88"/>
      <c r="M7" s="88"/>
    </row>
    <row r="8" spans="1:19" s="11" customFormat="1" ht="15.95" customHeight="1" x14ac:dyDescent="0.25">
      <c r="A8" s="11" t="s">
        <v>3</v>
      </c>
      <c r="B8" s="17"/>
      <c r="C8" s="44" t="s">
        <v>628</v>
      </c>
      <c r="D8" s="80" t="s">
        <v>626</v>
      </c>
      <c r="E8" s="70"/>
      <c r="H8" s="88"/>
      <c r="M8" s="88"/>
    </row>
    <row r="9" spans="1:19" s="11" customFormat="1" ht="15" customHeight="1" x14ac:dyDescent="0.25">
      <c r="A9" s="77" t="s">
        <v>1550</v>
      </c>
      <c r="B9" s="98">
        <v>-37730</v>
      </c>
      <c r="C9" s="31">
        <v>45014</v>
      </c>
      <c r="D9" s="14">
        <v>45022</v>
      </c>
      <c r="E9" s="71"/>
      <c r="F9" s="55"/>
      <c r="G9" s="55"/>
      <c r="M9" s="88"/>
    </row>
    <row r="10" spans="1:19" s="11" customFormat="1" ht="15" customHeight="1" x14ac:dyDescent="0.25">
      <c r="A10" s="77" t="s">
        <v>1553</v>
      </c>
      <c r="B10" s="98">
        <v>-45911.09</v>
      </c>
      <c r="C10" s="31">
        <v>44985</v>
      </c>
      <c r="D10" s="14">
        <v>45023</v>
      </c>
      <c r="E10" s="71"/>
      <c r="F10" s="55"/>
      <c r="G10" s="55"/>
      <c r="M10" s="88"/>
    </row>
    <row r="11" spans="1:19" s="11" customFormat="1" ht="15" customHeight="1" x14ac:dyDescent="0.25">
      <c r="A11" s="77" t="s">
        <v>1564</v>
      </c>
      <c r="B11" s="98">
        <v>-58347</v>
      </c>
      <c r="C11" s="31">
        <v>45016</v>
      </c>
      <c r="D11" s="14">
        <v>45019</v>
      </c>
      <c r="E11" s="71"/>
      <c r="F11" s="55"/>
      <c r="G11" s="55"/>
      <c r="M11" s="88"/>
    </row>
    <row r="12" spans="1:19" s="11" customFormat="1" ht="15" customHeight="1" x14ac:dyDescent="0.25">
      <c r="A12" s="77" t="s">
        <v>1562</v>
      </c>
      <c r="B12" s="98">
        <v>-58807.35</v>
      </c>
      <c r="C12" s="31">
        <v>45016</v>
      </c>
      <c r="D12" s="14">
        <v>45019</v>
      </c>
      <c r="E12" s="71"/>
      <c r="F12" s="55"/>
      <c r="G12" s="55"/>
      <c r="M12" s="88"/>
    </row>
    <row r="13" spans="1:19" s="11" customFormat="1" ht="15" customHeight="1" x14ac:dyDescent="0.25">
      <c r="A13" s="77" t="s">
        <v>1563</v>
      </c>
      <c r="B13" s="98">
        <v>-58946.85</v>
      </c>
      <c r="C13" s="31">
        <v>45016</v>
      </c>
      <c r="D13" s="14">
        <v>45019</v>
      </c>
      <c r="E13" s="71"/>
      <c r="F13" s="55"/>
      <c r="G13" s="55"/>
      <c r="M13" s="88"/>
    </row>
    <row r="14" spans="1:19" s="11" customFormat="1" ht="15" customHeight="1" x14ac:dyDescent="0.25">
      <c r="A14" s="77" t="s">
        <v>1565</v>
      </c>
      <c r="B14" s="98">
        <v>-62209.599999999999</v>
      </c>
      <c r="C14" s="31">
        <v>45016</v>
      </c>
      <c r="D14" s="14">
        <v>45019</v>
      </c>
      <c r="E14" s="71"/>
      <c r="F14" s="55"/>
      <c r="G14" s="55"/>
      <c r="M14" s="88"/>
    </row>
    <row r="15" spans="1:19" s="11" customFormat="1" ht="15" customHeight="1" x14ac:dyDescent="0.25">
      <c r="A15" s="77" t="s">
        <v>1566</v>
      </c>
      <c r="B15" s="98">
        <v>-62879.199999999997</v>
      </c>
      <c r="C15" s="31">
        <v>45016</v>
      </c>
      <c r="D15" s="14">
        <v>45019</v>
      </c>
      <c r="E15" s="71"/>
      <c r="F15" s="55"/>
      <c r="G15" s="55"/>
      <c r="M15" s="88"/>
    </row>
    <row r="16" spans="1:19" s="11" customFormat="1" ht="15" customHeight="1" x14ac:dyDescent="0.25">
      <c r="A16" s="77" t="s">
        <v>1569</v>
      </c>
      <c r="B16" s="98">
        <v>-64529.95</v>
      </c>
      <c r="C16" s="31">
        <v>45016</v>
      </c>
      <c r="D16" s="14"/>
      <c r="E16" s="71"/>
      <c r="F16" s="55"/>
      <c r="G16" s="55"/>
      <c r="M16" s="88"/>
    </row>
    <row r="17" spans="1:13" s="11" customFormat="1" ht="15" customHeight="1" x14ac:dyDescent="0.25">
      <c r="A17" s="77" t="s">
        <v>1572</v>
      </c>
      <c r="B17" s="98">
        <v>-72940.25</v>
      </c>
      <c r="C17" s="31">
        <v>45016</v>
      </c>
      <c r="D17" s="14">
        <v>45019</v>
      </c>
      <c r="E17" s="71"/>
      <c r="F17" s="55"/>
      <c r="G17" s="55"/>
      <c r="M17" s="88"/>
    </row>
    <row r="18" spans="1:13" s="11" customFormat="1" ht="15" customHeight="1" x14ac:dyDescent="0.25">
      <c r="A18" s="77" t="s">
        <v>1573</v>
      </c>
      <c r="B18" s="98">
        <v>-72940.25</v>
      </c>
      <c r="C18" s="31">
        <v>45016</v>
      </c>
      <c r="D18" s="14">
        <v>45019</v>
      </c>
      <c r="E18" s="71"/>
      <c r="F18" s="55"/>
      <c r="G18" s="55"/>
      <c r="M18" s="88"/>
    </row>
    <row r="19" spans="1:13" s="11" customFormat="1" ht="15" customHeight="1" x14ac:dyDescent="0.25">
      <c r="A19" s="77" t="s">
        <v>1574</v>
      </c>
      <c r="B19" s="98">
        <v>-73079.75</v>
      </c>
      <c r="C19" s="31">
        <v>45016</v>
      </c>
      <c r="D19" s="14">
        <v>45019</v>
      </c>
      <c r="E19" s="71"/>
      <c r="F19" s="55"/>
      <c r="G19" s="55"/>
      <c r="M19" s="88"/>
    </row>
    <row r="20" spans="1:13" s="11" customFormat="1" ht="15" customHeight="1" x14ac:dyDescent="0.25">
      <c r="A20" s="77" t="s">
        <v>1575</v>
      </c>
      <c r="B20" s="98">
        <v>-76471.44</v>
      </c>
      <c r="C20" s="31">
        <v>45015</v>
      </c>
      <c r="D20" s="14">
        <v>45019</v>
      </c>
      <c r="E20" s="71"/>
      <c r="F20" s="55"/>
      <c r="G20" s="55"/>
      <c r="M20" s="88"/>
    </row>
    <row r="21" spans="1:13" s="11" customFormat="1" ht="15" customHeight="1" x14ac:dyDescent="0.25">
      <c r="A21" s="77" t="s">
        <v>1576</v>
      </c>
      <c r="B21" s="98">
        <v>-83316.69</v>
      </c>
      <c r="C21" s="31">
        <v>45015</v>
      </c>
      <c r="D21" s="14">
        <v>45019</v>
      </c>
      <c r="E21" s="71"/>
      <c r="F21" s="55"/>
      <c r="G21" s="55"/>
      <c r="M21" s="88"/>
    </row>
    <row r="22" spans="1:13" s="11" customFormat="1" ht="15" customHeight="1" x14ac:dyDescent="0.25">
      <c r="A22" s="77" t="s">
        <v>1577</v>
      </c>
      <c r="B22" s="98">
        <v>-83487.240000000005</v>
      </c>
      <c r="C22" s="31">
        <v>45015</v>
      </c>
      <c r="D22" s="14">
        <v>45019</v>
      </c>
      <c r="E22" s="71"/>
      <c r="F22" s="55"/>
      <c r="G22" s="55"/>
      <c r="M22" s="88"/>
    </row>
    <row r="23" spans="1:13" s="11" customFormat="1" ht="15" customHeight="1" x14ac:dyDescent="0.25">
      <c r="A23" s="77"/>
      <c r="B23" s="66"/>
      <c r="C23" s="33"/>
      <c r="D23" s="28"/>
      <c r="E23" s="94"/>
      <c r="F23" s="55"/>
      <c r="G23" s="55"/>
    </row>
    <row r="24" spans="1:13" s="11" customFormat="1" ht="15.95" customHeight="1" x14ac:dyDescent="0.25">
      <c r="B24" s="25">
        <f>SUM(B9:B23)</f>
        <v>-911596.65999999992</v>
      </c>
      <c r="C24" s="28"/>
      <c r="D24" s="28"/>
      <c r="E24" s="75"/>
      <c r="F24" s="19"/>
      <c r="G24" s="19"/>
      <c r="L24" s="11" t="s">
        <v>1437</v>
      </c>
      <c r="M24" s="88"/>
    </row>
    <row r="25" spans="1:13" s="11" customFormat="1" ht="15.95" customHeight="1" x14ac:dyDescent="0.25">
      <c r="A25" s="11" t="s">
        <v>2</v>
      </c>
      <c r="B25" s="25"/>
      <c r="C25" s="30" t="s">
        <v>626</v>
      </c>
      <c r="D25" s="80" t="s">
        <v>628</v>
      </c>
      <c r="E25" s="70"/>
      <c r="L25" s="11" t="s">
        <v>1438</v>
      </c>
    </row>
    <row r="26" spans="1:13" s="11" customFormat="1" ht="15.95" customHeight="1" x14ac:dyDescent="0.25">
      <c r="A26" s="11" t="s">
        <v>1580</v>
      </c>
      <c r="B26" s="99">
        <v>35029.949999999997</v>
      </c>
      <c r="C26" s="97">
        <v>45009</v>
      </c>
      <c r="D26" s="14">
        <v>45020</v>
      </c>
      <c r="E26" s="70"/>
      <c r="L26" s="11" t="s">
        <v>1439</v>
      </c>
    </row>
    <row r="27" spans="1:13" s="11" customFormat="1" ht="15.95" customHeight="1" x14ac:dyDescent="0.25">
      <c r="A27" s="11" t="s">
        <v>1581</v>
      </c>
      <c r="B27" s="99">
        <v>35490.300000000003</v>
      </c>
      <c r="C27" s="95">
        <v>45009</v>
      </c>
      <c r="D27" s="106">
        <v>45020</v>
      </c>
      <c r="E27" s="70"/>
      <c r="L27" s="11" t="s">
        <v>1440</v>
      </c>
    </row>
    <row r="28" spans="1:13" s="11" customFormat="1" ht="15.95" customHeight="1" x14ac:dyDescent="0.25">
      <c r="A28" s="11" t="s">
        <v>1582</v>
      </c>
      <c r="B28" s="99">
        <v>39342.550000000003</v>
      </c>
      <c r="C28" s="95">
        <v>45015</v>
      </c>
      <c r="D28" s="106" t="s">
        <v>1282</v>
      </c>
      <c r="E28" s="70"/>
      <c r="L28" s="11" t="s">
        <v>1441</v>
      </c>
    </row>
    <row r="29" spans="1:13" s="11" customFormat="1" ht="15.95" customHeight="1" x14ac:dyDescent="0.25">
      <c r="A29" s="11" t="s">
        <v>1551</v>
      </c>
      <c r="B29" s="99">
        <v>39342.550000000003</v>
      </c>
      <c r="C29" s="95">
        <v>45016</v>
      </c>
      <c r="D29" s="14" t="s">
        <v>1282</v>
      </c>
      <c r="E29" s="70"/>
      <c r="L29" s="11" t="s">
        <v>1442</v>
      </c>
    </row>
    <row r="30" spans="1:13" s="11" customFormat="1" ht="15.95" customHeight="1" x14ac:dyDescent="0.25">
      <c r="A30" s="11" t="s">
        <v>1552</v>
      </c>
      <c r="B30" s="99">
        <v>40858.6</v>
      </c>
      <c r="C30" s="95">
        <v>45014</v>
      </c>
      <c r="D30" s="92">
        <v>4200</v>
      </c>
      <c r="E30" s="70"/>
      <c r="L30" s="11" t="s">
        <v>1443</v>
      </c>
    </row>
    <row r="31" spans="1:13" s="11" customFormat="1" ht="15.95" customHeight="1" x14ac:dyDescent="0.25">
      <c r="A31" s="11" t="s">
        <v>1583</v>
      </c>
      <c r="B31" s="99">
        <v>41742.1</v>
      </c>
      <c r="C31" s="95">
        <v>45009</v>
      </c>
      <c r="D31" s="14">
        <v>45020</v>
      </c>
      <c r="E31" s="70"/>
      <c r="L31" s="11" t="s">
        <v>1444</v>
      </c>
    </row>
    <row r="32" spans="1:13" s="11" customFormat="1" ht="15.95" customHeight="1" x14ac:dyDescent="0.25">
      <c r="A32" s="11" t="s">
        <v>1554</v>
      </c>
      <c r="B32" s="99">
        <v>48129.599999999999</v>
      </c>
      <c r="C32" s="95">
        <v>45012</v>
      </c>
      <c r="D32" s="14" t="s">
        <v>1282</v>
      </c>
      <c r="E32" s="70"/>
      <c r="L32" s="11" t="s">
        <v>1445</v>
      </c>
    </row>
    <row r="33" spans="1:12" s="11" customFormat="1" ht="15.95" customHeight="1" x14ac:dyDescent="0.25">
      <c r="A33" s="11" t="s">
        <v>1555</v>
      </c>
      <c r="B33" s="99">
        <v>48230.8</v>
      </c>
      <c r="C33" s="95">
        <v>44988</v>
      </c>
      <c r="D33" s="14" t="s">
        <v>1282</v>
      </c>
      <c r="E33" s="70"/>
      <c r="L33" s="11" t="s">
        <v>1446</v>
      </c>
    </row>
    <row r="34" spans="1:12" s="11" customFormat="1" ht="15.95" customHeight="1" x14ac:dyDescent="0.25">
      <c r="A34" s="11" t="s">
        <v>1556</v>
      </c>
      <c r="B34" s="99">
        <v>48255.15</v>
      </c>
      <c r="C34" s="95">
        <v>45012</v>
      </c>
      <c r="D34" s="14" t="s">
        <v>1282</v>
      </c>
      <c r="E34" s="70"/>
      <c r="L34" s="11" t="s">
        <v>1447</v>
      </c>
    </row>
    <row r="35" spans="1:12" s="11" customFormat="1" ht="15.95" customHeight="1" x14ac:dyDescent="0.25">
      <c r="A35" s="11" t="s">
        <v>1557</v>
      </c>
      <c r="B35" s="99">
        <v>48255.15</v>
      </c>
      <c r="C35" s="95">
        <v>45012</v>
      </c>
      <c r="D35" s="14" t="s">
        <v>1282</v>
      </c>
      <c r="E35" s="70"/>
      <c r="L35" s="11" t="s">
        <v>1448</v>
      </c>
    </row>
    <row r="36" spans="1:12" s="11" customFormat="1" ht="15.95" customHeight="1" x14ac:dyDescent="0.25">
      <c r="A36" s="11" t="s">
        <v>1584</v>
      </c>
      <c r="B36" s="99">
        <v>50989.55</v>
      </c>
      <c r="C36" s="95">
        <v>45016</v>
      </c>
      <c r="D36" s="14">
        <v>45019</v>
      </c>
      <c r="E36" s="70"/>
      <c r="L36" s="11" t="s">
        <v>1449</v>
      </c>
    </row>
    <row r="37" spans="1:12" s="11" customFormat="1" ht="15.95" customHeight="1" x14ac:dyDescent="0.25">
      <c r="A37" s="11" t="s">
        <v>1558</v>
      </c>
      <c r="B37" s="99">
        <v>52323.75</v>
      </c>
      <c r="C37" s="95">
        <v>45008</v>
      </c>
      <c r="D37" s="14" t="s">
        <v>1282</v>
      </c>
      <c r="E37" s="70"/>
      <c r="L37" s="11" t="s">
        <v>1450</v>
      </c>
    </row>
    <row r="38" spans="1:12" s="11" customFormat="1" ht="15.95" customHeight="1" x14ac:dyDescent="0.25">
      <c r="A38" s="11" t="s">
        <v>1585</v>
      </c>
      <c r="B38" s="99">
        <v>52430.65</v>
      </c>
      <c r="C38" s="95">
        <v>45014</v>
      </c>
      <c r="D38" s="14">
        <v>45019</v>
      </c>
      <c r="E38" s="70"/>
      <c r="L38" s="11" t="s">
        <v>1451</v>
      </c>
    </row>
    <row r="39" spans="1:12" s="11" customFormat="1" ht="15.95" customHeight="1" x14ac:dyDescent="0.25">
      <c r="A39" s="11" t="s">
        <v>1559</v>
      </c>
      <c r="B39" s="99">
        <v>52784.1</v>
      </c>
      <c r="C39" s="95">
        <v>45007</v>
      </c>
      <c r="D39" s="14" t="s">
        <v>1282</v>
      </c>
      <c r="E39" s="70"/>
      <c r="L39" s="11" t="s">
        <v>1452</v>
      </c>
    </row>
    <row r="40" spans="1:12" s="11" customFormat="1" ht="15.95" customHeight="1" x14ac:dyDescent="0.25">
      <c r="A40" s="11" t="s">
        <v>1560</v>
      </c>
      <c r="B40" s="99">
        <v>52784.1</v>
      </c>
      <c r="C40" s="95">
        <v>45008</v>
      </c>
      <c r="D40" s="92">
        <v>3800</v>
      </c>
      <c r="E40" s="70"/>
      <c r="L40" s="11" t="s">
        <v>1453</v>
      </c>
    </row>
    <row r="41" spans="1:12" s="11" customFormat="1" ht="15.95" customHeight="1" x14ac:dyDescent="0.25">
      <c r="A41" s="11" t="s">
        <v>1561</v>
      </c>
      <c r="B41" s="99">
        <v>58347</v>
      </c>
      <c r="C41" s="95">
        <v>45000</v>
      </c>
      <c r="D41" s="14" t="s">
        <v>1282</v>
      </c>
      <c r="E41" s="70"/>
      <c r="L41" s="11" t="s">
        <v>1436</v>
      </c>
    </row>
    <row r="42" spans="1:12" s="11" customFormat="1" ht="15.95" customHeight="1" x14ac:dyDescent="0.25">
      <c r="A42" s="11" t="s">
        <v>1586</v>
      </c>
      <c r="B42" s="99">
        <v>58807.35</v>
      </c>
      <c r="C42" s="95">
        <v>45000</v>
      </c>
      <c r="D42" s="14">
        <v>45022</v>
      </c>
      <c r="E42" s="70"/>
      <c r="L42" s="11" t="s">
        <v>1454</v>
      </c>
    </row>
    <row r="43" spans="1:12" s="11" customFormat="1" ht="15.95" customHeight="1" x14ac:dyDescent="0.25">
      <c r="A43" s="11" t="s">
        <v>1587</v>
      </c>
      <c r="B43" s="99">
        <v>58946.85</v>
      </c>
      <c r="C43" s="95">
        <v>45000</v>
      </c>
      <c r="D43" s="14">
        <v>45022</v>
      </c>
      <c r="E43" s="70"/>
      <c r="L43" s="11" t="s">
        <v>1455</v>
      </c>
    </row>
    <row r="44" spans="1:12" s="11" customFormat="1" ht="15.95" customHeight="1" x14ac:dyDescent="0.25">
      <c r="A44" s="11" t="s">
        <v>1588</v>
      </c>
      <c r="B44" s="99">
        <v>62669.95</v>
      </c>
      <c r="C44" s="95">
        <v>45001</v>
      </c>
      <c r="D44" s="14">
        <v>45017</v>
      </c>
      <c r="E44" s="70"/>
      <c r="L44" s="11" t="s">
        <v>1456</v>
      </c>
    </row>
    <row r="45" spans="1:12" s="11" customFormat="1" ht="15.95" customHeight="1" x14ac:dyDescent="0.25">
      <c r="A45" s="11" t="s">
        <v>1589</v>
      </c>
      <c r="B45" s="99">
        <v>62669.95</v>
      </c>
      <c r="C45" s="95">
        <v>45001</v>
      </c>
      <c r="D45" s="14">
        <v>45023</v>
      </c>
      <c r="E45" s="70"/>
      <c r="L45" s="11" t="s">
        <v>1457</v>
      </c>
    </row>
    <row r="46" spans="1:12" s="11" customFormat="1" ht="15.95" customHeight="1" x14ac:dyDescent="0.25">
      <c r="A46" s="11" t="s">
        <v>1567</v>
      </c>
      <c r="B46" s="99">
        <v>63367.45</v>
      </c>
      <c r="C46" s="95">
        <v>45000</v>
      </c>
      <c r="D46" s="14" t="s">
        <v>1282</v>
      </c>
      <c r="E46" s="70"/>
      <c r="L46" s="11" t="s">
        <v>1458</v>
      </c>
    </row>
    <row r="47" spans="1:12" s="11" customFormat="1" ht="15.95" customHeight="1" x14ac:dyDescent="0.25">
      <c r="A47" s="11" t="s">
        <v>1590</v>
      </c>
      <c r="B47" s="99">
        <v>63367.45</v>
      </c>
      <c r="C47" s="95">
        <v>45001</v>
      </c>
      <c r="D47" s="14">
        <v>45023</v>
      </c>
      <c r="E47" s="70"/>
      <c r="L47" s="11" t="s">
        <v>1368</v>
      </c>
    </row>
    <row r="48" spans="1:12" s="11" customFormat="1" ht="15.95" customHeight="1" x14ac:dyDescent="0.25">
      <c r="A48" s="11" t="s">
        <v>1591</v>
      </c>
      <c r="B48" s="99">
        <v>63506.95</v>
      </c>
      <c r="C48" s="95">
        <v>45000</v>
      </c>
      <c r="D48" s="14">
        <v>45023</v>
      </c>
      <c r="E48" s="70"/>
      <c r="L48" s="11" t="s">
        <v>1459</v>
      </c>
    </row>
    <row r="49" spans="1:13" s="11" customFormat="1" ht="15.95" customHeight="1" x14ac:dyDescent="0.25">
      <c r="A49" s="11" t="s">
        <v>1601</v>
      </c>
      <c r="B49" s="99">
        <v>64320.7</v>
      </c>
      <c r="C49" s="95">
        <v>45000</v>
      </c>
      <c r="D49" s="14">
        <v>45029</v>
      </c>
      <c r="E49" s="70"/>
      <c r="L49" s="11" t="s">
        <v>1369</v>
      </c>
    </row>
    <row r="50" spans="1:13" s="11" customFormat="1" ht="15.95" customHeight="1" x14ac:dyDescent="0.25">
      <c r="A50" s="11" t="s">
        <v>1568</v>
      </c>
      <c r="B50" s="99">
        <v>64525.3</v>
      </c>
      <c r="C50" s="95">
        <v>45014</v>
      </c>
      <c r="D50" s="14" t="s">
        <v>1282</v>
      </c>
      <c r="E50" s="70"/>
      <c r="L50" s="11" t="s">
        <v>1460</v>
      </c>
    </row>
    <row r="51" spans="1:13" s="11" customFormat="1" ht="15.95" customHeight="1" x14ac:dyDescent="0.25">
      <c r="A51" s="11" t="s">
        <v>1570</v>
      </c>
      <c r="B51" s="99">
        <v>64571.8</v>
      </c>
      <c r="C51" s="95">
        <v>45000</v>
      </c>
      <c r="D51" s="14" t="s">
        <v>1282</v>
      </c>
      <c r="E51" s="70"/>
    </row>
    <row r="52" spans="1:13" s="11" customFormat="1" ht="15.95" customHeight="1" x14ac:dyDescent="0.25">
      <c r="A52" s="11" t="s">
        <v>1592</v>
      </c>
      <c r="B52" s="99">
        <v>64664.800000000003</v>
      </c>
      <c r="C52" s="95">
        <v>45014</v>
      </c>
      <c r="D52" s="14">
        <v>45019</v>
      </c>
      <c r="E52" s="70"/>
      <c r="L52" s="107" t="s">
        <v>1436</v>
      </c>
      <c r="M52" s="101"/>
    </row>
    <row r="53" spans="1:13" s="11" customFormat="1" ht="15.95" customHeight="1" x14ac:dyDescent="0.25">
      <c r="A53" s="11" t="s">
        <v>1593</v>
      </c>
      <c r="B53" s="99">
        <v>64664.800000000003</v>
      </c>
      <c r="C53" s="95">
        <v>45014</v>
      </c>
      <c r="D53" s="14">
        <v>45019</v>
      </c>
      <c r="E53" s="70"/>
      <c r="L53" s="108" t="s">
        <v>1368</v>
      </c>
      <c r="M53" s="102"/>
    </row>
    <row r="54" spans="1:13" s="11" customFormat="1" ht="15.95" customHeight="1" x14ac:dyDescent="0.25">
      <c r="A54" s="11" t="s">
        <v>1526</v>
      </c>
      <c r="B54" s="99">
        <v>66943.95</v>
      </c>
      <c r="C54" s="95">
        <v>44981</v>
      </c>
      <c r="D54" s="13" t="s">
        <v>1600</v>
      </c>
      <c r="E54" s="70"/>
      <c r="L54" s="109"/>
      <c r="M54" s="104"/>
    </row>
    <row r="55" spans="1:13" s="11" customFormat="1" ht="15.95" customHeight="1" x14ac:dyDescent="0.25">
      <c r="A55" s="11" t="s">
        <v>1594</v>
      </c>
      <c r="B55" s="99">
        <v>70088.25</v>
      </c>
      <c r="C55" s="95">
        <v>45014</v>
      </c>
      <c r="D55" s="14">
        <v>45019</v>
      </c>
      <c r="E55" s="70"/>
    </row>
    <row r="56" spans="1:13" s="11" customFormat="1" ht="15.95" customHeight="1" x14ac:dyDescent="0.25">
      <c r="A56" s="11" t="s">
        <v>1571</v>
      </c>
      <c r="B56" s="99">
        <v>70671.05</v>
      </c>
      <c r="C56" s="95">
        <v>45014</v>
      </c>
      <c r="D56" s="92">
        <v>4200</v>
      </c>
      <c r="E56" s="70"/>
    </row>
    <row r="57" spans="1:13" s="11" customFormat="1" ht="15.95" customHeight="1" x14ac:dyDescent="0.25">
      <c r="A57" s="11" t="s">
        <v>1322</v>
      </c>
      <c r="B57" s="99">
        <v>71406.5</v>
      </c>
      <c r="C57" s="95">
        <v>44848</v>
      </c>
      <c r="D57" s="14" t="s">
        <v>1282</v>
      </c>
      <c r="E57" s="70"/>
    </row>
    <row r="58" spans="1:13" s="11" customFormat="1" ht="15.95" customHeight="1" x14ac:dyDescent="0.25">
      <c r="A58" s="11" t="s">
        <v>1595</v>
      </c>
      <c r="B58" s="99">
        <v>71483.25</v>
      </c>
      <c r="C58" s="95">
        <v>44978</v>
      </c>
      <c r="D58" s="14">
        <v>45023</v>
      </c>
      <c r="E58" s="70"/>
    </row>
    <row r="59" spans="1:13" s="11" customFormat="1" ht="15.95" customHeight="1" x14ac:dyDescent="0.25">
      <c r="A59" s="11" t="s">
        <v>1529</v>
      </c>
      <c r="B59" s="99">
        <v>71483.25</v>
      </c>
      <c r="C59" s="95">
        <v>44981</v>
      </c>
      <c r="D59" s="14" t="s">
        <v>1282</v>
      </c>
      <c r="E59" s="70"/>
    </row>
    <row r="60" spans="1:13" s="11" customFormat="1" ht="15.95" customHeight="1" x14ac:dyDescent="0.25">
      <c r="A60" s="11" t="s">
        <v>1596</v>
      </c>
      <c r="B60" s="99">
        <v>72479.899999999994</v>
      </c>
      <c r="C60" s="95">
        <v>45001</v>
      </c>
      <c r="D60" s="14">
        <v>45017</v>
      </c>
      <c r="E60" s="70"/>
    </row>
    <row r="61" spans="1:13" s="11" customFormat="1" ht="15.95" customHeight="1" x14ac:dyDescent="0.25">
      <c r="A61" s="11" t="s">
        <v>1597</v>
      </c>
      <c r="B61" s="99">
        <v>78487.7</v>
      </c>
      <c r="C61" s="95">
        <v>44978</v>
      </c>
      <c r="D61" s="14">
        <v>45023</v>
      </c>
      <c r="E61" s="70"/>
    </row>
    <row r="62" spans="1:13" s="11" customFormat="1" ht="15.95" customHeight="1" x14ac:dyDescent="0.25">
      <c r="A62" s="11" t="s">
        <v>1598</v>
      </c>
      <c r="B62" s="99">
        <v>78487.7</v>
      </c>
      <c r="C62" s="95">
        <v>44978</v>
      </c>
      <c r="D62" s="14">
        <v>45022</v>
      </c>
      <c r="E62" s="70"/>
    </row>
    <row r="63" spans="1:13" s="11" customFormat="1" ht="15.95" customHeight="1" x14ac:dyDescent="0.25">
      <c r="A63" s="11" t="s">
        <v>1599</v>
      </c>
      <c r="B63" s="99">
        <v>90735.1</v>
      </c>
      <c r="C63" s="95">
        <v>45016</v>
      </c>
      <c r="D63" s="14" t="s">
        <v>1282</v>
      </c>
      <c r="E63" s="70"/>
    </row>
    <row r="64" spans="1:13" s="11" customFormat="1" ht="15.95" customHeight="1" x14ac:dyDescent="0.25">
      <c r="A64" s="11" t="s">
        <v>1578</v>
      </c>
      <c r="B64" s="99">
        <v>91293.1</v>
      </c>
      <c r="C64" s="95">
        <v>45016</v>
      </c>
      <c r="D64" s="14" t="s">
        <v>1282</v>
      </c>
      <c r="E64" s="70"/>
    </row>
    <row r="65" spans="1:9" s="11" customFormat="1" ht="15.95" customHeight="1" x14ac:dyDescent="0.25">
      <c r="A65" s="11" t="s">
        <v>1579</v>
      </c>
      <c r="B65" s="99">
        <v>98924.19</v>
      </c>
      <c r="C65" s="95">
        <v>44994</v>
      </c>
      <c r="D65" s="14" t="s">
        <v>1282</v>
      </c>
      <c r="E65" s="70"/>
    </row>
    <row r="66" spans="1:9" s="11" customFormat="1" ht="15.95" customHeight="1" x14ac:dyDescent="0.25">
      <c r="B66" s="25"/>
      <c r="C66" s="95"/>
      <c r="D66" s="14"/>
      <c r="E66" s="70"/>
    </row>
    <row r="67" spans="1:9" s="11" customFormat="1" ht="15.95" customHeight="1" x14ac:dyDescent="0.25">
      <c r="B67" s="105">
        <f>SUM(B26:B66)</f>
        <v>2432903.19</v>
      </c>
      <c r="C67" s="107" t="s">
        <v>1436</v>
      </c>
      <c r="D67" s="107"/>
      <c r="E67" s="70"/>
      <c r="H67" s="88"/>
    </row>
    <row r="68" spans="1:9" s="11" customFormat="1" ht="15.95" customHeight="1" x14ac:dyDescent="0.25">
      <c r="A68" s="11" t="s">
        <v>1</v>
      </c>
      <c r="B68" s="17">
        <f>B67+B24</f>
        <v>1521306.53</v>
      </c>
      <c r="C68" s="64" t="s">
        <v>1368</v>
      </c>
      <c r="D68" s="110"/>
      <c r="E68" s="70"/>
      <c r="H68" s="88"/>
    </row>
    <row r="69" spans="1:9" s="11" customFormat="1" ht="15.95" customHeight="1" x14ac:dyDescent="0.25">
      <c r="A69" s="11" t="s">
        <v>0</v>
      </c>
      <c r="B69" s="17">
        <f>B68-B7</f>
        <v>0</v>
      </c>
      <c r="C69" s="103"/>
      <c r="D69" s="104"/>
      <c r="E69" s="70"/>
      <c r="H69" s="88"/>
    </row>
    <row r="70" spans="1:9" s="11" customFormat="1" ht="15.95" customHeight="1" x14ac:dyDescent="0.25">
      <c r="B70" s="17"/>
      <c r="E70" s="70"/>
      <c r="H70" s="88"/>
    </row>
    <row r="71" spans="1:9" s="11" customFormat="1" ht="20.100000000000001" customHeight="1" x14ac:dyDescent="0.25">
      <c r="A71" s="39"/>
      <c r="B71" s="93"/>
      <c r="C71" s="18"/>
      <c r="D71" s="18"/>
      <c r="E71" s="70"/>
      <c r="H71" s="88"/>
    </row>
    <row r="72" spans="1:9" s="11" customFormat="1" ht="20.100000000000001" customHeight="1" x14ac:dyDescent="0.25">
      <c r="A72" s="39"/>
      <c r="B72" s="93"/>
      <c r="C72" s="18"/>
      <c r="D72" s="18"/>
      <c r="E72" s="70"/>
      <c r="H72" s="88"/>
    </row>
    <row r="73" spans="1:9" s="11" customFormat="1" ht="20.100000000000001" customHeight="1" x14ac:dyDescent="0.3">
      <c r="A73" s="1"/>
      <c r="B73" s="10"/>
      <c r="C73" s="13"/>
      <c r="D73" s="51"/>
      <c r="E73" s="70"/>
      <c r="H73" s="88"/>
    </row>
    <row r="74" spans="1:9" s="11" customFormat="1" ht="20.100000000000001" customHeight="1" x14ac:dyDescent="0.3">
      <c r="A74" s="1"/>
      <c r="B74" s="10"/>
      <c r="C74" s="13"/>
      <c r="D74" s="51"/>
      <c r="E74" s="70"/>
      <c r="H74" s="88"/>
    </row>
    <row r="75" spans="1:9" s="11" customFormat="1" ht="20.100000000000001" customHeight="1" x14ac:dyDescent="0.3">
      <c r="A75" s="1"/>
      <c r="B75" s="10"/>
      <c r="C75" s="13"/>
      <c r="D75" s="51"/>
      <c r="E75" s="70"/>
      <c r="H75" s="88"/>
    </row>
    <row r="76" spans="1:9" s="13" customFormat="1" ht="20.100000000000001" customHeight="1" x14ac:dyDescent="0.3">
      <c r="A76" s="1"/>
      <c r="B76" s="10"/>
      <c r="D76" s="51"/>
      <c r="E76" s="70"/>
      <c r="F76" s="11"/>
      <c r="G76" s="11"/>
      <c r="H76" s="88"/>
      <c r="I76" s="11"/>
    </row>
    <row r="77" spans="1:9" s="13" customFormat="1" ht="20.100000000000001" customHeight="1" x14ac:dyDescent="0.3">
      <c r="A77" s="1"/>
      <c r="B77" s="10"/>
      <c r="D77" s="51"/>
      <c r="E77" s="70"/>
      <c r="F77" s="11"/>
      <c r="G77" s="11"/>
      <c r="H77" s="88"/>
      <c r="I77" s="11"/>
    </row>
    <row r="78" spans="1:9" s="13" customFormat="1" ht="20.100000000000001" customHeight="1" x14ac:dyDescent="0.3">
      <c r="A78" s="1"/>
      <c r="B78" s="10"/>
      <c r="D78" s="51"/>
      <c r="E78" s="70"/>
      <c r="F78" s="11"/>
      <c r="G78" s="11"/>
      <c r="H78" s="88"/>
      <c r="I78" s="11"/>
    </row>
    <row r="79" spans="1:9" ht="20.100000000000001" customHeight="1" x14ac:dyDescent="0.3"/>
    <row r="80" spans="1:9" ht="20.100000000000001" customHeight="1" x14ac:dyDescent="0.3"/>
    <row r="81" ht="20.100000000000001" customHeight="1" x14ac:dyDescent="0.3"/>
    <row r="82" ht="20.100000000000001" customHeight="1" x14ac:dyDescent="0.3"/>
  </sheetData>
  <pageMargins left="0.7" right="0.7" top="0.75" bottom="0.75" header="0.3" footer="0.3"/>
  <pageSetup scale="86" fitToHeight="0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BFD84-0399-4405-8F0C-25A495726958}">
  <sheetPr>
    <pageSetUpPr fitToPage="1"/>
  </sheetPr>
  <dimension ref="A1:S71"/>
  <sheetViews>
    <sheetView topLeftCell="A28" workbookViewId="0">
      <selection activeCell="C32" sqref="C32"/>
    </sheetView>
  </sheetViews>
  <sheetFormatPr defaultRowHeight="18.75" x14ac:dyDescent="0.3"/>
  <cols>
    <col min="1" max="1" width="20.7109375" style="1" customWidth="1"/>
    <col min="2" max="2" width="16.85546875" style="10" customWidth="1"/>
    <col min="3" max="3" width="28" style="6" bestFit="1" customWidth="1"/>
    <col min="4" max="4" width="19.7109375" style="82" customWidth="1"/>
    <col min="5" max="5" width="9.85546875" style="76" bestFit="1" customWidth="1"/>
    <col min="6" max="6" width="16.5703125" style="1" customWidth="1"/>
    <col min="7" max="7" width="35" style="1" bestFit="1" customWidth="1"/>
    <col min="8" max="8" width="5.5703125" style="90" bestFit="1" customWidth="1"/>
    <col min="9" max="11" width="9.140625" style="1"/>
    <col min="12" max="12" width="42.28515625" style="1" bestFit="1" customWidth="1"/>
    <col min="13" max="16384" width="9.140625" style="1"/>
  </cols>
  <sheetData>
    <row r="1" spans="1:19" s="11" customFormat="1" ht="20.100000000000001" customHeight="1" x14ac:dyDescent="0.25">
      <c r="A1" s="11" t="s">
        <v>1203</v>
      </c>
      <c r="B1" s="17"/>
      <c r="C1" s="13"/>
      <c r="D1" s="51"/>
      <c r="E1" s="70"/>
      <c r="H1" s="88"/>
    </row>
    <row r="2" spans="1:19" s="11" customFormat="1" ht="20.100000000000001" customHeight="1" x14ac:dyDescent="0.25">
      <c r="A2" s="14">
        <v>45046</v>
      </c>
      <c r="B2" s="17"/>
      <c r="C2" s="13"/>
      <c r="D2" s="51"/>
      <c r="E2" s="70"/>
      <c r="H2" s="88"/>
    </row>
    <row r="3" spans="1:19" s="11" customFormat="1" ht="20.100000000000001" customHeight="1" x14ac:dyDescent="0.25">
      <c r="A3" s="11" t="s">
        <v>311</v>
      </c>
      <c r="B3" s="17">
        <v>12978197.970000001</v>
      </c>
      <c r="C3" s="13"/>
      <c r="D3" s="51"/>
      <c r="E3" s="70"/>
      <c r="H3" s="88"/>
      <c r="M3" s="89"/>
    </row>
    <row r="4" spans="1:19" s="11" customFormat="1" ht="20.100000000000001" customHeight="1" x14ac:dyDescent="0.25">
      <c r="A4" s="11" t="s">
        <v>6</v>
      </c>
      <c r="B4" s="17"/>
      <c r="C4" s="13"/>
      <c r="D4" s="51"/>
      <c r="E4" s="70"/>
      <c r="H4" s="88"/>
      <c r="M4" s="89"/>
    </row>
    <row r="5" spans="1:19" s="11" customFormat="1" ht="20.100000000000001" customHeight="1" x14ac:dyDescent="0.25">
      <c r="A5" s="11">
        <v>2100</v>
      </c>
      <c r="B5" s="17">
        <v>-11488422.52</v>
      </c>
      <c r="C5" s="13"/>
      <c r="D5" s="51"/>
      <c r="E5" s="70"/>
      <c r="H5" s="88"/>
      <c r="M5" s="89"/>
    </row>
    <row r="6" spans="1:19" s="11" customFormat="1" ht="20.100000000000001" customHeight="1" x14ac:dyDescent="0.25">
      <c r="A6" s="11" t="s">
        <v>5</v>
      </c>
      <c r="B6" s="17">
        <f>SUM(B5)</f>
        <v>-11488422.52</v>
      </c>
      <c r="C6" s="13"/>
      <c r="D6" s="51"/>
      <c r="E6" s="70"/>
      <c r="H6" s="88"/>
      <c r="M6" s="89"/>
      <c r="O6" s="62"/>
      <c r="P6" s="62"/>
      <c r="Q6" s="62"/>
      <c r="R6" s="62"/>
      <c r="S6" s="62"/>
    </row>
    <row r="7" spans="1:19" s="11" customFormat="1" ht="20.100000000000001" customHeight="1" x14ac:dyDescent="0.25">
      <c r="A7" s="11" t="s">
        <v>4</v>
      </c>
      <c r="B7" s="17">
        <f>B6+B3</f>
        <v>1489775.4500000011</v>
      </c>
      <c r="C7" s="13"/>
      <c r="D7" s="51"/>
      <c r="E7" s="70"/>
      <c r="H7" s="88"/>
      <c r="M7" s="88"/>
    </row>
    <row r="8" spans="1:19" s="11" customFormat="1" ht="15.95" customHeight="1" x14ac:dyDescent="0.25">
      <c r="A8" s="11" t="s">
        <v>3</v>
      </c>
      <c r="B8" s="17"/>
      <c r="C8" s="44" t="s">
        <v>628</v>
      </c>
      <c r="D8" s="80" t="s">
        <v>626</v>
      </c>
      <c r="E8" s="70"/>
      <c r="H8" s="88"/>
      <c r="M8" s="88"/>
    </row>
    <row r="9" spans="1:19" s="11" customFormat="1" ht="15" customHeight="1" x14ac:dyDescent="0.25">
      <c r="A9" s="77" t="s">
        <v>1611</v>
      </c>
      <c r="B9" s="98">
        <v>-41768.58</v>
      </c>
      <c r="C9" s="31">
        <v>45044</v>
      </c>
      <c r="D9" s="14">
        <v>45050</v>
      </c>
      <c r="E9" s="71"/>
      <c r="F9" s="55"/>
      <c r="G9" s="55"/>
      <c r="M9" s="88"/>
    </row>
    <row r="10" spans="1:19" s="11" customFormat="1" ht="15" customHeight="1" x14ac:dyDescent="0.25">
      <c r="A10" s="77" t="s">
        <v>1614</v>
      </c>
      <c r="B10" s="98">
        <v>-74491.59</v>
      </c>
      <c r="C10" s="31">
        <v>45044</v>
      </c>
      <c r="D10" s="14">
        <v>45048</v>
      </c>
      <c r="E10" s="71"/>
      <c r="F10" s="55"/>
      <c r="G10" s="55"/>
      <c r="M10" s="88"/>
    </row>
    <row r="11" spans="1:19" s="11" customFormat="1" ht="15" customHeight="1" x14ac:dyDescent="0.25">
      <c r="A11" s="77" t="s">
        <v>1615</v>
      </c>
      <c r="B11" s="98">
        <v>-86721.14</v>
      </c>
      <c r="C11" s="31">
        <v>45044</v>
      </c>
      <c r="D11" s="14">
        <v>45047</v>
      </c>
      <c r="E11" s="71"/>
      <c r="F11" s="55"/>
      <c r="G11" s="55"/>
      <c r="M11" s="88"/>
    </row>
    <row r="12" spans="1:19" s="11" customFormat="1" ht="15" customHeight="1" x14ac:dyDescent="0.25">
      <c r="A12" s="77" t="s">
        <v>1616</v>
      </c>
      <c r="B12" s="98">
        <v>-90358.6</v>
      </c>
      <c r="C12" s="31">
        <v>45044</v>
      </c>
      <c r="D12" s="14">
        <v>45047</v>
      </c>
      <c r="E12" s="71"/>
      <c r="F12" s="55"/>
      <c r="G12" s="55"/>
      <c r="M12" s="88"/>
    </row>
    <row r="13" spans="1:19" s="11" customFormat="1" ht="15" customHeight="1" x14ac:dyDescent="0.25">
      <c r="A13" s="77" t="s">
        <v>1617</v>
      </c>
      <c r="B13" s="98">
        <v>-98616.07</v>
      </c>
      <c r="C13" s="31">
        <v>45042</v>
      </c>
      <c r="D13" s="14">
        <v>45047</v>
      </c>
      <c r="E13" s="71"/>
      <c r="F13" s="55"/>
      <c r="G13" s="55"/>
      <c r="M13" s="88"/>
    </row>
    <row r="14" spans="1:19" s="11" customFormat="1" ht="15" customHeight="1" x14ac:dyDescent="0.25">
      <c r="A14" s="77"/>
      <c r="B14" s="98"/>
      <c r="C14" s="31"/>
      <c r="D14" s="14"/>
      <c r="E14" s="71"/>
      <c r="F14" s="55"/>
      <c r="G14" s="55"/>
      <c r="M14" s="88"/>
    </row>
    <row r="15" spans="1:19" s="11" customFormat="1" ht="15" customHeight="1" x14ac:dyDescent="0.25">
      <c r="A15" s="77"/>
      <c r="B15" s="66"/>
      <c r="C15" s="33"/>
      <c r="D15" s="28"/>
      <c r="E15" s="94"/>
      <c r="F15" s="55"/>
      <c r="G15" s="55"/>
    </row>
    <row r="16" spans="1:19" s="11" customFormat="1" ht="15.95" customHeight="1" x14ac:dyDescent="0.25">
      <c r="B16" s="25">
        <f>SUM(B9:B15)</f>
        <v>-391955.98000000004</v>
      </c>
      <c r="C16" s="28"/>
      <c r="D16" s="28"/>
      <c r="E16" s="75"/>
      <c r="F16" s="19"/>
      <c r="G16" s="19"/>
      <c r="L16" s="11" t="s">
        <v>1437</v>
      </c>
      <c r="M16" s="88"/>
    </row>
    <row r="17" spans="1:12" s="11" customFormat="1" ht="15.95" customHeight="1" x14ac:dyDescent="0.25">
      <c r="A17" s="11" t="s">
        <v>2</v>
      </c>
      <c r="B17" s="25"/>
      <c r="C17" s="30" t="s">
        <v>626</v>
      </c>
      <c r="D17" s="80" t="s">
        <v>628</v>
      </c>
      <c r="E17" s="70"/>
      <c r="L17" s="11" t="s">
        <v>1438</v>
      </c>
    </row>
    <row r="18" spans="1:12" s="11" customFormat="1" ht="15.95" customHeight="1" x14ac:dyDescent="0.25">
      <c r="A18" s="11" t="s">
        <v>1602</v>
      </c>
      <c r="B18" s="99">
        <v>27793.19</v>
      </c>
      <c r="C18" s="97">
        <v>45043</v>
      </c>
      <c r="D18" s="92">
        <v>4800</v>
      </c>
      <c r="E18" s="70"/>
      <c r="L18" s="11" t="s">
        <v>1439</v>
      </c>
    </row>
    <row r="19" spans="1:12" s="11" customFormat="1" ht="15.95" customHeight="1" x14ac:dyDescent="0.25">
      <c r="A19" s="11" t="s">
        <v>1603</v>
      </c>
      <c r="B19" s="99">
        <v>27793.19</v>
      </c>
      <c r="C19" s="95">
        <v>45044</v>
      </c>
      <c r="D19" s="111">
        <v>3800</v>
      </c>
      <c r="E19" s="70"/>
      <c r="L19" s="11" t="s">
        <v>1440</v>
      </c>
    </row>
    <row r="20" spans="1:12" s="11" customFormat="1" ht="15.95" customHeight="1" x14ac:dyDescent="0.25">
      <c r="A20" s="11" t="s">
        <v>1604</v>
      </c>
      <c r="B20" s="99">
        <v>27793.19</v>
      </c>
      <c r="C20" s="95">
        <v>45043</v>
      </c>
      <c r="D20" s="111">
        <v>3800</v>
      </c>
      <c r="E20" s="70"/>
      <c r="L20" s="11" t="s">
        <v>1441</v>
      </c>
    </row>
    <row r="21" spans="1:12" s="11" customFormat="1" ht="15.95" customHeight="1" x14ac:dyDescent="0.25">
      <c r="A21" s="11" t="s">
        <v>1605</v>
      </c>
      <c r="B21" s="99">
        <v>27793.19</v>
      </c>
      <c r="C21" s="95">
        <v>45043</v>
      </c>
      <c r="D21" s="92">
        <v>4200</v>
      </c>
      <c r="E21" s="70"/>
      <c r="L21" s="11" t="s">
        <v>1442</v>
      </c>
    </row>
    <row r="22" spans="1:12" s="11" customFormat="1" ht="15.95" customHeight="1" x14ac:dyDescent="0.25">
      <c r="A22" s="11" t="s">
        <v>1618</v>
      </c>
      <c r="B22" s="99">
        <v>28254.78</v>
      </c>
      <c r="C22" s="95">
        <v>45037</v>
      </c>
      <c r="D22" s="14">
        <v>45049</v>
      </c>
      <c r="E22" s="70"/>
      <c r="L22" s="11" t="s">
        <v>1443</v>
      </c>
    </row>
    <row r="23" spans="1:12" s="11" customFormat="1" ht="15.95" customHeight="1" x14ac:dyDescent="0.25">
      <c r="A23" s="11" t="s">
        <v>1619</v>
      </c>
      <c r="B23" s="99">
        <v>28254.78</v>
      </c>
      <c r="C23" s="95">
        <v>45037</v>
      </c>
      <c r="D23" s="14">
        <v>45051</v>
      </c>
      <c r="E23" s="70"/>
      <c r="L23" s="11" t="s">
        <v>1444</v>
      </c>
    </row>
    <row r="24" spans="1:12" s="11" customFormat="1" ht="15.95" customHeight="1" x14ac:dyDescent="0.25">
      <c r="A24" s="11" t="s">
        <v>1606</v>
      </c>
      <c r="B24" s="99">
        <v>28254.78</v>
      </c>
      <c r="C24" s="95">
        <v>45043</v>
      </c>
      <c r="D24" s="92">
        <v>3800</v>
      </c>
      <c r="E24" s="70"/>
      <c r="L24" s="11" t="s">
        <v>1445</v>
      </c>
    </row>
    <row r="25" spans="1:12" s="11" customFormat="1" ht="15.95" customHeight="1" x14ac:dyDescent="0.25">
      <c r="A25" s="11" t="s">
        <v>1620</v>
      </c>
      <c r="B25" s="99">
        <v>28254.78</v>
      </c>
      <c r="C25" s="95">
        <v>45044</v>
      </c>
      <c r="D25" s="14">
        <v>45055</v>
      </c>
      <c r="E25" s="70"/>
      <c r="L25" s="11" t="s">
        <v>1446</v>
      </c>
    </row>
    <row r="26" spans="1:12" s="11" customFormat="1" ht="15.95" customHeight="1" x14ac:dyDescent="0.25">
      <c r="A26" s="11" t="s">
        <v>1607</v>
      </c>
      <c r="B26" s="99">
        <v>28814.28</v>
      </c>
      <c r="C26" s="95">
        <v>45043</v>
      </c>
      <c r="D26" s="92">
        <v>4800</v>
      </c>
      <c r="E26" s="70"/>
      <c r="L26" s="11" t="s">
        <v>1447</v>
      </c>
    </row>
    <row r="27" spans="1:12" s="11" customFormat="1" ht="15.95" customHeight="1" x14ac:dyDescent="0.25">
      <c r="A27" s="11" t="s">
        <v>1608</v>
      </c>
      <c r="B27" s="99">
        <v>28814.28</v>
      </c>
      <c r="C27" s="95">
        <v>45043</v>
      </c>
      <c r="D27" s="92">
        <v>3800</v>
      </c>
      <c r="E27" s="70"/>
      <c r="L27" s="11" t="s">
        <v>1448</v>
      </c>
    </row>
    <row r="28" spans="1:12" s="11" customFormat="1" ht="15.95" customHeight="1" x14ac:dyDescent="0.25">
      <c r="A28" s="11" t="s">
        <v>1609</v>
      </c>
      <c r="B28" s="99">
        <v>28814.28</v>
      </c>
      <c r="C28" s="95">
        <v>45044</v>
      </c>
      <c r="D28" s="92">
        <v>4800</v>
      </c>
      <c r="E28" s="70"/>
      <c r="L28" s="11" t="s">
        <v>1449</v>
      </c>
    </row>
    <row r="29" spans="1:12" s="11" customFormat="1" ht="15.95" customHeight="1" x14ac:dyDescent="0.25">
      <c r="A29" s="11" t="s">
        <v>1610</v>
      </c>
      <c r="B29" s="99">
        <v>28814.28</v>
      </c>
      <c r="C29" s="95">
        <v>45044</v>
      </c>
      <c r="D29" s="92">
        <v>4200</v>
      </c>
      <c r="E29" s="70"/>
      <c r="L29" s="11" t="s">
        <v>1450</v>
      </c>
    </row>
    <row r="30" spans="1:12" s="11" customFormat="1" ht="15.95" customHeight="1" x14ac:dyDescent="0.25">
      <c r="A30" s="11" t="s">
        <v>1621</v>
      </c>
      <c r="B30" s="99">
        <v>37111.86</v>
      </c>
      <c r="C30" s="95">
        <v>45042</v>
      </c>
      <c r="D30" s="14">
        <v>45049</v>
      </c>
      <c r="E30" s="70"/>
      <c r="L30" s="11" t="s">
        <v>1451</v>
      </c>
    </row>
    <row r="31" spans="1:12" s="11" customFormat="1" ht="15.95" customHeight="1" x14ac:dyDescent="0.25">
      <c r="A31" s="11" t="s">
        <v>1622</v>
      </c>
      <c r="B31" s="99">
        <v>39202.379999999997</v>
      </c>
      <c r="C31" s="95">
        <v>45044</v>
      </c>
      <c r="D31" s="14">
        <v>45047</v>
      </c>
      <c r="E31" s="70"/>
      <c r="L31" s="11" t="s">
        <v>1452</v>
      </c>
    </row>
    <row r="32" spans="1:12" s="11" customFormat="1" ht="15.95" customHeight="1" x14ac:dyDescent="0.25">
      <c r="A32" s="11" t="s">
        <v>1623</v>
      </c>
      <c r="B32" s="99">
        <v>42387.91</v>
      </c>
      <c r="C32" s="95" t="s">
        <v>1640</v>
      </c>
      <c r="D32" s="13" t="s">
        <v>1624</v>
      </c>
      <c r="E32" s="70" t="s">
        <v>1641</v>
      </c>
      <c r="L32" s="11" t="s">
        <v>1453</v>
      </c>
    </row>
    <row r="33" spans="1:13" s="11" customFormat="1" ht="15.95" customHeight="1" x14ac:dyDescent="0.25">
      <c r="A33" s="11" t="s">
        <v>1625</v>
      </c>
      <c r="B33" s="99">
        <v>47628.06</v>
      </c>
      <c r="C33" s="95">
        <v>45040</v>
      </c>
      <c r="D33" s="14">
        <v>45047</v>
      </c>
      <c r="E33" s="70"/>
      <c r="L33" s="11" t="s">
        <v>1436</v>
      </c>
    </row>
    <row r="34" spans="1:13" s="11" customFormat="1" ht="15.95" customHeight="1" x14ac:dyDescent="0.25">
      <c r="A34" s="11" t="s">
        <v>1612</v>
      </c>
      <c r="B34" s="99">
        <v>47813.4</v>
      </c>
      <c r="C34" s="95">
        <v>45020</v>
      </c>
      <c r="D34" s="92">
        <v>3800</v>
      </c>
      <c r="E34" s="70"/>
      <c r="L34" s="11" t="s">
        <v>1454</v>
      </c>
    </row>
    <row r="35" spans="1:13" s="11" customFormat="1" ht="15.95" customHeight="1" x14ac:dyDescent="0.25">
      <c r="A35" s="11" t="s">
        <v>1626</v>
      </c>
      <c r="B35" s="99">
        <v>48089.65</v>
      </c>
      <c r="C35" s="95">
        <v>45040</v>
      </c>
      <c r="D35" s="14">
        <v>45049</v>
      </c>
      <c r="E35" s="70"/>
      <c r="L35" s="11" t="s">
        <v>1455</v>
      </c>
    </row>
    <row r="36" spans="1:13" s="11" customFormat="1" ht="15.95" customHeight="1" x14ac:dyDescent="0.25">
      <c r="A36" s="11" t="s">
        <v>1556</v>
      </c>
      <c r="B36" s="99">
        <v>48255.15</v>
      </c>
      <c r="C36" s="95">
        <v>45013</v>
      </c>
      <c r="D36" s="92">
        <v>3800</v>
      </c>
      <c r="E36" s="70"/>
      <c r="L36" s="11" t="s">
        <v>1456</v>
      </c>
    </row>
    <row r="37" spans="1:13" s="11" customFormat="1" ht="15.95" customHeight="1" x14ac:dyDescent="0.25">
      <c r="A37" s="11" t="s">
        <v>1557</v>
      </c>
      <c r="B37" s="99">
        <v>48255.15</v>
      </c>
      <c r="C37" s="95">
        <v>45013</v>
      </c>
      <c r="D37" s="92">
        <v>3800</v>
      </c>
      <c r="E37" s="70"/>
      <c r="L37" s="11" t="s">
        <v>1457</v>
      </c>
    </row>
    <row r="38" spans="1:13" s="11" customFormat="1" ht="15.95" customHeight="1" x14ac:dyDescent="0.25">
      <c r="A38" s="11" t="s">
        <v>1627</v>
      </c>
      <c r="B38" s="99">
        <v>51449.9</v>
      </c>
      <c r="C38" s="95">
        <v>45020</v>
      </c>
      <c r="D38" s="14">
        <v>45047</v>
      </c>
      <c r="E38" s="70"/>
      <c r="L38" s="11" t="s">
        <v>1458</v>
      </c>
    </row>
    <row r="39" spans="1:13" s="11" customFormat="1" ht="15.95" customHeight="1" x14ac:dyDescent="0.25">
      <c r="A39" s="11" t="s">
        <v>1628</v>
      </c>
      <c r="B39" s="99">
        <v>52310.33</v>
      </c>
      <c r="C39" s="95">
        <v>45036</v>
      </c>
      <c r="D39" s="14">
        <v>45047</v>
      </c>
      <c r="E39" s="70"/>
      <c r="L39" s="11" t="s">
        <v>1368</v>
      </c>
    </row>
    <row r="40" spans="1:13" s="11" customFormat="1" ht="15.95" customHeight="1" x14ac:dyDescent="0.25">
      <c r="A40" s="11" t="s">
        <v>1629</v>
      </c>
      <c r="B40" s="99">
        <v>52784.1</v>
      </c>
      <c r="C40" s="95">
        <v>45008</v>
      </c>
      <c r="D40" s="14">
        <v>45047</v>
      </c>
      <c r="E40" s="70"/>
      <c r="L40" s="11" t="s">
        <v>1459</v>
      </c>
    </row>
    <row r="41" spans="1:13" s="11" customFormat="1" ht="15.95" customHeight="1" x14ac:dyDescent="0.25">
      <c r="A41" s="11" t="s">
        <v>1630</v>
      </c>
      <c r="B41" s="99">
        <v>57534.46</v>
      </c>
      <c r="C41" s="95">
        <v>45044</v>
      </c>
      <c r="D41" s="14">
        <v>45047</v>
      </c>
      <c r="E41" s="70"/>
      <c r="L41" s="11" t="s">
        <v>1369</v>
      </c>
    </row>
    <row r="42" spans="1:13" s="11" customFormat="1" ht="15.95" customHeight="1" x14ac:dyDescent="0.25">
      <c r="A42" s="11" t="s">
        <v>1561</v>
      </c>
      <c r="B42" s="99">
        <v>58347</v>
      </c>
      <c r="C42" s="95">
        <v>45000</v>
      </c>
      <c r="D42" s="100" t="s">
        <v>1642</v>
      </c>
      <c r="E42" s="70"/>
      <c r="L42" s="11" t="s">
        <v>1460</v>
      </c>
    </row>
    <row r="43" spans="1:13" s="11" customFormat="1" ht="15.95" customHeight="1" x14ac:dyDescent="0.25">
      <c r="A43" s="11" t="s">
        <v>1613</v>
      </c>
      <c r="B43" s="99">
        <v>59095.51</v>
      </c>
      <c r="C43" s="95">
        <v>45042</v>
      </c>
      <c r="D43" s="100" t="s">
        <v>1642</v>
      </c>
      <c r="E43" s="70"/>
    </row>
    <row r="44" spans="1:13" s="11" customFormat="1" ht="15.95" customHeight="1" x14ac:dyDescent="0.25">
      <c r="A44" s="11" t="s">
        <v>1567</v>
      </c>
      <c r="B44" s="99">
        <v>63367.45</v>
      </c>
      <c r="C44" s="95">
        <v>45000</v>
      </c>
      <c r="D44" s="100" t="s">
        <v>1642</v>
      </c>
      <c r="E44" s="70"/>
      <c r="L44" s="107" t="s">
        <v>1436</v>
      </c>
      <c r="M44" s="101"/>
    </row>
    <row r="45" spans="1:13" s="11" customFormat="1" ht="15.95" customHeight="1" x14ac:dyDescent="0.25">
      <c r="A45" s="11" t="s">
        <v>1631</v>
      </c>
      <c r="B45" s="99">
        <v>64525.3</v>
      </c>
      <c r="C45" s="95">
        <v>45014</v>
      </c>
      <c r="D45" s="14">
        <v>45055</v>
      </c>
      <c r="E45" s="70"/>
      <c r="L45" s="108" t="s">
        <v>1368</v>
      </c>
      <c r="M45" s="102"/>
    </row>
    <row r="46" spans="1:13" s="11" customFormat="1" ht="15.95" customHeight="1" x14ac:dyDescent="0.25">
      <c r="A46" s="11" t="s">
        <v>1570</v>
      </c>
      <c r="B46" s="99">
        <v>64571.8</v>
      </c>
      <c r="C46" s="95">
        <v>45000</v>
      </c>
      <c r="D46" s="100" t="s">
        <v>1642</v>
      </c>
      <c r="E46" s="70"/>
      <c r="L46" s="112" t="s">
        <v>1369</v>
      </c>
      <c r="M46" s="104"/>
    </row>
    <row r="47" spans="1:13" s="11" customFormat="1" ht="15.95" customHeight="1" x14ac:dyDescent="0.25">
      <c r="A47" s="11" t="s">
        <v>1632</v>
      </c>
      <c r="B47" s="99">
        <v>73125.440000000002</v>
      </c>
      <c r="C47" s="95">
        <v>45042</v>
      </c>
      <c r="D47" s="14">
        <v>45047</v>
      </c>
      <c r="E47" s="70"/>
    </row>
    <row r="48" spans="1:13" s="11" customFormat="1" ht="15.95" customHeight="1" x14ac:dyDescent="0.25">
      <c r="A48" s="11" t="s">
        <v>1633</v>
      </c>
      <c r="B48" s="99">
        <v>73265.31</v>
      </c>
      <c r="C48" s="95">
        <v>45036</v>
      </c>
      <c r="D48" s="14">
        <v>45049</v>
      </c>
      <c r="E48" s="70"/>
    </row>
    <row r="49" spans="1:8" s="11" customFormat="1" ht="15.95" customHeight="1" x14ac:dyDescent="0.25">
      <c r="A49" s="11" t="s">
        <v>1634</v>
      </c>
      <c r="B49" s="99">
        <v>82136.009999999995</v>
      </c>
      <c r="C49" s="95">
        <v>45042</v>
      </c>
      <c r="D49" s="14">
        <v>45047</v>
      </c>
      <c r="E49" s="70"/>
    </row>
    <row r="50" spans="1:8" s="11" customFormat="1" ht="15.95" customHeight="1" x14ac:dyDescent="0.25">
      <c r="A50" s="11" t="s">
        <v>1635</v>
      </c>
      <c r="B50" s="99">
        <v>82386.100000000006</v>
      </c>
      <c r="C50" s="95">
        <v>45026</v>
      </c>
      <c r="D50" s="14">
        <v>45055</v>
      </c>
      <c r="E50" s="70"/>
    </row>
    <row r="51" spans="1:8" s="11" customFormat="1" ht="15.95" customHeight="1" x14ac:dyDescent="0.25">
      <c r="A51" s="11" t="s">
        <v>1636</v>
      </c>
      <c r="B51" s="99">
        <v>82597.600000000006</v>
      </c>
      <c r="C51" s="95">
        <v>45043</v>
      </c>
      <c r="D51" s="14">
        <v>45048</v>
      </c>
      <c r="E51" s="70"/>
    </row>
    <row r="52" spans="1:8" s="11" customFormat="1" ht="15.95" customHeight="1" x14ac:dyDescent="0.25">
      <c r="A52" s="11" t="s">
        <v>1637</v>
      </c>
      <c r="B52" s="99">
        <v>84014.36</v>
      </c>
      <c r="C52" s="95">
        <v>45044</v>
      </c>
      <c r="D52" s="14">
        <v>45048</v>
      </c>
      <c r="E52" s="70"/>
    </row>
    <row r="53" spans="1:8" s="11" customFormat="1" ht="15.95" customHeight="1" x14ac:dyDescent="0.25">
      <c r="A53" s="11" t="s">
        <v>1638</v>
      </c>
      <c r="B53" s="99">
        <v>90735.1</v>
      </c>
      <c r="C53" s="95">
        <v>45016</v>
      </c>
      <c r="D53" s="14">
        <v>45051</v>
      </c>
      <c r="E53" s="70"/>
    </row>
    <row r="54" spans="1:8" s="11" customFormat="1" ht="15.95" customHeight="1" x14ac:dyDescent="0.25">
      <c r="A54" s="11" t="s">
        <v>1639</v>
      </c>
      <c r="B54" s="99">
        <v>91293.1</v>
      </c>
      <c r="C54" s="95">
        <v>45016</v>
      </c>
      <c r="D54" s="14">
        <v>45047</v>
      </c>
      <c r="E54" s="70"/>
    </row>
    <row r="55" spans="1:8" s="11" customFormat="1" ht="15.95" customHeight="1" x14ac:dyDescent="0.25">
      <c r="B55" s="25"/>
      <c r="C55" s="95"/>
      <c r="D55" s="14"/>
      <c r="E55" s="70"/>
    </row>
    <row r="56" spans="1:8" s="11" customFormat="1" ht="15.95" customHeight="1" x14ac:dyDescent="0.25">
      <c r="B56" s="105">
        <f>SUM(B18:B55)</f>
        <v>1881731.4300000006</v>
      </c>
      <c r="C56" s="22" t="s">
        <v>1436</v>
      </c>
      <c r="D56" s="113"/>
      <c r="E56" s="70"/>
      <c r="H56" s="88"/>
    </row>
    <row r="57" spans="1:8" s="11" customFormat="1" ht="15.95" customHeight="1" x14ac:dyDescent="0.25">
      <c r="A57" s="11" t="s">
        <v>1</v>
      </c>
      <c r="B57" s="17">
        <f>B56+B16</f>
        <v>1489775.4500000007</v>
      </c>
      <c r="C57" s="64" t="s">
        <v>1368</v>
      </c>
      <c r="D57" s="110"/>
      <c r="E57" s="70"/>
      <c r="H57" s="88"/>
    </row>
    <row r="58" spans="1:8" s="11" customFormat="1" ht="15.95" customHeight="1" x14ac:dyDescent="0.25">
      <c r="A58" s="11" t="s">
        <v>0</v>
      </c>
      <c r="B58" s="17">
        <f>B57-B7</f>
        <v>0</v>
      </c>
      <c r="C58" s="21" t="s">
        <v>1369</v>
      </c>
      <c r="D58" s="104"/>
      <c r="E58" s="70"/>
      <c r="H58" s="88"/>
    </row>
    <row r="59" spans="1:8" s="11" customFormat="1" ht="15.95" customHeight="1" x14ac:dyDescent="0.25">
      <c r="B59" s="17"/>
      <c r="E59" s="70"/>
      <c r="H59" s="88"/>
    </row>
    <row r="60" spans="1:8" s="11" customFormat="1" ht="20.100000000000001" customHeight="1" x14ac:dyDescent="0.25">
      <c r="A60" s="39"/>
      <c r="B60" s="93"/>
      <c r="C60" s="18"/>
      <c r="D60" s="18"/>
      <c r="E60" s="70"/>
      <c r="H60" s="88"/>
    </row>
    <row r="61" spans="1:8" s="11" customFormat="1" ht="20.100000000000001" customHeight="1" x14ac:dyDescent="0.25">
      <c r="A61" s="39"/>
      <c r="B61" s="93"/>
      <c r="C61" s="18"/>
      <c r="D61" s="18"/>
      <c r="E61" s="70"/>
      <c r="H61" s="88"/>
    </row>
    <row r="62" spans="1:8" s="11" customFormat="1" ht="20.100000000000001" customHeight="1" x14ac:dyDescent="0.3">
      <c r="A62" s="1"/>
      <c r="B62" s="10"/>
      <c r="C62" s="13"/>
      <c r="D62" s="51"/>
      <c r="E62" s="70"/>
      <c r="H62" s="88"/>
    </row>
    <row r="63" spans="1:8" s="11" customFormat="1" ht="20.100000000000001" customHeight="1" x14ac:dyDescent="0.3">
      <c r="A63" s="1"/>
      <c r="B63" s="10"/>
      <c r="C63" s="13"/>
      <c r="D63" s="51"/>
      <c r="E63" s="70"/>
      <c r="H63" s="88"/>
    </row>
    <row r="64" spans="1:8" s="11" customFormat="1" ht="20.100000000000001" customHeight="1" x14ac:dyDescent="0.3">
      <c r="A64" s="1"/>
      <c r="B64" s="10"/>
      <c r="C64" s="13"/>
      <c r="D64" s="51"/>
      <c r="E64" s="70"/>
      <c r="H64" s="88"/>
    </row>
    <row r="65" spans="1:9" s="13" customFormat="1" ht="20.100000000000001" customHeight="1" x14ac:dyDescent="0.3">
      <c r="A65" s="1"/>
      <c r="B65" s="10"/>
      <c r="D65" s="51"/>
      <c r="E65" s="70"/>
      <c r="F65" s="11"/>
      <c r="G65" s="11"/>
      <c r="H65" s="88"/>
      <c r="I65" s="11"/>
    </row>
    <row r="66" spans="1:9" s="13" customFormat="1" ht="20.100000000000001" customHeight="1" x14ac:dyDescent="0.3">
      <c r="A66" s="1"/>
      <c r="B66" s="10"/>
      <c r="D66" s="51"/>
      <c r="E66" s="70"/>
      <c r="F66" s="11"/>
      <c r="G66" s="11"/>
      <c r="H66" s="88"/>
      <c r="I66" s="11"/>
    </row>
    <row r="67" spans="1:9" s="13" customFormat="1" ht="20.100000000000001" customHeight="1" x14ac:dyDescent="0.3">
      <c r="A67" s="1"/>
      <c r="B67" s="10"/>
      <c r="D67" s="51"/>
      <c r="E67" s="70"/>
      <c r="F67" s="11"/>
      <c r="G67" s="11"/>
      <c r="H67" s="88"/>
      <c r="I67" s="11"/>
    </row>
    <row r="68" spans="1:9" ht="20.100000000000001" customHeight="1" x14ac:dyDescent="0.3"/>
    <row r="69" spans="1:9" ht="20.100000000000001" customHeight="1" x14ac:dyDescent="0.3"/>
    <row r="70" spans="1:9" ht="20.100000000000001" customHeight="1" x14ac:dyDescent="0.3"/>
    <row r="71" spans="1:9" ht="20.100000000000001" customHeight="1" x14ac:dyDescent="0.3"/>
  </sheetData>
  <pageMargins left="0.7" right="0.7" top="0.75" bottom="0.75" header="0.3" footer="0.3"/>
  <pageSetup scale="72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526BE-F395-46E8-91E9-B92C5328D05B}">
  <sheetPr>
    <pageSetUpPr fitToPage="1"/>
  </sheetPr>
  <dimension ref="A1:S93"/>
  <sheetViews>
    <sheetView workbookViewId="0">
      <selection activeCell="D75" sqref="D75"/>
    </sheetView>
  </sheetViews>
  <sheetFormatPr defaultRowHeight="18.75" x14ac:dyDescent="0.3"/>
  <cols>
    <col min="1" max="1" width="20.7109375" style="1" customWidth="1"/>
    <col min="2" max="2" width="16.85546875" style="10" customWidth="1"/>
    <col min="3" max="3" width="28" style="6" bestFit="1" customWidth="1"/>
    <col min="4" max="4" width="19.7109375" style="116" customWidth="1"/>
    <col min="5" max="5" width="9.85546875" style="76" bestFit="1" customWidth="1"/>
    <col min="6" max="6" width="16.5703125" style="1" customWidth="1"/>
    <col min="7" max="7" width="35" style="1" bestFit="1" customWidth="1"/>
    <col min="8" max="8" width="5.5703125" style="90" bestFit="1" customWidth="1"/>
    <col min="9" max="11" width="9.140625" style="1"/>
    <col min="12" max="12" width="42.28515625" style="1" bestFit="1" customWidth="1"/>
    <col min="13" max="16384" width="9.140625" style="1"/>
  </cols>
  <sheetData>
    <row r="1" spans="1:19" s="11" customFormat="1" ht="20.100000000000001" customHeight="1" x14ac:dyDescent="0.25">
      <c r="A1" s="11" t="s">
        <v>1203</v>
      </c>
      <c r="B1" s="17"/>
      <c r="C1" s="13"/>
      <c r="D1" s="47"/>
      <c r="E1" s="70"/>
      <c r="H1" s="88"/>
    </row>
    <row r="2" spans="1:19" s="11" customFormat="1" ht="20.100000000000001" customHeight="1" x14ac:dyDescent="0.25">
      <c r="A2" s="14">
        <v>45077</v>
      </c>
      <c r="B2" s="17"/>
      <c r="C2" s="13"/>
      <c r="D2" s="47"/>
      <c r="E2" s="70"/>
      <c r="H2" s="88"/>
    </row>
    <row r="3" spans="1:19" s="11" customFormat="1" ht="20.100000000000001" customHeight="1" x14ac:dyDescent="0.25">
      <c r="A3" s="11" t="s">
        <v>311</v>
      </c>
      <c r="B3" s="17">
        <v>13756141.130000001</v>
      </c>
      <c r="C3" s="13"/>
      <c r="D3" s="47"/>
      <c r="E3" s="70"/>
      <c r="H3" s="88"/>
      <c r="M3" s="89"/>
    </row>
    <row r="4" spans="1:19" s="11" customFormat="1" ht="20.100000000000001" customHeight="1" x14ac:dyDescent="0.25">
      <c r="A4" s="11" t="s">
        <v>6</v>
      </c>
      <c r="B4" s="17"/>
      <c r="C4" s="13"/>
      <c r="D4" s="47"/>
      <c r="E4" s="70"/>
      <c r="H4" s="88"/>
      <c r="M4" s="89"/>
    </row>
    <row r="5" spans="1:19" s="11" customFormat="1" ht="20.100000000000001" customHeight="1" x14ac:dyDescent="0.25">
      <c r="A5" s="11">
        <v>2100</v>
      </c>
      <c r="B5" s="17">
        <v>-10654144.16</v>
      </c>
      <c r="C5" s="13"/>
      <c r="D5" s="47"/>
      <c r="E5" s="70"/>
      <c r="H5" s="88"/>
      <c r="M5" s="89"/>
    </row>
    <row r="6" spans="1:19" s="11" customFormat="1" ht="20.100000000000001" customHeight="1" x14ac:dyDescent="0.25">
      <c r="A6" s="11" t="s">
        <v>5</v>
      </c>
      <c r="B6" s="17">
        <f>SUM(B5)</f>
        <v>-10654144.16</v>
      </c>
      <c r="C6" s="13"/>
      <c r="D6" s="47"/>
      <c r="E6" s="70"/>
      <c r="H6" s="88"/>
      <c r="M6" s="89"/>
      <c r="O6" s="62"/>
      <c r="P6" s="62"/>
      <c r="Q6" s="62"/>
      <c r="R6" s="62"/>
      <c r="S6" s="62"/>
    </row>
    <row r="7" spans="1:19" s="11" customFormat="1" ht="20.100000000000001" customHeight="1" x14ac:dyDescent="0.25">
      <c r="A7" s="11" t="s">
        <v>4</v>
      </c>
      <c r="B7" s="17">
        <f>B6+B3</f>
        <v>3101996.9700000007</v>
      </c>
      <c r="C7" s="13"/>
      <c r="D7" s="47"/>
      <c r="E7" s="70"/>
      <c r="H7" s="88"/>
      <c r="M7" s="88"/>
    </row>
    <row r="8" spans="1:19" s="11" customFormat="1" ht="15.95" customHeight="1" x14ac:dyDescent="0.25">
      <c r="A8" s="11" t="s">
        <v>3</v>
      </c>
      <c r="B8" s="17"/>
      <c r="C8" s="44" t="s">
        <v>628</v>
      </c>
      <c r="D8" s="114" t="s">
        <v>626</v>
      </c>
      <c r="E8" s="70"/>
      <c r="H8" s="88"/>
      <c r="M8" s="88"/>
    </row>
    <row r="9" spans="1:19" s="11" customFormat="1" ht="15.75" x14ac:dyDescent="0.25">
      <c r="A9" s="77" t="s">
        <v>1643</v>
      </c>
      <c r="B9" s="98">
        <v>-26423</v>
      </c>
      <c r="C9" s="31">
        <v>45076</v>
      </c>
      <c r="D9" s="28">
        <v>45078</v>
      </c>
      <c r="E9" s="71"/>
      <c r="F9" s="55"/>
      <c r="G9" s="55"/>
      <c r="M9" s="88"/>
    </row>
    <row r="10" spans="1:19" s="11" customFormat="1" ht="15.75" x14ac:dyDescent="0.25">
      <c r="A10" s="77" t="s">
        <v>1644</v>
      </c>
      <c r="B10" s="98">
        <v>-35463</v>
      </c>
      <c r="C10" s="31">
        <v>45076</v>
      </c>
      <c r="D10" s="28">
        <v>45078</v>
      </c>
      <c r="E10" s="71"/>
      <c r="F10" s="55"/>
      <c r="G10" s="55"/>
      <c r="M10" s="88"/>
    </row>
    <row r="11" spans="1:19" s="11" customFormat="1" ht="15.75" x14ac:dyDescent="0.25">
      <c r="A11" s="77" t="s">
        <v>1645</v>
      </c>
      <c r="B11" s="98">
        <v>-36841</v>
      </c>
      <c r="C11" s="31">
        <v>45076</v>
      </c>
      <c r="D11" s="28">
        <v>45078</v>
      </c>
      <c r="E11" s="71"/>
      <c r="F11" s="55"/>
      <c r="G11" s="55"/>
      <c r="M11" s="88"/>
    </row>
    <row r="12" spans="1:19" s="11" customFormat="1" ht="15.75" x14ac:dyDescent="0.25">
      <c r="A12" s="77" t="s">
        <v>1646</v>
      </c>
      <c r="B12" s="98">
        <v>-39063</v>
      </c>
      <c r="C12" s="31">
        <v>45076</v>
      </c>
      <c r="D12" s="28">
        <v>45078</v>
      </c>
      <c r="E12" s="71"/>
      <c r="F12" s="55"/>
      <c r="G12" s="55"/>
      <c r="M12" s="88"/>
    </row>
    <row r="13" spans="1:19" s="11" customFormat="1" ht="15.75" x14ac:dyDescent="0.25">
      <c r="A13" s="77" t="s">
        <v>1647</v>
      </c>
      <c r="B13" s="98">
        <v>-39071</v>
      </c>
      <c r="C13" s="31">
        <v>45076</v>
      </c>
      <c r="D13" s="28">
        <v>45078</v>
      </c>
      <c r="E13" s="71"/>
      <c r="F13" s="55"/>
      <c r="G13" s="55"/>
      <c r="M13" s="88"/>
    </row>
    <row r="14" spans="1:19" s="11" customFormat="1" ht="15.75" x14ac:dyDescent="0.25">
      <c r="A14" s="77" t="s">
        <v>1648</v>
      </c>
      <c r="B14" s="98">
        <v>-39071</v>
      </c>
      <c r="C14" s="31">
        <v>45076</v>
      </c>
      <c r="D14" s="28">
        <v>45078</v>
      </c>
      <c r="E14" s="71"/>
      <c r="F14" s="55"/>
      <c r="G14" s="55"/>
      <c r="M14" s="88"/>
    </row>
    <row r="15" spans="1:19" s="11" customFormat="1" ht="15" customHeight="1" x14ac:dyDescent="0.25">
      <c r="A15" s="77" t="s">
        <v>1690</v>
      </c>
      <c r="B15" s="98">
        <v>-40957</v>
      </c>
      <c r="C15" s="31">
        <v>45076</v>
      </c>
      <c r="D15" s="28">
        <v>45078</v>
      </c>
      <c r="E15" s="71"/>
      <c r="F15" s="55"/>
      <c r="G15" s="55"/>
      <c r="M15" s="88"/>
    </row>
    <row r="16" spans="1:19" s="11" customFormat="1" ht="15" customHeight="1" x14ac:dyDescent="0.25">
      <c r="A16" s="77" t="s">
        <v>1649</v>
      </c>
      <c r="B16" s="98">
        <v>-41506</v>
      </c>
      <c r="C16" s="31">
        <v>45076</v>
      </c>
      <c r="D16" s="28">
        <v>45078</v>
      </c>
      <c r="E16" s="71"/>
      <c r="F16" s="55"/>
      <c r="G16" s="55"/>
      <c r="M16" s="88"/>
    </row>
    <row r="17" spans="1:13" s="11" customFormat="1" ht="15" customHeight="1" x14ac:dyDescent="0.25">
      <c r="A17" s="77" t="s">
        <v>1650</v>
      </c>
      <c r="B17" s="98">
        <v>-41682</v>
      </c>
      <c r="C17" s="31">
        <v>45076</v>
      </c>
      <c r="D17" s="28">
        <v>45078</v>
      </c>
      <c r="E17" s="71"/>
      <c r="F17" s="55"/>
      <c r="G17" s="55"/>
      <c r="M17" s="88"/>
    </row>
    <row r="18" spans="1:13" s="11" customFormat="1" ht="15" customHeight="1" x14ac:dyDescent="0.25">
      <c r="A18" s="77" t="s">
        <v>1651</v>
      </c>
      <c r="B18" s="98">
        <v>-43223</v>
      </c>
      <c r="C18" s="31">
        <v>45076</v>
      </c>
      <c r="D18" s="28">
        <v>45078</v>
      </c>
      <c r="E18" s="71"/>
      <c r="F18" s="55"/>
      <c r="G18" s="55"/>
      <c r="M18" s="88"/>
    </row>
    <row r="19" spans="1:13" s="11" customFormat="1" ht="15" customHeight="1" x14ac:dyDescent="0.25">
      <c r="A19" s="77" t="s">
        <v>1652</v>
      </c>
      <c r="B19" s="98">
        <v>-44934</v>
      </c>
      <c r="C19" s="31">
        <v>45076</v>
      </c>
      <c r="D19" s="28">
        <v>45078</v>
      </c>
      <c r="E19" s="71"/>
      <c r="F19" s="55"/>
      <c r="G19" s="55"/>
      <c r="M19" s="88"/>
    </row>
    <row r="20" spans="1:13" s="11" customFormat="1" ht="15" customHeight="1" x14ac:dyDescent="0.25">
      <c r="A20" s="77" t="s">
        <v>1653</v>
      </c>
      <c r="B20" s="98">
        <v>-51587</v>
      </c>
      <c r="C20" s="31">
        <v>45076</v>
      </c>
      <c r="D20" s="28">
        <v>45078</v>
      </c>
      <c r="E20" s="71"/>
      <c r="F20" s="55"/>
      <c r="G20" s="55"/>
      <c r="M20" s="88"/>
    </row>
    <row r="21" spans="1:13" s="11" customFormat="1" ht="15" customHeight="1" x14ac:dyDescent="0.25">
      <c r="A21" s="77"/>
      <c r="B21" s="98"/>
      <c r="C21" s="31"/>
      <c r="D21" s="28"/>
      <c r="E21" s="71"/>
      <c r="F21" s="55"/>
      <c r="G21" s="55"/>
      <c r="M21" s="88"/>
    </row>
    <row r="22" spans="1:13" s="11" customFormat="1" ht="15" customHeight="1" x14ac:dyDescent="0.25">
      <c r="A22" s="77"/>
      <c r="B22" s="98"/>
      <c r="C22" s="31"/>
      <c r="D22" s="28"/>
      <c r="E22" s="71"/>
      <c r="F22" s="55"/>
      <c r="G22" s="55"/>
      <c r="M22" s="88"/>
    </row>
    <row r="23" spans="1:13" s="11" customFormat="1" ht="15" customHeight="1" x14ac:dyDescent="0.25">
      <c r="A23" s="77"/>
      <c r="B23" s="98"/>
      <c r="C23" s="31"/>
      <c r="D23" s="28"/>
      <c r="E23" s="71"/>
      <c r="F23" s="55"/>
      <c r="G23" s="55"/>
      <c r="M23" s="88"/>
    </row>
    <row r="24" spans="1:13" s="11" customFormat="1" ht="15" customHeight="1" x14ac:dyDescent="0.25">
      <c r="A24" s="77"/>
      <c r="B24" s="98"/>
      <c r="C24" s="31"/>
      <c r="D24" s="28"/>
      <c r="E24" s="71"/>
      <c r="F24" s="55"/>
      <c r="G24" s="55"/>
      <c r="M24" s="88"/>
    </row>
    <row r="25" spans="1:13" s="11" customFormat="1" ht="15" customHeight="1" x14ac:dyDescent="0.25">
      <c r="A25" s="77"/>
      <c r="B25" s="66"/>
      <c r="C25" s="33"/>
      <c r="D25" s="28"/>
      <c r="E25" s="94"/>
      <c r="F25" s="55"/>
      <c r="G25" s="55"/>
    </row>
    <row r="26" spans="1:13" s="11" customFormat="1" ht="15.95" customHeight="1" x14ac:dyDescent="0.25">
      <c r="B26" s="25">
        <f>SUM(B9:B25)</f>
        <v>-479821</v>
      </c>
      <c r="C26" s="28"/>
      <c r="D26" s="28"/>
      <c r="E26" s="75"/>
      <c r="F26" s="19"/>
      <c r="G26" s="19"/>
      <c r="L26" s="11" t="s">
        <v>1437</v>
      </c>
      <c r="M26" s="88"/>
    </row>
    <row r="27" spans="1:13" s="11" customFormat="1" ht="15.95" customHeight="1" x14ac:dyDescent="0.25">
      <c r="A27" s="11" t="s">
        <v>2</v>
      </c>
      <c r="B27" s="25"/>
      <c r="C27" s="30" t="s">
        <v>626</v>
      </c>
      <c r="D27" s="114" t="s">
        <v>628</v>
      </c>
      <c r="E27" s="70"/>
      <c r="L27" s="11" t="s">
        <v>1438</v>
      </c>
    </row>
    <row r="28" spans="1:13" s="11" customFormat="1" ht="15.95" customHeight="1" x14ac:dyDescent="0.25">
      <c r="A28" s="11" t="s">
        <v>1689</v>
      </c>
      <c r="B28" s="99">
        <v>28254.78</v>
      </c>
      <c r="C28" s="97">
        <v>45051</v>
      </c>
      <c r="D28" s="100">
        <v>4150</v>
      </c>
      <c r="E28" s="70"/>
      <c r="L28" s="11" t="s">
        <v>1439</v>
      </c>
    </row>
    <row r="29" spans="1:13" s="11" customFormat="1" ht="15.95" customHeight="1" x14ac:dyDescent="0.25">
      <c r="A29" s="11" t="s">
        <v>1661</v>
      </c>
      <c r="B29" s="99">
        <v>35908.94</v>
      </c>
      <c r="C29" s="95">
        <v>45077</v>
      </c>
      <c r="D29" s="115">
        <v>45083</v>
      </c>
      <c r="E29" s="70"/>
      <c r="L29" s="11" t="s">
        <v>1440</v>
      </c>
    </row>
    <row r="30" spans="1:13" s="11" customFormat="1" ht="15.95" customHeight="1" x14ac:dyDescent="0.25">
      <c r="A30" s="11" t="s">
        <v>1662</v>
      </c>
      <c r="B30" s="99">
        <v>35908.94</v>
      </c>
      <c r="C30" s="95">
        <v>45077</v>
      </c>
      <c r="D30" s="115">
        <v>45080</v>
      </c>
      <c r="E30" s="70"/>
      <c r="L30" s="11" t="s">
        <v>1441</v>
      </c>
    </row>
    <row r="31" spans="1:13" s="11" customFormat="1" ht="15.95" customHeight="1" x14ac:dyDescent="0.25">
      <c r="A31" s="11" t="s">
        <v>1663</v>
      </c>
      <c r="B31" s="99">
        <v>36510.400000000001</v>
      </c>
      <c r="C31" s="95">
        <v>45072</v>
      </c>
      <c r="D31" s="28">
        <v>45082</v>
      </c>
      <c r="E31" s="70"/>
      <c r="L31" s="11" t="s">
        <v>1442</v>
      </c>
    </row>
    <row r="32" spans="1:13" s="11" customFormat="1" ht="15.95" customHeight="1" x14ac:dyDescent="0.25">
      <c r="A32" s="11" t="s">
        <v>1623</v>
      </c>
      <c r="B32" s="99">
        <v>42387.91</v>
      </c>
      <c r="C32" s="95" t="s">
        <v>1691</v>
      </c>
      <c r="D32" s="28" t="s">
        <v>1694</v>
      </c>
      <c r="E32" s="70"/>
      <c r="L32" s="11" t="s">
        <v>1443</v>
      </c>
    </row>
    <row r="33" spans="1:12" s="11" customFormat="1" ht="15.95" customHeight="1" x14ac:dyDescent="0.25">
      <c r="A33" s="11" t="s">
        <v>1664</v>
      </c>
      <c r="B33" s="99">
        <v>47813.4</v>
      </c>
      <c r="C33" s="95">
        <v>45020</v>
      </c>
      <c r="D33" s="28">
        <v>45083</v>
      </c>
      <c r="E33" s="70"/>
      <c r="L33" s="11" t="s">
        <v>1444</v>
      </c>
    </row>
    <row r="34" spans="1:12" s="11" customFormat="1" ht="15.95" customHeight="1" x14ac:dyDescent="0.25">
      <c r="A34" s="11" t="s">
        <v>1695</v>
      </c>
      <c r="B34" s="99">
        <v>48255.15</v>
      </c>
      <c r="C34" s="95">
        <v>45013</v>
      </c>
      <c r="D34" s="14">
        <v>45091</v>
      </c>
      <c r="E34" s="70"/>
      <c r="L34" s="11" t="s">
        <v>1445</v>
      </c>
    </row>
    <row r="35" spans="1:12" s="11" customFormat="1" ht="15.95" customHeight="1" x14ac:dyDescent="0.25">
      <c r="A35" s="11" t="s">
        <v>1557</v>
      </c>
      <c r="B35" s="99">
        <v>48255.15</v>
      </c>
      <c r="C35" s="95">
        <v>45013</v>
      </c>
      <c r="D35" s="100">
        <v>4300</v>
      </c>
      <c r="E35" s="70"/>
      <c r="L35" s="11" t="s">
        <v>1446</v>
      </c>
    </row>
    <row r="36" spans="1:12" s="11" customFormat="1" ht="15.95" customHeight="1" x14ac:dyDescent="0.25">
      <c r="A36" s="11" t="s">
        <v>1665</v>
      </c>
      <c r="B36" s="99">
        <v>48505.21</v>
      </c>
      <c r="C36" s="95">
        <v>45077</v>
      </c>
      <c r="D36" s="28">
        <v>45083</v>
      </c>
      <c r="E36" s="70"/>
      <c r="L36" s="11" t="s">
        <v>1447</v>
      </c>
    </row>
    <row r="37" spans="1:12" s="11" customFormat="1" ht="15.95" customHeight="1" x14ac:dyDescent="0.25">
      <c r="A37" s="11" t="s">
        <v>1561</v>
      </c>
      <c r="B37" s="99">
        <v>58347</v>
      </c>
      <c r="C37" s="95">
        <v>45000</v>
      </c>
      <c r="D37" s="100">
        <v>4150</v>
      </c>
      <c r="E37" s="70"/>
      <c r="L37" s="11" t="s">
        <v>1448</v>
      </c>
    </row>
    <row r="38" spans="1:12" s="11" customFormat="1" ht="15.95" customHeight="1" x14ac:dyDescent="0.25">
      <c r="A38" s="11" t="s">
        <v>1666</v>
      </c>
      <c r="B38" s="99">
        <v>59581.29</v>
      </c>
      <c r="C38" s="95">
        <v>45072</v>
      </c>
      <c r="D38" s="28">
        <v>45078</v>
      </c>
      <c r="E38" s="70"/>
      <c r="L38" s="11" t="s">
        <v>1449</v>
      </c>
    </row>
    <row r="39" spans="1:12" s="11" customFormat="1" ht="15.95" customHeight="1" x14ac:dyDescent="0.25">
      <c r="A39" s="11" t="s">
        <v>1567</v>
      </c>
      <c r="B39" s="99">
        <v>63367.45</v>
      </c>
      <c r="C39" s="95">
        <v>45000</v>
      </c>
      <c r="D39" s="100">
        <v>4150</v>
      </c>
      <c r="E39" s="70"/>
      <c r="L39" s="11" t="s">
        <v>1450</v>
      </c>
    </row>
    <row r="40" spans="1:12" s="11" customFormat="1" ht="15.95" customHeight="1" x14ac:dyDescent="0.25">
      <c r="A40" s="11" t="s">
        <v>1570</v>
      </c>
      <c r="B40" s="99">
        <v>64571.8</v>
      </c>
      <c r="C40" s="95">
        <v>45000</v>
      </c>
      <c r="D40" s="100">
        <v>4150</v>
      </c>
      <c r="E40" s="70"/>
      <c r="L40" s="11" t="s">
        <v>1451</v>
      </c>
    </row>
    <row r="41" spans="1:12" s="11" customFormat="1" ht="15.95" customHeight="1" x14ac:dyDescent="0.25">
      <c r="A41" s="11" t="s">
        <v>1696</v>
      </c>
      <c r="B41" s="99">
        <v>72219.55</v>
      </c>
      <c r="C41" s="95">
        <v>45068</v>
      </c>
      <c r="D41" s="14">
        <v>45090</v>
      </c>
      <c r="E41" s="70"/>
      <c r="L41" s="11" t="s">
        <v>1452</v>
      </c>
    </row>
    <row r="42" spans="1:12" s="11" customFormat="1" ht="15.95" customHeight="1" x14ac:dyDescent="0.25">
      <c r="A42" s="11" t="s">
        <v>1697</v>
      </c>
      <c r="B42" s="99">
        <v>72219.55</v>
      </c>
      <c r="C42" s="95">
        <v>45061</v>
      </c>
      <c r="D42" s="14">
        <v>45090</v>
      </c>
      <c r="E42" s="70"/>
      <c r="L42" s="11" t="s">
        <v>1453</v>
      </c>
    </row>
    <row r="43" spans="1:12" s="11" customFormat="1" ht="15.95" customHeight="1" x14ac:dyDescent="0.25">
      <c r="A43" s="11" t="s">
        <v>1654</v>
      </c>
      <c r="B43" s="99">
        <v>72359.429999999993</v>
      </c>
      <c r="C43" s="95">
        <v>45076</v>
      </c>
      <c r="D43" s="100">
        <v>4300</v>
      </c>
      <c r="E43" s="70"/>
      <c r="L43" s="11" t="s">
        <v>1436</v>
      </c>
    </row>
    <row r="44" spans="1:12" s="11" customFormat="1" ht="15.95" customHeight="1" x14ac:dyDescent="0.25">
      <c r="A44" s="11" t="s">
        <v>1698</v>
      </c>
      <c r="B44" s="99">
        <v>72359.429999999993</v>
      </c>
      <c r="C44" s="95">
        <v>45068</v>
      </c>
      <c r="D44" s="14">
        <v>45090</v>
      </c>
      <c r="E44" s="70"/>
      <c r="L44" s="11" t="s">
        <v>1454</v>
      </c>
    </row>
    <row r="45" spans="1:12" s="11" customFormat="1" ht="15.95" customHeight="1" x14ac:dyDescent="0.25">
      <c r="A45" s="11" t="s">
        <v>1655</v>
      </c>
      <c r="B45" s="99">
        <v>79170.38</v>
      </c>
      <c r="C45" s="95">
        <v>45063</v>
      </c>
      <c r="D45" s="100">
        <v>4300</v>
      </c>
      <c r="E45" s="70"/>
      <c r="L45" s="11" t="s">
        <v>1455</v>
      </c>
    </row>
    <row r="46" spans="1:12" s="11" customFormat="1" ht="15.95" customHeight="1" x14ac:dyDescent="0.25">
      <c r="A46" s="11" t="s">
        <v>1667</v>
      </c>
      <c r="B46" s="99">
        <v>80870.600000000006</v>
      </c>
      <c r="C46" s="95">
        <v>45065</v>
      </c>
      <c r="D46" s="28">
        <v>45086</v>
      </c>
      <c r="E46" s="70"/>
      <c r="L46" s="11" t="s">
        <v>1456</v>
      </c>
    </row>
    <row r="47" spans="1:12" s="11" customFormat="1" ht="15.95" customHeight="1" x14ac:dyDescent="0.25">
      <c r="A47" s="11" t="s">
        <v>1668</v>
      </c>
      <c r="B47" s="99">
        <v>81292.100000000006</v>
      </c>
      <c r="C47" s="95">
        <v>45076</v>
      </c>
      <c r="D47" s="28">
        <v>45084</v>
      </c>
      <c r="E47" s="70"/>
      <c r="L47" s="11" t="s">
        <v>1457</v>
      </c>
    </row>
    <row r="48" spans="1:12" s="11" customFormat="1" ht="15.95" customHeight="1" x14ac:dyDescent="0.25">
      <c r="A48" s="11" t="s">
        <v>1669</v>
      </c>
      <c r="B48" s="99">
        <v>81292.100000000006</v>
      </c>
      <c r="C48" s="95">
        <v>45076</v>
      </c>
      <c r="D48" s="28">
        <v>45091</v>
      </c>
      <c r="E48" s="70"/>
      <c r="L48" s="11" t="s">
        <v>1458</v>
      </c>
    </row>
    <row r="49" spans="1:13" s="11" customFormat="1" ht="15.95" customHeight="1" x14ac:dyDescent="0.25">
      <c r="A49" s="11" t="s">
        <v>1670</v>
      </c>
      <c r="B49" s="99">
        <v>81292.100000000006</v>
      </c>
      <c r="C49" s="95">
        <v>45077</v>
      </c>
      <c r="D49" s="28">
        <v>45086</v>
      </c>
      <c r="E49" s="70"/>
      <c r="L49" s="11" t="s">
        <v>1368</v>
      </c>
    </row>
    <row r="50" spans="1:13" s="11" customFormat="1" ht="15.95" customHeight="1" x14ac:dyDescent="0.25">
      <c r="A50" s="11" t="s">
        <v>1671</v>
      </c>
      <c r="B50" s="99">
        <v>81753.69</v>
      </c>
      <c r="C50" s="95">
        <v>45076</v>
      </c>
      <c r="D50" s="28">
        <v>45082</v>
      </c>
      <c r="E50" s="70"/>
      <c r="L50" s="11" t="s">
        <v>1459</v>
      </c>
    </row>
    <row r="51" spans="1:13" s="11" customFormat="1" ht="15.95" customHeight="1" x14ac:dyDescent="0.25">
      <c r="A51" s="11" t="s">
        <v>1672</v>
      </c>
      <c r="B51" s="99">
        <v>81753.69</v>
      </c>
      <c r="C51" s="95">
        <v>45072</v>
      </c>
      <c r="D51" s="28">
        <v>45082</v>
      </c>
      <c r="E51" s="70"/>
      <c r="L51" s="11" t="s">
        <v>1369</v>
      </c>
    </row>
    <row r="52" spans="1:13" s="11" customFormat="1" ht="15.95" customHeight="1" x14ac:dyDescent="0.25">
      <c r="A52" s="11" t="s">
        <v>1673</v>
      </c>
      <c r="B52" s="99">
        <v>81753.69</v>
      </c>
      <c r="C52" s="95">
        <v>45072</v>
      </c>
      <c r="D52" s="14">
        <v>45090</v>
      </c>
      <c r="E52" s="70"/>
      <c r="L52" s="11" t="s">
        <v>1460</v>
      </c>
    </row>
    <row r="53" spans="1:13" s="11" customFormat="1" ht="15.95" customHeight="1" x14ac:dyDescent="0.25">
      <c r="A53" s="11" t="s">
        <v>1693</v>
      </c>
      <c r="B53" s="99">
        <v>81753.69</v>
      </c>
      <c r="C53" s="95">
        <v>45076</v>
      </c>
      <c r="D53" s="28">
        <v>45086</v>
      </c>
      <c r="E53" s="70"/>
    </row>
    <row r="54" spans="1:13" s="11" customFormat="1" ht="15.95" customHeight="1" x14ac:dyDescent="0.25">
      <c r="A54" s="11" t="s">
        <v>1674</v>
      </c>
      <c r="B54" s="99">
        <v>81753.69</v>
      </c>
      <c r="C54" s="95">
        <v>45076</v>
      </c>
      <c r="D54" s="28">
        <v>45084</v>
      </c>
      <c r="E54" s="70"/>
      <c r="L54" s="107" t="s">
        <v>1457</v>
      </c>
    </row>
    <row r="55" spans="1:13" s="11" customFormat="1" ht="15.95" customHeight="1" x14ac:dyDescent="0.25">
      <c r="A55" s="11" t="s">
        <v>1699</v>
      </c>
      <c r="B55" s="99">
        <v>81753.69</v>
      </c>
      <c r="C55" s="95">
        <v>45076</v>
      </c>
      <c r="D55" s="14">
        <v>45091</v>
      </c>
      <c r="E55" s="70"/>
      <c r="L55" s="108" t="s">
        <v>1459</v>
      </c>
    </row>
    <row r="56" spans="1:13" s="11" customFormat="1" ht="15.95" customHeight="1" x14ac:dyDescent="0.25">
      <c r="A56" s="11" t="s">
        <v>1675</v>
      </c>
      <c r="B56" s="99">
        <v>81893.56</v>
      </c>
      <c r="C56" s="95">
        <v>45076</v>
      </c>
      <c r="D56" s="28">
        <v>45083</v>
      </c>
      <c r="E56" s="70"/>
      <c r="L56" s="112" t="s">
        <v>1369</v>
      </c>
      <c r="M56" s="117"/>
    </row>
    <row r="57" spans="1:13" s="11" customFormat="1" ht="15.95" customHeight="1" x14ac:dyDescent="0.25">
      <c r="A57" s="11" t="s">
        <v>1676</v>
      </c>
      <c r="B57" s="99">
        <v>82136.009999999995</v>
      </c>
      <c r="C57" s="95">
        <v>45065</v>
      </c>
      <c r="D57" s="28">
        <v>45079</v>
      </c>
      <c r="E57" s="70"/>
    </row>
    <row r="58" spans="1:13" s="11" customFormat="1" ht="15.95" customHeight="1" x14ac:dyDescent="0.25">
      <c r="A58" s="11" t="s">
        <v>1677</v>
      </c>
      <c r="B58" s="99">
        <v>82136.009999999995</v>
      </c>
      <c r="C58" s="95">
        <v>45065</v>
      </c>
      <c r="D58" s="28">
        <v>45082</v>
      </c>
      <c r="E58" s="70"/>
    </row>
    <row r="59" spans="1:13" s="11" customFormat="1" ht="15.95" customHeight="1" x14ac:dyDescent="0.25">
      <c r="A59" s="11" t="s">
        <v>1678</v>
      </c>
      <c r="B59" s="99">
        <v>82136.009999999995</v>
      </c>
      <c r="C59" s="95">
        <v>45064</v>
      </c>
      <c r="D59" s="14">
        <v>45089</v>
      </c>
      <c r="E59" s="70"/>
    </row>
    <row r="60" spans="1:13" s="11" customFormat="1" ht="15.95" customHeight="1" x14ac:dyDescent="0.25">
      <c r="A60" s="11" t="s">
        <v>1679</v>
      </c>
      <c r="B60" s="99">
        <v>82597.600000000006</v>
      </c>
      <c r="C60" s="95">
        <v>45064</v>
      </c>
      <c r="D60" s="118">
        <v>4300</v>
      </c>
      <c r="E60" s="70"/>
    </row>
    <row r="61" spans="1:13" s="11" customFormat="1" ht="15.95" customHeight="1" x14ac:dyDescent="0.25">
      <c r="A61" s="11" t="s">
        <v>1680</v>
      </c>
      <c r="B61" s="99">
        <v>82597.600000000006</v>
      </c>
      <c r="C61" s="95">
        <v>45064</v>
      </c>
      <c r="D61" s="28" t="s">
        <v>1692</v>
      </c>
      <c r="E61" s="70"/>
    </row>
    <row r="62" spans="1:13" s="11" customFormat="1" ht="15.95" customHeight="1" x14ac:dyDescent="0.25">
      <c r="A62" s="11" t="s">
        <v>1656</v>
      </c>
      <c r="B62" s="99">
        <v>82597.600000000006</v>
      </c>
      <c r="C62" s="95">
        <v>45064</v>
      </c>
      <c r="D62" s="100">
        <v>4300</v>
      </c>
      <c r="E62" s="70"/>
    </row>
    <row r="63" spans="1:13" s="11" customFormat="1" ht="15.95" customHeight="1" x14ac:dyDescent="0.25">
      <c r="A63" s="11" t="s">
        <v>1681</v>
      </c>
      <c r="B63" s="99">
        <v>82597.600000000006</v>
      </c>
      <c r="C63" s="95">
        <v>45064</v>
      </c>
      <c r="D63" s="118">
        <v>4300</v>
      </c>
      <c r="E63" s="70"/>
    </row>
    <row r="64" spans="1:13" s="11" customFormat="1" ht="15.95" customHeight="1" x14ac:dyDescent="0.25">
      <c r="A64" s="11" t="s">
        <v>1682</v>
      </c>
      <c r="B64" s="99">
        <v>82597.600000000006</v>
      </c>
      <c r="C64" s="95">
        <v>45065</v>
      </c>
      <c r="D64" s="118">
        <v>4200</v>
      </c>
      <c r="E64" s="70"/>
    </row>
    <row r="65" spans="1:8" s="11" customFormat="1" ht="15.95" customHeight="1" x14ac:dyDescent="0.25">
      <c r="A65" s="11" t="s">
        <v>1700</v>
      </c>
      <c r="B65" s="99">
        <v>84009.7</v>
      </c>
      <c r="C65" s="95">
        <v>45064</v>
      </c>
      <c r="D65" s="14">
        <v>45090</v>
      </c>
      <c r="E65" s="70"/>
    </row>
    <row r="66" spans="1:8" s="11" customFormat="1" ht="15.95" customHeight="1" x14ac:dyDescent="0.25">
      <c r="A66" s="11" t="s">
        <v>1657</v>
      </c>
      <c r="B66" s="99">
        <v>84009.7</v>
      </c>
      <c r="C66" s="95">
        <v>45064</v>
      </c>
      <c r="D66" s="100">
        <v>4800</v>
      </c>
      <c r="E66" s="70"/>
    </row>
    <row r="67" spans="1:8" s="11" customFormat="1" ht="15.95" customHeight="1" x14ac:dyDescent="0.25">
      <c r="A67" s="11" t="s">
        <v>1658</v>
      </c>
      <c r="B67" s="99">
        <v>84009.7</v>
      </c>
      <c r="C67" s="95">
        <v>45068</v>
      </c>
      <c r="D67" s="100">
        <v>4300</v>
      </c>
      <c r="E67" s="70"/>
    </row>
    <row r="68" spans="1:8" s="11" customFormat="1" ht="15.95" customHeight="1" x14ac:dyDescent="0.25">
      <c r="A68" s="11" t="s">
        <v>1683</v>
      </c>
      <c r="B68" s="99">
        <v>84040.81</v>
      </c>
      <c r="C68" s="95">
        <v>45051</v>
      </c>
      <c r="D68" s="28">
        <v>45080</v>
      </c>
      <c r="E68" s="70"/>
    </row>
    <row r="69" spans="1:8" s="11" customFormat="1" ht="15.95" customHeight="1" x14ac:dyDescent="0.25">
      <c r="A69" s="11" t="s">
        <v>1701</v>
      </c>
      <c r="B69" s="99">
        <v>84040.81</v>
      </c>
      <c r="C69" s="95">
        <v>45058</v>
      </c>
      <c r="D69" s="14">
        <v>45090</v>
      </c>
      <c r="E69" s="70"/>
    </row>
    <row r="70" spans="1:8" s="11" customFormat="1" ht="15.95" customHeight="1" x14ac:dyDescent="0.25">
      <c r="A70" s="11" t="s">
        <v>1684</v>
      </c>
      <c r="B70" s="99">
        <v>84569.2</v>
      </c>
      <c r="C70" s="95">
        <v>45068</v>
      </c>
      <c r="D70" s="118">
        <v>4300</v>
      </c>
      <c r="E70" s="70"/>
    </row>
    <row r="71" spans="1:8" s="11" customFormat="1" ht="15.95" customHeight="1" x14ac:dyDescent="0.25">
      <c r="A71" s="11" t="s">
        <v>1659</v>
      </c>
      <c r="B71" s="99">
        <v>84569.2</v>
      </c>
      <c r="C71" s="95">
        <v>45064</v>
      </c>
      <c r="D71" s="100">
        <v>4300</v>
      </c>
      <c r="E71" s="70"/>
    </row>
    <row r="72" spans="1:8" s="11" customFormat="1" ht="15.95" customHeight="1" x14ac:dyDescent="0.25">
      <c r="A72" s="11" t="s">
        <v>1685</v>
      </c>
      <c r="B72" s="99">
        <v>85175.33</v>
      </c>
      <c r="C72" s="95">
        <v>45065</v>
      </c>
      <c r="D72" s="28">
        <v>45083</v>
      </c>
      <c r="E72" s="70"/>
    </row>
    <row r="73" spans="1:8" s="11" customFormat="1" ht="15.95" customHeight="1" x14ac:dyDescent="0.25">
      <c r="A73" s="11" t="s">
        <v>1686</v>
      </c>
      <c r="B73" s="99">
        <v>87320.08</v>
      </c>
      <c r="C73" s="95">
        <v>45064</v>
      </c>
      <c r="D73" s="28">
        <v>45084</v>
      </c>
      <c r="E73" s="70"/>
    </row>
    <row r="74" spans="1:8" s="11" customFormat="1" ht="15.95" customHeight="1" x14ac:dyDescent="0.25">
      <c r="A74" s="11" t="s">
        <v>1687</v>
      </c>
      <c r="B74" s="99">
        <v>87324.74</v>
      </c>
      <c r="C74" s="95">
        <v>45055</v>
      </c>
      <c r="D74" s="28">
        <v>45078</v>
      </c>
      <c r="E74" s="70"/>
    </row>
    <row r="75" spans="1:8" s="11" customFormat="1" ht="15.95" customHeight="1" x14ac:dyDescent="0.25">
      <c r="A75" s="11" t="s">
        <v>1660</v>
      </c>
      <c r="B75" s="99">
        <v>91018.74</v>
      </c>
      <c r="C75" s="95">
        <v>45070</v>
      </c>
      <c r="D75" s="100">
        <v>4300</v>
      </c>
      <c r="E75" s="70"/>
    </row>
    <row r="76" spans="1:8" s="11" customFormat="1" ht="15.95" customHeight="1" x14ac:dyDescent="0.25">
      <c r="A76" s="11" t="s">
        <v>1688</v>
      </c>
      <c r="B76" s="99">
        <v>99175.57</v>
      </c>
      <c r="C76" s="95">
        <v>45077</v>
      </c>
      <c r="D76" s="28">
        <v>45082</v>
      </c>
      <c r="E76" s="70"/>
    </row>
    <row r="77" spans="1:8" s="11" customFormat="1" ht="15.95" customHeight="1" x14ac:dyDescent="0.25">
      <c r="B77" s="25"/>
      <c r="C77" s="95"/>
      <c r="D77" s="28"/>
      <c r="E77" s="70"/>
    </row>
    <row r="78" spans="1:8" s="11" customFormat="1" ht="15.95" customHeight="1" x14ac:dyDescent="0.25">
      <c r="B78" s="105">
        <f>SUM(B28:B77)</f>
        <v>3581817.9700000021</v>
      </c>
      <c r="C78" s="234" t="s">
        <v>1457</v>
      </c>
      <c r="D78" s="235"/>
      <c r="E78" s="70"/>
      <c r="H78" s="88"/>
    </row>
    <row r="79" spans="1:8" s="11" customFormat="1" ht="15.95" customHeight="1" x14ac:dyDescent="0.25">
      <c r="A79" s="11" t="s">
        <v>1</v>
      </c>
      <c r="B79" s="17">
        <f>B78+B26</f>
        <v>3101996.9700000021</v>
      </c>
      <c r="C79" s="236" t="s">
        <v>1459</v>
      </c>
      <c r="D79" s="237"/>
      <c r="E79" s="70"/>
      <c r="H79" s="88"/>
    </row>
    <row r="80" spans="1:8" s="11" customFormat="1" ht="15.95" customHeight="1" x14ac:dyDescent="0.25">
      <c r="A80" s="11" t="s">
        <v>0</v>
      </c>
      <c r="B80" s="17">
        <f>B79-B7</f>
        <v>0</v>
      </c>
      <c r="C80" s="238" t="s">
        <v>1369</v>
      </c>
      <c r="D80" s="239"/>
      <c r="E80" s="70"/>
      <c r="H80" s="88"/>
    </row>
    <row r="81" spans="1:9" s="11" customFormat="1" ht="15.95" customHeight="1" x14ac:dyDescent="0.25">
      <c r="B81" s="17"/>
      <c r="E81" s="70"/>
      <c r="H81" s="88"/>
    </row>
    <row r="82" spans="1:9" s="11" customFormat="1" ht="20.100000000000001" customHeight="1" x14ac:dyDescent="0.25">
      <c r="A82" s="39"/>
      <c r="B82" s="93"/>
      <c r="C82" s="18"/>
      <c r="D82" s="18"/>
      <c r="E82" s="70"/>
      <c r="H82" s="88"/>
    </row>
    <row r="83" spans="1:9" s="11" customFormat="1" ht="20.100000000000001" customHeight="1" x14ac:dyDescent="0.25">
      <c r="A83" s="39"/>
      <c r="B83" s="93"/>
      <c r="C83" s="18"/>
      <c r="D83" s="18"/>
      <c r="E83" s="70"/>
      <c r="H83" s="88"/>
    </row>
    <row r="84" spans="1:9" s="11" customFormat="1" ht="20.100000000000001" customHeight="1" x14ac:dyDescent="0.3">
      <c r="A84" s="1"/>
      <c r="B84" s="10"/>
      <c r="C84" s="13"/>
      <c r="D84" s="47"/>
      <c r="E84" s="70"/>
      <c r="H84" s="88"/>
    </row>
    <row r="85" spans="1:9" s="11" customFormat="1" ht="20.100000000000001" customHeight="1" x14ac:dyDescent="0.3">
      <c r="A85" s="1"/>
      <c r="B85" s="10"/>
      <c r="C85" s="13"/>
      <c r="D85" s="47"/>
      <c r="E85" s="70"/>
      <c r="H85" s="88"/>
    </row>
    <row r="86" spans="1:9" s="11" customFormat="1" ht="20.100000000000001" customHeight="1" x14ac:dyDescent="0.3">
      <c r="A86" s="1"/>
      <c r="B86" s="10"/>
      <c r="C86" s="13"/>
      <c r="D86" s="47"/>
      <c r="E86" s="70"/>
      <c r="H86" s="88"/>
    </row>
    <row r="87" spans="1:9" s="13" customFormat="1" ht="20.100000000000001" customHeight="1" x14ac:dyDescent="0.3">
      <c r="A87" s="1"/>
      <c r="B87" s="10"/>
      <c r="D87" s="47"/>
      <c r="E87" s="70"/>
      <c r="F87" s="11"/>
      <c r="G87" s="11"/>
      <c r="H87" s="88"/>
      <c r="I87" s="11"/>
    </row>
    <row r="88" spans="1:9" s="13" customFormat="1" ht="20.100000000000001" customHeight="1" x14ac:dyDescent="0.3">
      <c r="A88" s="1"/>
      <c r="B88" s="10"/>
      <c r="D88" s="47"/>
      <c r="E88" s="70"/>
      <c r="F88" s="11"/>
      <c r="G88" s="11"/>
      <c r="H88" s="88"/>
      <c r="I88" s="11"/>
    </row>
    <row r="89" spans="1:9" s="13" customFormat="1" ht="20.100000000000001" customHeight="1" x14ac:dyDescent="0.3">
      <c r="A89" s="1"/>
      <c r="B89" s="10"/>
      <c r="D89" s="47"/>
      <c r="E89" s="70"/>
      <c r="F89" s="11"/>
      <c r="G89" s="11"/>
      <c r="H89" s="88"/>
      <c r="I89" s="11"/>
    </row>
    <row r="90" spans="1:9" ht="20.100000000000001" customHeight="1" x14ac:dyDescent="0.3"/>
    <row r="91" spans="1:9" ht="20.100000000000001" customHeight="1" x14ac:dyDescent="0.3"/>
    <row r="92" spans="1:9" ht="20.100000000000001" customHeight="1" x14ac:dyDescent="0.3"/>
    <row r="93" spans="1:9" ht="20.100000000000001" customHeight="1" x14ac:dyDescent="0.3"/>
  </sheetData>
  <mergeCells count="3">
    <mergeCell ref="C78:D78"/>
    <mergeCell ref="C79:D79"/>
    <mergeCell ref="C80:D80"/>
  </mergeCells>
  <pageMargins left="0.7" right="0.7" top="0.75" bottom="0.75" header="0.3" footer="0.3"/>
  <pageSetup scale="80" fitToHeight="0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468F2-E854-4DCA-9073-34B97E123960}">
  <sheetPr>
    <pageSetUpPr fitToPage="1"/>
  </sheetPr>
  <dimension ref="A1:S105"/>
  <sheetViews>
    <sheetView topLeftCell="A20" workbookViewId="0">
      <selection activeCell="L47" sqref="L47"/>
    </sheetView>
  </sheetViews>
  <sheetFormatPr defaultRowHeight="18.75" x14ac:dyDescent="0.3"/>
  <cols>
    <col min="1" max="1" width="20.7109375" style="1" customWidth="1"/>
    <col min="2" max="2" width="16.85546875" style="10" customWidth="1"/>
    <col min="3" max="3" width="28" style="6" bestFit="1" customWidth="1"/>
    <col min="4" max="4" width="19.7109375" style="116" customWidth="1"/>
    <col min="5" max="5" width="9.85546875" style="76" bestFit="1" customWidth="1"/>
    <col min="6" max="6" width="16.5703125" style="1" customWidth="1"/>
    <col min="7" max="7" width="35" style="1" bestFit="1" customWidth="1"/>
    <col min="8" max="8" width="5.5703125" style="90" bestFit="1" customWidth="1"/>
    <col min="9" max="11" width="9.140625" style="1"/>
    <col min="12" max="12" width="42.28515625" style="1" bestFit="1" customWidth="1"/>
    <col min="13" max="16384" width="9.140625" style="1"/>
  </cols>
  <sheetData>
    <row r="1" spans="1:19" s="11" customFormat="1" ht="20.100000000000001" customHeight="1" x14ac:dyDescent="0.25">
      <c r="A1" s="11" t="s">
        <v>1203</v>
      </c>
      <c r="B1" s="17"/>
      <c r="C1" s="13"/>
      <c r="D1" s="47"/>
      <c r="E1" s="70"/>
      <c r="H1" s="88"/>
    </row>
    <row r="2" spans="1:19" s="11" customFormat="1" ht="20.100000000000001" customHeight="1" x14ac:dyDescent="0.25">
      <c r="A2" s="14">
        <v>45107</v>
      </c>
      <c r="B2" s="17"/>
      <c r="C2" s="13"/>
      <c r="D2" s="47"/>
      <c r="E2" s="70"/>
      <c r="H2" s="88"/>
    </row>
    <row r="3" spans="1:19" s="11" customFormat="1" ht="20.100000000000001" customHeight="1" x14ac:dyDescent="0.25">
      <c r="A3" s="11" t="s">
        <v>311</v>
      </c>
      <c r="B3" s="17">
        <v>15350947.369999999</v>
      </c>
      <c r="C3" s="13"/>
      <c r="D3" s="47"/>
      <c r="E3" s="70"/>
      <c r="H3" s="88"/>
      <c r="M3" s="89"/>
    </row>
    <row r="4" spans="1:19" s="11" customFormat="1" ht="20.100000000000001" customHeight="1" x14ac:dyDescent="0.25">
      <c r="A4" s="11" t="s">
        <v>6</v>
      </c>
      <c r="B4" s="17"/>
      <c r="C4" s="13"/>
      <c r="D4" s="47"/>
      <c r="E4" s="70"/>
      <c r="H4" s="88"/>
      <c r="M4" s="89"/>
    </row>
    <row r="5" spans="1:19" s="11" customFormat="1" ht="20.100000000000001" customHeight="1" x14ac:dyDescent="0.25">
      <c r="A5" s="11">
        <v>2100</v>
      </c>
      <c r="B5" s="17">
        <v>-11772079.83</v>
      </c>
      <c r="C5" s="13"/>
      <c r="D5" s="47"/>
      <c r="E5" s="70"/>
      <c r="H5" s="88"/>
      <c r="M5" s="89"/>
    </row>
    <row r="6" spans="1:19" s="11" customFormat="1" ht="20.100000000000001" customHeight="1" x14ac:dyDescent="0.25">
      <c r="A6" s="11" t="s">
        <v>5</v>
      </c>
      <c r="B6" s="17">
        <f>SUM(B5)</f>
        <v>-11772079.83</v>
      </c>
      <c r="C6" s="13"/>
      <c r="D6" s="47"/>
      <c r="E6" s="70"/>
      <c r="H6" s="88"/>
      <c r="M6" s="89"/>
      <c r="O6" s="62"/>
      <c r="P6" s="62"/>
      <c r="Q6" s="62"/>
      <c r="R6" s="62"/>
      <c r="S6" s="62"/>
    </row>
    <row r="7" spans="1:19" s="11" customFormat="1" ht="20.100000000000001" customHeight="1" x14ac:dyDescent="0.25">
      <c r="A7" s="11" t="s">
        <v>4</v>
      </c>
      <c r="B7" s="17">
        <f>B6+B3</f>
        <v>3578867.5399999991</v>
      </c>
      <c r="C7" s="13"/>
      <c r="D7" s="47"/>
      <c r="E7" s="70"/>
      <c r="H7" s="88"/>
      <c r="M7" s="88"/>
    </row>
    <row r="8" spans="1:19" s="11" customFormat="1" ht="15.95" customHeight="1" x14ac:dyDescent="0.25">
      <c r="A8" s="11" t="s">
        <v>3</v>
      </c>
      <c r="B8" s="17"/>
      <c r="C8" s="44" t="s">
        <v>628</v>
      </c>
      <c r="D8" s="114" t="s">
        <v>626</v>
      </c>
      <c r="E8" s="70"/>
      <c r="H8" s="88"/>
      <c r="M8" s="88"/>
    </row>
    <row r="9" spans="1:19" s="11" customFormat="1" ht="15.75" x14ac:dyDescent="0.25">
      <c r="A9" s="77" t="s">
        <v>1703</v>
      </c>
      <c r="B9" s="98">
        <v>-30025</v>
      </c>
      <c r="C9" s="31">
        <v>45097</v>
      </c>
      <c r="D9" s="28" t="s">
        <v>1759</v>
      </c>
      <c r="E9" s="71"/>
      <c r="F9" s="55"/>
      <c r="G9" s="55"/>
      <c r="M9" s="88"/>
    </row>
    <row r="10" spans="1:19" s="11" customFormat="1" ht="15.75" x14ac:dyDescent="0.25">
      <c r="A10" s="77" t="s">
        <v>1704</v>
      </c>
      <c r="B10" s="98">
        <v>-30729</v>
      </c>
      <c r="C10" s="31">
        <v>45107</v>
      </c>
      <c r="D10" s="28">
        <v>45112</v>
      </c>
      <c r="E10" s="71"/>
      <c r="F10" s="55"/>
      <c r="G10" s="55"/>
      <c r="M10" s="88"/>
    </row>
    <row r="11" spans="1:19" s="11" customFormat="1" ht="15.75" x14ac:dyDescent="0.25">
      <c r="A11" s="77" t="s">
        <v>1706</v>
      </c>
      <c r="B11" s="98">
        <v>-31327</v>
      </c>
      <c r="C11" s="31">
        <v>45107</v>
      </c>
      <c r="D11" s="28">
        <v>45112</v>
      </c>
      <c r="E11" s="71"/>
      <c r="F11" s="55"/>
      <c r="G11" s="55"/>
      <c r="M11" s="88"/>
    </row>
    <row r="12" spans="1:19" s="11" customFormat="1" ht="15.75" x14ac:dyDescent="0.25">
      <c r="A12" s="77" t="s">
        <v>1705</v>
      </c>
      <c r="B12" s="98">
        <v>-32854</v>
      </c>
      <c r="C12" s="31">
        <v>45107</v>
      </c>
      <c r="D12" s="28">
        <v>45112</v>
      </c>
      <c r="E12" s="71"/>
      <c r="F12" s="55"/>
      <c r="G12" s="55"/>
      <c r="M12" s="88"/>
    </row>
    <row r="13" spans="1:19" s="11" customFormat="1" ht="15.75" x14ac:dyDescent="0.25">
      <c r="A13" s="77" t="s">
        <v>1707</v>
      </c>
      <c r="B13" s="98">
        <v>-33874</v>
      </c>
      <c r="C13" s="31">
        <v>45107</v>
      </c>
      <c r="D13" s="28">
        <v>45112</v>
      </c>
      <c r="E13" s="71"/>
      <c r="F13" s="55"/>
      <c r="G13" s="55"/>
      <c r="M13" s="88"/>
    </row>
    <row r="14" spans="1:19" s="11" customFormat="1" ht="15.75" x14ac:dyDescent="0.25">
      <c r="A14" s="77" t="s">
        <v>1708</v>
      </c>
      <c r="B14" s="98">
        <v>-34567</v>
      </c>
      <c r="C14" s="31">
        <v>45107</v>
      </c>
      <c r="D14" s="28">
        <v>45112</v>
      </c>
      <c r="E14" s="71"/>
      <c r="F14" s="55"/>
      <c r="G14" s="55"/>
      <c r="M14" s="88"/>
    </row>
    <row r="15" spans="1:19" s="11" customFormat="1" ht="15.75" x14ac:dyDescent="0.25">
      <c r="A15" s="77" t="s">
        <v>1709</v>
      </c>
      <c r="B15" s="98">
        <v>-36813</v>
      </c>
      <c r="C15" s="31">
        <v>45107</v>
      </c>
      <c r="D15" s="28">
        <v>45112</v>
      </c>
      <c r="E15" s="71"/>
      <c r="F15" s="55"/>
      <c r="G15" s="55"/>
      <c r="M15" s="88"/>
    </row>
    <row r="16" spans="1:19" s="11" customFormat="1" ht="15" customHeight="1" x14ac:dyDescent="0.25">
      <c r="A16" s="77" t="s">
        <v>1711</v>
      </c>
      <c r="B16" s="98">
        <v>-42133</v>
      </c>
      <c r="C16" s="31">
        <v>45107</v>
      </c>
      <c r="D16" s="28">
        <v>45110</v>
      </c>
      <c r="E16" s="71"/>
      <c r="F16" s="55"/>
      <c r="G16" s="55"/>
      <c r="M16" s="88"/>
    </row>
    <row r="17" spans="1:13" s="11" customFormat="1" ht="15" customHeight="1" x14ac:dyDescent="0.25">
      <c r="A17" s="77" t="s">
        <v>1712</v>
      </c>
      <c r="B17" s="98">
        <v>-43795</v>
      </c>
      <c r="C17" s="31">
        <v>45107</v>
      </c>
      <c r="D17" s="28">
        <v>45110</v>
      </c>
      <c r="E17" s="71"/>
      <c r="F17" s="55"/>
      <c r="G17" s="55"/>
      <c r="M17" s="88"/>
    </row>
    <row r="18" spans="1:13" s="11" customFormat="1" ht="15" customHeight="1" x14ac:dyDescent="0.25">
      <c r="A18" s="77" t="s">
        <v>1719</v>
      </c>
      <c r="B18" s="98">
        <v>-50147.360000000001</v>
      </c>
      <c r="C18" s="31">
        <v>45107</v>
      </c>
      <c r="D18" s="28">
        <v>45110</v>
      </c>
      <c r="E18" s="71"/>
      <c r="F18" s="55"/>
      <c r="G18" s="55"/>
      <c r="M18" s="88"/>
    </row>
    <row r="19" spans="1:13" s="11" customFormat="1" ht="15" customHeight="1" x14ac:dyDescent="0.25">
      <c r="A19" s="77" t="s">
        <v>1721</v>
      </c>
      <c r="B19" s="98">
        <v>-51074</v>
      </c>
      <c r="C19" s="31">
        <v>45107</v>
      </c>
      <c r="D19" s="28">
        <v>45112</v>
      </c>
      <c r="E19" s="71"/>
      <c r="F19" s="55"/>
      <c r="G19" s="55"/>
      <c r="M19" s="88"/>
    </row>
    <row r="20" spans="1:13" s="11" customFormat="1" ht="15" customHeight="1" x14ac:dyDescent="0.25">
      <c r="A20" s="77" t="s">
        <v>1733</v>
      </c>
      <c r="B20" s="98">
        <v>-65064.89</v>
      </c>
      <c r="C20" s="31">
        <v>45107</v>
      </c>
      <c r="D20" s="28">
        <v>45110</v>
      </c>
      <c r="E20" s="71"/>
      <c r="F20" s="55"/>
      <c r="G20" s="55"/>
      <c r="M20" s="88"/>
    </row>
    <row r="21" spans="1:13" s="11" customFormat="1" ht="15" customHeight="1" x14ac:dyDescent="0.25">
      <c r="A21" s="77"/>
      <c r="B21" s="98"/>
      <c r="C21" s="31"/>
      <c r="D21" s="28"/>
      <c r="E21" s="71"/>
      <c r="F21" s="55"/>
      <c r="G21" s="55"/>
      <c r="M21" s="88"/>
    </row>
    <row r="22" spans="1:13" s="11" customFormat="1" ht="15" customHeight="1" x14ac:dyDescent="0.25">
      <c r="A22" s="77"/>
      <c r="B22" s="98"/>
      <c r="C22" s="31"/>
      <c r="D22" s="28"/>
      <c r="E22" s="71"/>
      <c r="F22" s="55"/>
      <c r="G22" s="55"/>
      <c r="M22" s="88"/>
    </row>
    <row r="23" spans="1:13" s="11" customFormat="1" ht="15" customHeight="1" x14ac:dyDescent="0.25">
      <c r="A23" s="77"/>
      <c r="B23" s="98"/>
      <c r="C23" s="31"/>
      <c r="D23" s="28"/>
      <c r="E23" s="71"/>
      <c r="F23" s="55"/>
      <c r="G23" s="55"/>
      <c r="M23" s="88"/>
    </row>
    <row r="24" spans="1:13" s="11" customFormat="1" ht="15" customHeight="1" x14ac:dyDescent="0.25">
      <c r="A24" s="77"/>
      <c r="B24" s="98"/>
      <c r="C24" s="31"/>
      <c r="D24" s="28"/>
      <c r="E24" s="71"/>
      <c r="F24" s="55"/>
      <c r="G24" s="55"/>
      <c r="M24" s="88"/>
    </row>
    <row r="25" spans="1:13" s="11" customFormat="1" ht="15" customHeight="1" x14ac:dyDescent="0.25">
      <c r="A25" s="77"/>
      <c r="B25" s="66"/>
      <c r="C25" s="33"/>
      <c r="D25" s="28"/>
      <c r="E25" s="94"/>
      <c r="F25" s="55"/>
      <c r="G25" s="55"/>
    </row>
    <row r="26" spans="1:13" s="11" customFormat="1" ht="15.95" customHeight="1" x14ac:dyDescent="0.25">
      <c r="B26" s="25">
        <f>SUM(B9:B25)</f>
        <v>-482403.25</v>
      </c>
      <c r="C26" s="28"/>
      <c r="D26" s="28"/>
      <c r="E26" s="75"/>
      <c r="F26" s="19"/>
      <c r="G26" s="19"/>
      <c r="L26" s="11" t="s">
        <v>1437</v>
      </c>
      <c r="M26" s="88"/>
    </row>
    <row r="27" spans="1:13" s="11" customFormat="1" ht="15.95" customHeight="1" x14ac:dyDescent="0.25">
      <c r="A27" s="11" t="s">
        <v>2</v>
      </c>
      <c r="B27" s="25"/>
      <c r="C27" s="30" t="s">
        <v>626</v>
      </c>
      <c r="D27" s="114" t="s">
        <v>628</v>
      </c>
      <c r="E27" s="70"/>
      <c r="L27" s="11" t="s">
        <v>1438</v>
      </c>
    </row>
    <row r="28" spans="1:13" s="11" customFormat="1" ht="15.95" customHeight="1" x14ac:dyDescent="0.25">
      <c r="A28" s="11" t="s">
        <v>1702</v>
      </c>
      <c r="B28" s="99">
        <v>28254.78</v>
      </c>
      <c r="C28" s="97">
        <v>45051</v>
      </c>
      <c r="D28" s="92">
        <v>4150</v>
      </c>
      <c r="E28" s="70"/>
      <c r="L28" s="11" t="s">
        <v>1439</v>
      </c>
    </row>
    <row r="29" spans="1:13" s="11" customFormat="1" ht="15.95" customHeight="1" x14ac:dyDescent="0.25">
      <c r="A29" s="11" t="s">
        <v>1761</v>
      </c>
      <c r="B29" s="99">
        <v>36370.53</v>
      </c>
      <c r="C29" s="95">
        <v>45107</v>
      </c>
      <c r="D29" s="106">
        <v>45119</v>
      </c>
      <c r="E29" s="70"/>
      <c r="L29" s="11" t="s">
        <v>1440</v>
      </c>
    </row>
    <row r="30" spans="1:13" s="11" customFormat="1" ht="15.95" customHeight="1" x14ac:dyDescent="0.25">
      <c r="A30" s="11" t="s">
        <v>1710</v>
      </c>
      <c r="B30" s="99">
        <v>40605.79</v>
      </c>
      <c r="C30" s="95">
        <v>45107</v>
      </c>
      <c r="D30" s="111">
        <v>4300</v>
      </c>
      <c r="E30" s="70"/>
      <c r="L30" s="11" t="s">
        <v>1441</v>
      </c>
    </row>
    <row r="31" spans="1:13" s="11" customFormat="1" ht="15.95" customHeight="1" x14ac:dyDescent="0.25">
      <c r="A31" s="11" t="s">
        <v>1713</v>
      </c>
      <c r="B31" s="99">
        <v>45494.79</v>
      </c>
      <c r="C31" s="95">
        <v>45104</v>
      </c>
      <c r="D31" s="92">
        <v>4300</v>
      </c>
      <c r="E31" s="70"/>
      <c r="L31" s="11" t="s">
        <v>1442</v>
      </c>
    </row>
    <row r="32" spans="1:13" s="11" customFormat="1" ht="15.95" customHeight="1" x14ac:dyDescent="0.25">
      <c r="A32" s="11" t="s">
        <v>1714</v>
      </c>
      <c r="B32" s="99">
        <v>45494.79</v>
      </c>
      <c r="C32" s="95">
        <v>45104</v>
      </c>
      <c r="D32" s="92">
        <v>4300</v>
      </c>
      <c r="E32" s="70"/>
      <c r="L32" s="11" t="s">
        <v>1443</v>
      </c>
    </row>
    <row r="33" spans="1:12" s="11" customFormat="1" ht="15.95" customHeight="1" x14ac:dyDescent="0.25">
      <c r="A33" s="11" t="s">
        <v>1767</v>
      </c>
      <c r="B33" s="99">
        <v>47489.74</v>
      </c>
      <c r="C33" s="95">
        <v>45107</v>
      </c>
      <c r="D33" s="14">
        <v>45121</v>
      </c>
      <c r="E33" s="70"/>
      <c r="L33" s="11" t="s">
        <v>1444</v>
      </c>
    </row>
    <row r="34" spans="1:12" s="11" customFormat="1" ht="15.95" customHeight="1" x14ac:dyDescent="0.25">
      <c r="A34" s="11" t="s">
        <v>1715</v>
      </c>
      <c r="B34" s="99">
        <v>48089.65</v>
      </c>
      <c r="C34" s="95">
        <v>45084</v>
      </c>
      <c r="D34" s="92">
        <v>4300</v>
      </c>
      <c r="E34" s="70"/>
      <c r="L34" s="11" t="s">
        <v>1445</v>
      </c>
    </row>
    <row r="35" spans="1:12" s="11" customFormat="1" ht="15.95" customHeight="1" x14ac:dyDescent="0.25">
      <c r="A35" s="11" t="s">
        <v>1716</v>
      </c>
      <c r="B35" s="99">
        <v>48089.65</v>
      </c>
      <c r="C35" s="95">
        <v>45084</v>
      </c>
      <c r="D35" s="92">
        <v>4300</v>
      </c>
      <c r="E35" s="70"/>
      <c r="L35" s="11" t="s">
        <v>1446</v>
      </c>
    </row>
    <row r="36" spans="1:12" s="11" customFormat="1" ht="15.95" customHeight="1" x14ac:dyDescent="0.25">
      <c r="A36" s="11" t="s">
        <v>1717</v>
      </c>
      <c r="B36" s="99">
        <v>48089.65</v>
      </c>
      <c r="C36" s="95">
        <v>45085</v>
      </c>
      <c r="D36" s="92">
        <v>4300</v>
      </c>
      <c r="E36" s="70"/>
      <c r="L36" s="11" t="s">
        <v>1447</v>
      </c>
    </row>
    <row r="37" spans="1:12" s="11" customFormat="1" ht="15.95" customHeight="1" x14ac:dyDescent="0.25">
      <c r="A37" s="11" t="s">
        <v>1753</v>
      </c>
      <c r="B37" s="99">
        <v>48255.15</v>
      </c>
      <c r="C37" s="95">
        <v>45013</v>
      </c>
      <c r="D37" s="14">
        <v>45114</v>
      </c>
      <c r="E37" s="70"/>
      <c r="L37" s="11" t="s">
        <v>1448</v>
      </c>
    </row>
    <row r="38" spans="1:12" s="11" customFormat="1" ht="15.95" customHeight="1" x14ac:dyDescent="0.25">
      <c r="A38" s="11" t="s">
        <v>1718</v>
      </c>
      <c r="B38" s="99">
        <v>48505.21</v>
      </c>
      <c r="C38" s="95">
        <v>45085</v>
      </c>
      <c r="D38" s="92">
        <v>4300</v>
      </c>
      <c r="E38" s="70"/>
      <c r="L38" s="11" t="s">
        <v>1449</v>
      </c>
    </row>
    <row r="39" spans="1:12" s="11" customFormat="1" ht="15.95" customHeight="1" x14ac:dyDescent="0.25">
      <c r="A39" s="11" t="s">
        <v>1720</v>
      </c>
      <c r="B39" s="99">
        <v>50174.9</v>
      </c>
      <c r="C39" s="95">
        <v>45104</v>
      </c>
      <c r="D39" s="92">
        <v>4300</v>
      </c>
      <c r="E39" s="70"/>
      <c r="L39" s="11" t="s">
        <v>1450</v>
      </c>
    </row>
    <row r="40" spans="1:12" s="11" customFormat="1" ht="15.95" customHeight="1" x14ac:dyDescent="0.25">
      <c r="A40" s="11" t="s">
        <v>1754</v>
      </c>
      <c r="B40" s="99">
        <v>50636.49</v>
      </c>
      <c r="C40" s="95">
        <v>45103</v>
      </c>
      <c r="D40" s="14">
        <v>45112</v>
      </c>
      <c r="E40" s="70"/>
      <c r="L40" s="11" t="s">
        <v>1451</v>
      </c>
    </row>
    <row r="41" spans="1:12" s="11" customFormat="1" ht="15.95" customHeight="1" x14ac:dyDescent="0.25">
      <c r="A41" s="11" t="s">
        <v>1755</v>
      </c>
      <c r="B41" s="99">
        <v>50636.49</v>
      </c>
      <c r="C41" s="95">
        <v>45103</v>
      </c>
      <c r="D41" s="14">
        <v>45112</v>
      </c>
      <c r="E41" s="70"/>
      <c r="L41" s="11" t="s">
        <v>1452</v>
      </c>
    </row>
    <row r="42" spans="1:12" s="11" customFormat="1" ht="15.95" customHeight="1" x14ac:dyDescent="0.25">
      <c r="A42" s="11" t="s">
        <v>1756</v>
      </c>
      <c r="B42" s="99">
        <v>50776.36</v>
      </c>
      <c r="C42" s="95">
        <v>45103</v>
      </c>
      <c r="D42" s="14">
        <v>45112</v>
      </c>
      <c r="E42" s="70"/>
      <c r="L42" s="11" t="s">
        <v>1453</v>
      </c>
    </row>
    <row r="43" spans="1:12" s="11" customFormat="1" ht="15.95" customHeight="1" x14ac:dyDescent="0.25">
      <c r="A43" s="11" t="s">
        <v>1723</v>
      </c>
      <c r="B43" s="99">
        <v>57563.75</v>
      </c>
      <c r="C43" s="95">
        <v>45105</v>
      </c>
      <c r="D43" s="92">
        <v>4300</v>
      </c>
      <c r="E43" s="70"/>
      <c r="L43" s="11" t="s">
        <v>1436</v>
      </c>
    </row>
    <row r="44" spans="1:12" s="11" customFormat="1" ht="15.95" customHeight="1" x14ac:dyDescent="0.25">
      <c r="A44" s="11" t="s">
        <v>1722</v>
      </c>
      <c r="B44" s="99">
        <v>57563.75</v>
      </c>
      <c r="C44" s="95">
        <v>45106</v>
      </c>
      <c r="D44" s="92">
        <v>4300</v>
      </c>
      <c r="E44" s="70"/>
      <c r="L44" s="11" t="s">
        <v>1454</v>
      </c>
    </row>
    <row r="45" spans="1:12" s="11" customFormat="1" ht="15.95" customHeight="1" x14ac:dyDescent="0.25">
      <c r="A45" s="11" t="s">
        <v>1762</v>
      </c>
      <c r="B45" s="99">
        <v>57563.75</v>
      </c>
      <c r="C45" s="95">
        <v>45106</v>
      </c>
      <c r="D45" s="14">
        <v>45118</v>
      </c>
      <c r="E45" s="70"/>
      <c r="L45" s="11" t="s">
        <v>1455</v>
      </c>
    </row>
    <row r="46" spans="1:12" s="11" customFormat="1" ht="15.95" customHeight="1" x14ac:dyDescent="0.25">
      <c r="A46" s="11" t="s">
        <v>1561</v>
      </c>
      <c r="B46" s="99">
        <v>58347</v>
      </c>
      <c r="C46" s="95">
        <v>45000</v>
      </c>
      <c r="D46" s="92">
        <v>4150</v>
      </c>
      <c r="E46" s="70"/>
      <c r="L46" s="11" t="s">
        <v>1456</v>
      </c>
    </row>
    <row r="47" spans="1:12" s="11" customFormat="1" ht="15.95" customHeight="1" x14ac:dyDescent="0.25">
      <c r="A47" s="11" t="s">
        <v>1724</v>
      </c>
      <c r="B47" s="99">
        <v>58955.64</v>
      </c>
      <c r="C47" s="95">
        <v>45099</v>
      </c>
      <c r="D47" s="92">
        <v>4150</v>
      </c>
      <c r="E47" s="70"/>
      <c r="L47" s="11" t="s">
        <v>1457</v>
      </c>
    </row>
    <row r="48" spans="1:12" s="11" customFormat="1" ht="15.95" customHeight="1" x14ac:dyDescent="0.25">
      <c r="A48" s="11" t="s">
        <v>1725</v>
      </c>
      <c r="B48" s="99">
        <v>58955.64</v>
      </c>
      <c r="C48" s="95">
        <v>45099</v>
      </c>
      <c r="D48" s="92">
        <v>4150</v>
      </c>
      <c r="E48" s="70"/>
      <c r="L48" s="11" t="s">
        <v>1458</v>
      </c>
    </row>
    <row r="49" spans="1:13" s="11" customFormat="1" ht="15.95" customHeight="1" x14ac:dyDescent="0.25">
      <c r="A49" s="11" t="s">
        <v>1726</v>
      </c>
      <c r="B49" s="99">
        <v>59021.79</v>
      </c>
      <c r="C49" s="95">
        <v>45084</v>
      </c>
      <c r="D49" s="92">
        <v>4300</v>
      </c>
      <c r="E49" s="70"/>
      <c r="L49" s="11" t="s">
        <v>1368</v>
      </c>
    </row>
    <row r="50" spans="1:13" s="11" customFormat="1" ht="15.95" customHeight="1" x14ac:dyDescent="0.25">
      <c r="A50" s="11" t="s">
        <v>1727</v>
      </c>
      <c r="B50" s="99">
        <v>60963.74</v>
      </c>
      <c r="C50" s="95">
        <v>45105</v>
      </c>
      <c r="D50" s="92">
        <v>4150</v>
      </c>
      <c r="E50" s="70"/>
      <c r="L50" s="11" t="s">
        <v>1459</v>
      </c>
    </row>
    <row r="51" spans="1:13" s="11" customFormat="1" ht="15.95" customHeight="1" x14ac:dyDescent="0.25">
      <c r="A51" s="11" t="s">
        <v>1728</v>
      </c>
      <c r="B51" s="99">
        <v>62366.78</v>
      </c>
      <c r="C51" s="95">
        <v>45099</v>
      </c>
      <c r="D51" s="92">
        <v>4150</v>
      </c>
      <c r="E51" s="70"/>
      <c r="L51" s="11" t="s">
        <v>1369</v>
      </c>
    </row>
    <row r="52" spans="1:13" s="11" customFormat="1" ht="15.95" customHeight="1" x14ac:dyDescent="0.25">
      <c r="A52" s="11" t="s">
        <v>1729</v>
      </c>
      <c r="B52" s="99">
        <v>62828.36</v>
      </c>
      <c r="C52" s="95">
        <v>45099</v>
      </c>
      <c r="D52" s="92">
        <v>4150</v>
      </c>
      <c r="E52" s="70"/>
      <c r="L52" s="11" t="s">
        <v>1460</v>
      </c>
    </row>
    <row r="53" spans="1:13" s="11" customFormat="1" ht="15.95" customHeight="1" x14ac:dyDescent="0.25">
      <c r="A53" s="11" t="s">
        <v>1730</v>
      </c>
      <c r="B53" s="99">
        <v>62828.36</v>
      </c>
      <c r="C53" s="95">
        <v>45099</v>
      </c>
      <c r="D53" s="92">
        <v>4150</v>
      </c>
      <c r="E53" s="70"/>
    </row>
    <row r="54" spans="1:13" s="11" customFormat="1" ht="15.95" customHeight="1" x14ac:dyDescent="0.25">
      <c r="A54" s="11" t="s">
        <v>1731</v>
      </c>
      <c r="B54" s="99">
        <v>62828.36</v>
      </c>
      <c r="C54" s="95">
        <v>45099</v>
      </c>
      <c r="D54" s="92">
        <v>4150</v>
      </c>
      <c r="E54" s="70"/>
      <c r="L54" s="234" t="s">
        <v>1457</v>
      </c>
      <c r="M54" s="235"/>
    </row>
    <row r="55" spans="1:13" s="11" customFormat="1" ht="15.95" customHeight="1" x14ac:dyDescent="0.25">
      <c r="A55" s="11" t="s">
        <v>1757</v>
      </c>
      <c r="B55" s="99">
        <v>62968.24</v>
      </c>
      <c r="C55" s="95">
        <v>45099</v>
      </c>
      <c r="D55" s="92">
        <v>4150</v>
      </c>
      <c r="E55" s="70"/>
      <c r="L55" s="236" t="s">
        <v>1368</v>
      </c>
      <c r="M55" s="237"/>
    </row>
    <row r="56" spans="1:13" s="11" customFormat="1" ht="15.95" customHeight="1" x14ac:dyDescent="0.25">
      <c r="A56" s="11" t="s">
        <v>1732</v>
      </c>
      <c r="B56" s="99">
        <v>62968.24</v>
      </c>
      <c r="C56" s="95">
        <v>45099</v>
      </c>
      <c r="D56" s="92">
        <v>4150</v>
      </c>
      <c r="E56" s="70"/>
      <c r="L56" s="238" t="s">
        <v>1459</v>
      </c>
      <c r="M56" s="239"/>
    </row>
    <row r="57" spans="1:13" s="11" customFormat="1" ht="15.95" customHeight="1" x14ac:dyDescent="0.25">
      <c r="A57" s="11" t="s">
        <v>1567</v>
      </c>
      <c r="B57" s="99">
        <v>63367.45</v>
      </c>
      <c r="C57" s="95">
        <v>45000</v>
      </c>
      <c r="D57" s="92">
        <v>4150</v>
      </c>
      <c r="E57" s="70"/>
    </row>
    <row r="58" spans="1:13" s="11" customFormat="1" ht="15.95" customHeight="1" x14ac:dyDescent="0.25">
      <c r="A58" s="11" t="s">
        <v>1570</v>
      </c>
      <c r="B58" s="99">
        <v>64571.8</v>
      </c>
      <c r="C58" s="95">
        <v>45000</v>
      </c>
      <c r="D58" s="92">
        <v>4150</v>
      </c>
      <c r="E58" s="70"/>
    </row>
    <row r="59" spans="1:13" s="11" customFormat="1" ht="15.95" customHeight="1" x14ac:dyDescent="0.25">
      <c r="A59" s="11" t="s">
        <v>1734</v>
      </c>
      <c r="B59" s="99">
        <v>72219.55</v>
      </c>
      <c r="C59" s="95">
        <v>45091</v>
      </c>
      <c r="D59" s="92">
        <v>4300</v>
      </c>
      <c r="E59" s="70"/>
    </row>
    <row r="60" spans="1:13" s="11" customFormat="1" ht="15.95" customHeight="1" x14ac:dyDescent="0.25">
      <c r="A60" s="11" t="s">
        <v>1735</v>
      </c>
      <c r="B60" s="99">
        <v>73125.440000000002</v>
      </c>
      <c r="C60" s="95">
        <v>45099</v>
      </c>
      <c r="D60" s="92">
        <v>4150</v>
      </c>
      <c r="E60" s="70"/>
    </row>
    <row r="61" spans="1:13" s="11" customFormat="1" ht="15.95" customHeight="1" x14ac:dyDescent="0.25">
      <c r="A61" s="11" t="s">
        <v>1736</v>
      </c>
      <c r="B61" s="99">
        <v>75172.28</v>
      </c>
      <c r="C61" s="95">
        <v>45099</v>
      </c>
      <c r="D61" s="92">
        <v>4150</v>
      </c>
      <c r="E61" s="70"/>
    </row>
    <row r="62" spans="1:13" s="11" customFormat="1" ht="15.95" customHeight="1" x14ac:dyDescent="0.25">
      <c r="A62" s="11" t="s">
        <v>1737</v>
      </c>
      <c r="B62" s="99">
        <v>76011.53</v>
      </c>
      <c r="C62" s="95">
        <v>45103</v>
      </c>
      <c r="D62" s="92">
        <v>4150</v>
      </c>
      <c r="E62" s="70"/>
    </row>
    <row r="63" spans="1:13" s="11" customFormat="1" ht="15.95" customHeight="1" x14ac:dyDescent="0.25">
      <c r="A63" s="11" t="s">
        <v>1738</v>
      </c>
      <c r="B63" s="99">
        <v>76011.53</v>
      </c>
      <c r="C63" s="95">
        <v>45103</v>
      </c>
      <c r="D63" s="92">
        <v>4150</v>
      </c>
      <c r="E63" s="70"/>
    </row>
    <row r="64" spans="1:13" s="11" customFormat="1" ht="15.95" customHeight="1" x14ac:dyDescent="0.25">
      <c r="A64" s="11" t="s">
        <v>1766</v>
      </c>
      <c r="B64" s="99">
        <v>77130.53</v>
      </c>
      <c r="C64" s="95">
        <v>45084</v>
      </c>
      <c r="D64" s="14">
        <v>45120</v>
      </c>
      <c r="E64" s="70"/>
    </row>
    <row r="65" spans="1:5" s="11" customFormat="1" ht="15.95" customHeight="1" x14ac:dyDescent="0.25">
      <c r="A65" s="11" t="s">
        <v>1739</v>
      </c>
      <c r="B65" s="99">
        <v>80783.89</v>
      </c>
      <c r="C65" s="95">
        <v>45099</v>
      </c>
      <c r="D65" s="92">
        <v>4200</v>
      </c>
      <c r="E65" s="70"/>
    </row>
    <row r="66" spans="1:5" s="11" customFormat="1" ht="15.95" customHeight="1" x14ac:dyDescent="0.25">
      <c r="A66" s="11" t="s">
        <v>1740</v>
      </c>
      <c r="B66" s="99">
        <v>80783.89</v>
      </c>
      <c r="C66" s="95">
        <v>45099</v>
      </c>
      <c r="D66" s="92">
        <v>4200</v>
      </c>
      <c r="E66" s="70"/>
    </row>
    <row r="67" spans="1:5" s="11" customFormat="1" ht="15.95" customHeight="1" x14ac:dyDescent="0.25">
      <c r="A67" s="11" t="s">
        <v>1741</v>
      </c>
      <c r="B67" s="99">
        <v>81245.48</v>
      </c>
      <c r="C67" s="95">
        <v>45099</v>
      </c>
      <c r="D67" s="92">
        <v>4300</v>
      </c>
      <c r="E67" s="70"/>
    </row>
    <row r="68" spans="1:5" s="11" customFormat="1" ht="15.95" customHeight="1" x14ac:dyDescent="0.25">
      <c r="A68" s="11" t="s">
        <v>1742</v>
      </c>
      <c r="B68" s="99">
        <v>81245.48</v>
      </c>
      <c r="C68" s="95">
        <v>45100</v>
      </c>
      <c r="D68" s="92">
        <v>4200</v>
      </c>
      <c r="E68" s="70"/>
    </row>
    <row r="69" spans="1:5" s="11" customFormat="1" ht="15.95" customHeight="1" x14ac:dyDescent="0.25">
      <c r="A69" s="11" t="s">
        <v>1743</v>
      </c>
      <c r="B69" s="99">
        <v>81385.350000000006</v>
      </c>
      <c r="C69" s="95">
        <v>45099</v>
      </c>
      <c r="D69" s="92">
        <v>4300</v>
      </c>
      <c r="E69" s="70"/>
    </row>
    <row r="70" spans="1:5" s="11" customFormat="1" ht="15.95" customHeight="1" x14ac:dyDescent="0.25">
      <c r="A70" s="11" t="s">
        <v>1744</v>
      </c>
      <c r="B70" s="99">
        <v>81753.69</v>
      </c>
      <c r="C70" s="95">
        <v>45107</v>
      </c>
      <c r="D70" s="92">
        <v>4300</v>
      </c>
      <c r="E70" s="70"/>
    </row>
    <row r="71" spans="1:5" s="11" customFormat="1" ht="15.95" customHeight="1" x14ac:dyDescent="0.25">
      <c r="A71" s="11" t="s">
        <v>1745</v>
      </c>
      <c r="B71" s="99">
        <v>81753.69</v>
      </c>
      <c r="C71" s="95">
        <v>45107</v>
      </c>
      <c r="D71" s="92">
        <v>4300</v>
      </c>
      <c r="E71" s="70"/>
    </row>
    <row r="72" spans="1:5" s="11" customFormat="1" ht="15.95" customHeight="1" x14ac:dyDescent="0.25">
      <c r="A72" s="11" t="s">
        <v>1746</v>
      </c>
      <c r="B72" s="99">
        <v>81893.56</v>
      </c>
      <c r="C72" s="95">
        <v>45107</v>
      </c>
      <c r="D72" s="92">
        <v>4300</v>
      </c>
      <c r="E72" s="70"/>
    </row>
    <row r="73" spans="1:5" s="11" customFormat="1" ht="15.95" customHeight="1" x14ac:dyDescent="0.25">
      <c r="A73" s="11" t="s">
        <v>1679</v>
      </c>
      <c r="B73" s="99">
        <v>82597.600000000006</v>
      </c>
      <c r="C73" s="95">
        <v>45064</v>
      </c>
      <c r="D73" s="14">
        <v>45117</v>
      </c>
      <c r="E73" s="70"/>
    </row>
    <row r="74" spans="1:5" s="11" customFormat="1" ht="15.95" customHeight="1" x14ac:dyDescent="0.25">
      <c r="A74" s="11" t="s">
        <v>1763</v>
      </c>
      <c r="B74" s="99">
        <v>82597.600000000006</v>
      </c>
      <c r="C74" s="95">
        <v>45064</v>
      </c>
      <c r="D74" s="14">
        <v>45117</v>
      </c>
      <c r="E74" s="70"/>
    </row>
    <row r="75" spans="1:5" s="11" customFormat="1" ht="15.95" customHeight="1" x14ac:dyDescent="0.25">
      <c r="A75" s="11" t="s">
        <v>1681</v>
      </c>
      <c r="B75" s="99">
        <v>82597.600000000006</v>
      </c>
      <c r="C75" s="95">
        <v>45064</v>
      </c>
      <c r="D75" s="14">
        <v>45110</v>
      </c>
      <c r="E75" s="70"/>
    </row>
    <row r="76" spans="1:5" s="11" customFormat="1" ht="15.95" customHeight="1" x14ac:dyDescent="0.25">
      <c r="A76" s="11" t="s">
        <v>1682</v>
      </c>
      <c r="B76" s="99">
        <v>82597.600000000006</v>
      </c>
      <c r="C76" s="95">
        <v>45065</v>
      </c>
      <c r="D76" s="14">
        <v>4200</v>
      </c>
      <c r="E76" s="70"/>
    </row>
    <row r="77" spans="1:5" s="11" customFormat="1" ht="15.95" customHeight="1" x14ac:dyDescent="0.25">
      <c r="A77" s="11" t="s">
        <v>1658</v>
      </c>
      <c r="B77" s="99">
        <v>84009.7</v>
      </c>
      <c r="C77" s="95">
        <v>45068</v>
      </c>
      <c r="D77" s="92">
        <v>4300</v>
      </c>
      <c r="E77" s="70"/>
    </row>
    <row r="78" spans="1:5" s="11" customFormat="1" ht="15.95" customHeight="1" x14ac:dyDescent="0.25">
      <c r="A78" s="11" t="s">
        <v>1747</v>
      </c>
      <c r="B78" s="99">
        <v>84040.81</v>
      </c>
      <c r="C78" s="95">
        <v>45099</v>
      </c>
      <c r="D78" s="92">
        <v>4300</v>
      </c>
      <c r="E78" s="70"/>
    </row>
    <row r="79" spans="1:5" s="11" customFormat="1" ht="15.95" customHeight="1" x14ac:dyDescent="0.25">
      <c r="A79" s="11" t="s">
        <v>1748</v>
      </c>
      <c r="B79" s="99">
        <v>84060.99</v>
      </c>
      <c r="C79" s="95">
        <v>45100</v>
      </c>
      <c r="D79" s="92">
        <v>4300</v>
      </c>
      <c r="E79" s="70"/>
    </row>
    <row r="80" spans="1:5" s="11" customFormat="1" ht="15.95" customHeight="1" x14ac:dyDescent="0.25">
      <c r="A80" s="11" t="s">
        <v>1684</v>
      </c>
      <c r="B80" s="99">
        <v>84569.2</v>
      </c>
      <c r="C80" s="95">
        <v>45068</v>
      </c>
      <c r="D80" s="14">
        <v>4200</v>
      </c>
      <c r="E80" s="70"/>
    </row>
    <row r="81" spans="1:8" s="11" customFormat="1" ht="15.95" customHeight="1" x14ac:dyDescent="0.25">
      <c r="A81" s="11" t="s">
        <v>1749</v>
      </c>
      <c r="B81" s="99">
        <v>86252.36</v>
      </c>
      <c r="C81" s="95">
        <v>45100</v>
      </c>
      <c r="D81" s="92">
        <v>4300</v>
      </c>
      <c r="E81" s="70"/>
    </row>
    <row r="82" spans="1:8" s="11" customFormat="1" ht="15.95" customHeight="1" x14ac:dyDescent="0.25">
      <c r="A82" s="11" t="s">
        <v>1750</v>
      </c>
      <c r="B82" s="99">
        <v>86252.36</v>
      </c>
      <c r="C82" s="95">
        <v>45100</v>
      </c>
      <c r="D82" s="92">
        <v>4300</v>
      </c>
      <c r="E82" s="70"/>
    </row>
    <row r="83" spans="1:8" s="11" customFormat="1" ht="15.95" customHeight="1" x14ac:dyDescent="0.25">
      <c r="A83" s="11" t="s">
        <v>1751</v>
      </c>
      <c r="B83" s="99">
        <v>86392.24</v>
      </c>
      <c r="C83" s="95">
        <v>45106</v>
      </c>
      <c r="D83" s="92">
        <v>4300</v>
      </c>
      <c r="E83" s="70"/>
    </row>
    <row r="84" spans="1:8" s="11" customFormat="1" ht="15.95" customHeight="1" x14ac:dyDescent="0.25">
      <c r="A84" s="11" t="s">
        <v>1752</v>
      </c>
      <c r="B84" s="99">
        <v>86392.24</v>
      </c>
      <c r="C84" s="95">
        <v>45104</v>
      </c>
      <c r="D84" s="92">
        <v>4300</v>
      </c>
      <c r="E84" s="70"/>
    </row>
    <row r="85" spans="1:8" s="11" customFormat="1" ht="15.95" customHeight="1" x14ac:dyDescent="0.25">
      <c r="A85" s="11" t="s">
        <v>1764</v>
      </c>
      <c r="B85" s="99">
        <v>90459.24</v>
      </c>
      <c r="C85" s="95">
        <v>45099</v>
      </c>
      <c r="D85" s="14">
        <v>45118</v>
      </c>
      <c r="E85" s="70"/>
    </row>
    <row r="86" spans="1:8" s="11" customFormat="1" ht="15.95" customHeight="1" x14ac:dyDescent="0.25">
      <c r="A86" s="11" t="s">
        <v>1765</v>
      </c>
      <c r="B86" s="99">
        <v>91018.74</v>
      </c>
      <c r="C86" s="95">
        <v>45070</v>
      </c>
      <c r="D86" s="14">
        <v>45118</v>
      </c>
      <c r="E86" s="70"/>
    </row>
    <row r="87" spans="1:8" s="11" customFormat="1" ht="15.95" customHeight="1" x14ac:dyDescent="0.25">
      <c r="A87" s="11" t="s">
        <v>1758</v>
      </c>
      <c r="B87" s="99">
        <v>106290</v>
      </c>
      <c r="C87" s="95">
        <v>45104</v>
      </c>
      <c r="D87" s="100" t="s">
        <v>1760</v>
      </c>
      <c r="E87" s="70"/>
    </row>
    <row r="88" spans="1:8" s="11" customFormat="1" ht="15.95" customHeight="1" x14ac:dyDescent="0.25">
      <c r="B88" s="99"/>
      <c r="C88" s="95"/>
      <c r="D88" s="100"/>
      <c r="E88" s="70"/>
    </row>
    <row r="89" spans="1:8" s="11" customFormat="1" ht="15.95" customHeight="1" x14ac:dyDescent="0.25">
      <c r="B89" s="25"/>
      <c r="E89" s="70"/>
    </row>
    <row r="90" spans="1:8" s="11" customFormat="1" ht="15.95" customHeight="1" x14ac:dyDescent="0.25">
      <c r="B90" s="105">
        <f>SUM(B28:B89)</f>
        <v>4061270.7900000024</v>
      </c>
      <c r="C90" s="242" t="s">
        <v>1457</v>
      </c>
      <c r="D90" s="243"/>
      <c r="E90" s="70"/>
      <c r="H90" s="88"/>
    </row>
    <row r="91" spans="1:8" s="11" customFormat="1" ht="15.95" customHeight="1" x14ac:dyDescent="0.25">
      <c r="A91" s="11" t="s">
        <v>1</v>
      </c>
      <c r="B91" s="17">
        <f>B90+B26</f>
        <v>3578867.5400000024</v>
      </c>
      <c r="C91" s="244" t="s">
        <v>1368</v>
      </c>
      <c r="D91" s="245"/>
      <c r="E91" s="70"/>
      <c r="H91" s="88"/>
    </row>
    <row r="92" spans="1:8" s="11" customFormat="1" ht="15.95" customHeight="1" x14ac:dyDescent="0.25">
      <c r="A92" s="11" t="s">
        <v>0</v>
      </c>
      <c r="B92" s="17">
        <f>B91-B7</f>
        <v>0</v>
      </c>
      <c r="C92" s="240" t="s">
        <v>1459</v>
      </c>
      <c r="D92" s="241"/>
      <c r="E92" s="70"/>
      <c r="H92" s="88"/>
    </row>
    <row r="93" spans="1:8" s="11" customFormat="1" ht="15.95" customHeight="1" x14ac:dyDescent="0.25">
      <c r="B93" s="17"/>
      <c r="E93" s="70"/>
      <c r="H93" s="88"/>
    </row>
    <row r="94" spans="1:8" s="11" customFormat="1" ht="20.100000000000001" customHeight="1" x14ac:dyDescent="0.25">
      <c r="A94" s="39"/>
      <c r="B94" s="93"/>
      <c r="C94" s="18"/>
      <c r="D94" s="18"/>
      <c r="E94" s="70"/>
      <c r="H94" s="88"/>
    </row>
    <row r="95" spans="1:8" s="11" customFormat="1" ht="20.100000000000001" customHeight="1" x14ac:dyDescent="0.25">
      <c r="A95" s="39"/>
      <c r="B95" s="93"/>
      <c r="C95" s="18"/>
      <c r="D95" s="18"/>
      <c r="E95" s="70"/>
      <c r="H95" s="88"/>
    </row>
    <row r="96" spans="1:8" s="11" customFormat="1" ht="20.100000000000001" customHeight="1" x14ac:dyDescent="0.3">
      <c r="A96" s="1"/>
      <c r="B96" s="10"/>
      <c r="C96" s="13"/>
      <c r="D96" s="47"/>
      <c r="E96" s="70"/>
      <c r="H96" s="88"/>
    </row>
    <row r="97" spans="1:9" s="11" customFormat="1" ht="20.100000000000001" customHeight="1" x14ac:dyDescent="0.3">
      <c r="A97" s="1"/>
      <c r="B97" s="10"/>
      <c r="C97" s="13"/>
      <c r="D97" s="47"/>
      <c r="E97" s="70"/>
      <c r="H97" s="88"/>
    </row>
    <row r="98" spans="1:9" s="11" customFormat="1" ht="20.100000000000001" customHeight="1" x14ac:dyDescent="0.3">
      <c r="A98" s="1"/>
      <c r="B98" s="10"/>
      <c r="C98" s="13"/>
      <c r="D98" s="47"/>
      <c r="E98" s="70"/>
      <c r="H98" s="88"/>
    </row>
    <row r="99" spans="1:9" s="13" customFormat="1" ht="20.100000000000001" customHeight="1" x14ac:dyDescent="0.3">
      <c r="A99" s="1"/>
      <c r="B99" s="10"/>
      <c r="D99" s="47"/>
      <c r="E99" s="70"/>
      <c r="F99" s="11"/>
      <c r="G99" s="11"/>
      <c r="H99" s="88"/>
      <c r="I99" s="11"/>
    </row>
    <row r="100" spans="1:9" s="13" customFormat="1" ht="20.100000000000001" customHeight="1" x14ac:dyDescent="0.3">
      <c r="A100" s="1"/>
      <c r="B100" s="10"/>
      <c r="D100" s="47"/>
      <c r="E100" s="70"/>
      <c r="F100" s="11"/>
      <c r="G100" s="11"/>
      <c r="H100" s="88"/>
      <c r="I100" s="11"/>
    </row>
    <row r="101" spans="1:9" s="13" customFormat="1" ht="20.100000000000001" customHeight="1" x14ac:dyDescent="0.3">
      <c r="A101" s="1"/>
      <c r="B101" s="10"/>
      <c r="D101" s="47"/>
      <c r="E101" s="70"/>
      <c r="F101" s="11"/>
      <c r="G101" s="11"/>
      <c r="H101" s="88"/>
      <c r="I101" s="11"/>
    </row>
    <row r="102" spans="1:9" ht="20.100000000000001" customHeight="1" x14ac:dyDescent="0.3"/>
    <row r="103" spans="1:9" ht="20.100000000000001" customHeight="1" x14ac:dyDescent="0.3"/>
    <row r="104" spans="1:9" ht="20.100000000000001" customHeight="1" x14ac:dyDescent="0.3"/>
    <row r="105" spans="1:9" ht="20.100000000000001" customHeight="1" x14ac:dyDescent="0.3"/>
  </sheetData>
  <mergeCells count="6">
    <mergeCell ref="C92:D92"/>
    <mergeCell ref="L54:M54"/>
    <mergeCell ref="L55:M55"/>
    <mergeCell ref="L56:M56"/>
    <mergeCell ref="C90:D90"/>
    <mergeCell ref="C91:D91"/>
  </mergeCells>
  <pageMargins left="0.7" right="0.7" top="0.75" bottom="0.75" header="0.3" footer="0.3"/>
  <pageSetup scale="80" fitToHeight="0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DFB42-584E-4293-9C6C-25888B01413D}">
  <sheetPr>
    <pageSetUpPr fitToPage="1"/>
  </sheetPr>
  <dimension ref="A1:S81"/>
  <sheetViews>
    <sheetView topLeftCell="A35" workbookViewId="0">
      <selection activeCell="B62" sqref="B62"/>
    </sheetView>
  </sheetViews>
  <sheetFormatPr defaultRowHeight="18.75" x14ac:dyDescent="0.3"/>
  <cols>
    <col min="1" max="1" width="20.7109375" style="1" customWidth="1"/>
    <col min="2" max="2" width="16.85546875" style="10" customWidth="1"/>
    <col min="3" max="3" width="28" style="6" bestFit="1" customWidth="1"/>
    <col min="4" max="4" width="19.7109375" style="116" customWidth="1"/>
    <col min="5" max="5" width="9.85546875" style="76" bestFit="1" customWidth="1"/>
    <col min="6" max="6" width="16.5703125" style="1" customWidth="1"/>
    <col min="7" max="7" width="35" style="1" bestFit="1" customWidth="1"/>
    <col min="8" max="8" width="5.5703125" style="90" bestFit="1" customWidth="1"/>
    <col min="9" max="11" width="9.140625" style="1"/>
    <col min="12" max="12" width="42.28515625" style="1" bestFit="1" customWidth="1"/>
    <col min="13" max="16384" width="9.140625" style="1"/>
  </cols>
  <sheetData>
    <row r="1" spans="1:19" s="11" customFormat="1" ht="20.100000000000001" customHeight="1" x14ac:dyDescent="0.25">
      <c r="A1" s="11" t="s">
        <v>1203</v>
      </c>
      <c r="B1" s="17"/>
      <c r="C1" s="13"/>
      <c r="D1" s="47"/>
      <c r="E1" s="70"/>
      <c r="H1" s="88"/>
    </row>
    <row r="2" spans="1:19" s="11" customFormat="1" ht="20.100000000000001" customHeight="1" x14ac:dyDescent="0.25">
      <c r="A2" s="14">
        <v>45138</v>
      </c>
      <c r="B2" s="17"/>
      <c r="C2" s="13"/>
      <c r="D2" s="47"/>
      <c r="E2" s="70"/>
      <c r="H2" s="88"/>
    </row>
    <row r="3" spans="1:19" s="11" customFormat="1" ht="20.100000000000001" customHeight="1" x14ac:dyDescent="0.25">
      <c r="A3" s="11" t="s">
        <v>311</v>
      </c>
      <c r="B3" s="17">
        <v>12622962.43</v>
      </c>
      <c r="C3" s="13"/>
      <c r="D3" s="47"/>
      <c r="E3" s="70"/>
      <c r="H3" s="88"/>
      <c r="M3" s="89"/>
    </row>
    <row r="4" spans="1:19" s="11" customFormat="1" ht="20.100000000000001" customHeight="1" x14ac:dyDescent="0.25">
      <c r="A4" s="11" t="s">
        <v>6</v>
      </c>
      <c r="B4" s="17"/>
      <c r="C4" s="13"/>
      <c r="D4" s="47"/>
      <c r="E4" s="70"/>
      <c r="H4" s="88"/>
      <c r="M4" s="89"/>
    </row>
    <row r="5" spans="1:19" s="11" customFormat="1" ht="20.100000000000001" customHeight="1" x14ac:dyDescent="0.25">
      <c r="A5" s="11">
        <v>2100</v>
      </c>
      <c r="B5" s="17">
        <v>-9946614.3599999994</v>
      </c>
      <c r="C5" s="13"/>
      <c r="D5" s="47"/>
      <c r="E5" s="70"/>
      <c r="H5" s="88"/>
      <c r="M5" s="89"/>
    </row>
    <row r="6" spans="1:19" s="11" customFormat="1" ht="20.100000000000001" customHeight="1" x14ac:dyDescent="0.25">
      <c r="A6" s="11" t="s">
        <v>5</v>
      </c>
      <c r="B6" s="17">
        <f>SUM(B5)</f>
        <v>-9946614.3599999994</v>
      </c>
      <c r="C6" s="13"/>
      <c r="D6" s="47"/>
      <c r="E6" s="70"/>
      <c r="H6" s="88"/>
      <c r="M6" s="89"/>
      <c r="O6" s="62"/>
      <c r="P6" s="62"/>
      <c r="Q6" s="62"/>
      <c r="R6" s="62"/>
      <c r="S6" s="62"/>
    </row>
    <row r="7" spans="1:19" s="11" customFormat="1" ht="20.100000000000001" customHeight="1" x14ac:dyDescent="0.25">
      <c r="A7" s="11" t="s">
        <v>4</v>
      </c>
      <c r="B7" s="17">
        <f>B6+B3</f>
        <v>2676348.0700000003</v>
      </c>
      <c r="C7" s="13"/>
      <c r="D7" s="47"/>
      <c r="E7" s="70"/>
      <c r="H7" s="88"/>
      <c r="M7" s="88"/>
    </row>
    <row r="8" spans="1:19" s="11" customFormat="1" ht="15.95" customHeight="1" x14ac:dyDescent="0.25">
      <c r="A8" s="11" t="s">
        <v>3</v>
      </c>
      <c r="B8" s="17"/>
      <c r="C8" s="44" t="s">
        <v>628</v>
      </c>
      <c r="D8" s="114" t="s">
        <v>626</v>
      </c>
      <c r="E8" s="70"/>
      <c r="H8" s="88"/>
      <c r="M8" s="88"/>
    </row>
    <row r="9" spans="1:19" s="11" customFormat="1" ht="15.75" x14ac:dyDescent="0.25">
      <c r="A9" s="77" t="s">
        <v>1768</v>
      </c>
      <c r="B9" s="98">
        <v>-27493</v>
      </c>
      <c r="C9" s="31">
        <v>45138</v>
      </c>
      <c r="D9" s="28">
        <v>45139</v>
      </c>
      <c r="E9" s="71"/>
      <c r="F9" s="55"/>
      <c r="G9" s="55"/>
      <c r="M9" s="88"/>
    </row>
    <row r="10" spans="1:19" s="11" customFormat="1" ht="15.75" x14ac:dyDescent="0.25">
      <c r="A10" s="77" t="s">
        <v>1769</v>
      </c>
      <c r="B10" s="98">
        <v>-28900</v>
      </c>
      <c r="C10" s="31">
        <v>45138</v>
      </c>
      <c r="D10" s="28">
        <v>45139</v>
      </c>
      <c r="E10" s="71"/>
      <c r="F10" s="55"/>
      <c r="G10" s="55"/>
      <c r="M10" s="88"/>
    </row>
    <row r="11" spans="1:19" s="11" customFormat="1" ht="15.75" x14ac:dyDescent="0.25">
      <c r="A11" s="77" t="s">
        <v>1770</v>
      </c>
      <c r="B11" s="98">
        <v>-30729</v>
      </c>
      <c r="C11" s="31">
        <v>45138</v>
      </c>
      <c r="D11" s="28">
        <v>45139</v>
      </c>
      <c r="E11" s="71"/>
      <c r="F11" s="55"/>
      <c r="G11" s="55"/>
      <c r="M11" s="88"/>
    </row>
    <row r="12" spans="1:19" s="11" customFormat="1" ht="15.75" x14ac:dyDescent="0.25">
      <c r="A12" s="77" t="s">
        <v>1771</v>
      </c>
      <c r="B12" s="98">
        <v>-34616</v>
      </c>
      <c r="C12" s="31">
        <v>45138</v>
      </c>
      <c r="D12" s="28">
        <v>45139</v>
      </c>
      <c r="E12" s="71"/>
      <c r="F12" s="55"/>
      <c r="G12" s="55"/>
      <c r="M12" s="88"/>
    </row>
    <row r="13" spans="1:19" s="11" customFormat="1" ht="15.75" x14ac:dyDescent="0.25">
      <c r="A13" s="77" t="s">
        <v>1772</v>
      </c>
      <c r="B13" s="98">
        <v>-34624</v>
      </c>
      <c r="C13" s="31">
        <v>45138</v>
      </c>
      <c r="D13" s="28">
        <v>45139</v>
      </c>
      <c r="E13" s="71"/>
      <c r="F13" s="55"/>
      <c r="G13" s="55"/>
      <c r="M13" s="88"/>
    </row>
    <row r="14" spans="1:19" s="11" customFormat="1" ht="15.75" x14ac:dyDescent="0.25">
      <c r="A14" s="77" t="s">
        <v>1773</v>
      </c>
      <c r="B14" s="98">
        <v>-36369</v>
      </c>
      <c r="C14" s="31">
        <v>45138</v>
      </c>
      <c r="D14" s="28">
        <v>45139</v>
      </c>
      <c r="E14" s="71"/>
      <c r="F14" s="55"/>
      <c r="G14" s="55"/>
      <c r="M14" s="88"/>
    </row>
    <row r="15" spans="1:19" s="11" customFormat="1" ht="15.75" x14ac:dyDescent="0.25">
      <c r="A15" s="77" t="s">
        <v>1775</v>
      </c>
      <c r="B15" s="98">
        <v>-36369</v>
      </c>
      <c r="C15" s="31">
        <v>45138</v>
      </c>
      <c r="D15" s="28">
        <v>45139</v>
      </c>
      <c r="E15" s="71"/>
      <c r="F15" s="55"/>
      <c r="G15" s="55"/>
      <c r="M15" s="88"/>
    </row>
    <row r="16" spans="1:19" s="11" customFormat="1" ht="15" customHeight="1" x14ac:dyDescent="0.25">
      <c r="A16" s="77" t="s">
        <v>1774</v>
      </c>
      <c r="B16" s="98">
        <v>-36369</v>
      </c>
      <c r="C16" s="31">
        <v>45138</v>
      </c>
      <c r="D16" s="28">
        <v>45139</v>
      </c>
      <c r="E16" s="71"/>
      <c r="F16" s="55"/>
      <c r="G16" s="55"/>
      <c r="M16" s="88"/>
    </row>
    <row r="17" spans="1:13" s="11" customFormat="1" ht="15" customHeight="1" x14ac:dyDescent="0.25">
      <c r="A17" s="77" t="s">
        <v>1776</v>
      </c>
      <c r="B17" s="98">
        <v>-36369</v>
      </c>
      <c r="C17" s="31">
        <v>45138</v>
      </c>
      <c r="D17" s="28">
        <v>45139</v>
      </c>
      <c r="E17" s="71"/>
      <c r="F17" s="55"/>
      <c r="G17" s="55"/>
      <c r="M17" s="88"/>
    </row>
    <row r="18" spans="1:13" s="11" customFormat="1" ht="15" customHeight="1" x14ac:dyDescent="0.25">
      <c r="A18" s="77" t="s">
        <v>1780</v>
      </c>
      <c r="B18" s="98">
        <v>-74612.78</v>
      </c>
      <c r="C18" s="31">
        <v>45134</v>
      </c>
      <c r="D18" s="28">
        <v>45142</v>
      </c>
      <c r="E18" s="71"/>
      <c r="F18" s="55"/>
      <c r="G18" s="55"/>
      <c r="M18" s="88"/>
    </row>
    <row r="19" spans="1:13" s="11" customFormat="1" ht="15" customHeight="1" x14ac:dyDescent="0.25">
      <c r="A19" s="77"/>
      <c r="B19" s="66"/>
      <c r="C19" s="33"/>
      <c r="D19" s="28"/>
      <c r="E19" s="94"/>
      <c r="F19" s="55"/>
      <c r="G19" s="55"/>
    </row>
    <row r="20" spans="1:13" s="11" customFormat="1" ht="15.95" customHeight="1" x14ac:dyDescent="0.25">
      <c r="B20" s="25">
        <f>SUM(B9:B19)</f>
        <v>-376450.78</v>
      </c>
      <c r="C20" s="28"/>
      <c r="D20" s="28"/>
      <c r="E20" s="75"/>
      <c r="F20" s="19"/>
      <c r="G20" s="19"/>
      <c r="L20" s="11" t="s">
        <v>1437</v>
      </c>
      <c r="M20" s="88"/>
    </row>
    <row r="21" spans="1:13" s="11" customFormat="1" ht="15.95" customHeight="1" x14ac:dyDescent="0.25">
      <c r="A21" s="11" t="s">
        <v>2</v>
      </c>
      <c r="B21" s="25"/>
      <c r="C21" s="30" t="s">
        <v>626</v>
      </c>
      <c r="D21" s="114" t="s">
        <v>628</v>
      </c>
      <c r="E21" s="70"/>
      <c r="L21" s="11" t="s">
        <v>1438</v>
      </c>
    </row>
    <row r="22" spans="1:13" s="11" customFormat="1" ht="15.95" customHeight="1" x14ac:dyDescent="0.25">
      <c r="A22" s="11" t="s">
        <v>1782</v>
      </c>
      <c r="B22" s="99">
        <v>40605.79</v>
      </c>
      <c r="C22" s="97">
        <v>45107</v>
      </c>
      <c r="D22" s="14">
        <v>45145</v>
      </c>
      <c r="E22" s="70"/>
      <c r="L22" s="11" t="s">
        <v>1439</v>
      </c>
    </row>
    <row r="23" spans="1:13" s="11" customFormat="1" ht="15.95" customHeight="1" x14ac:dyDescent="0.25">
      <c r="A23" s="11" t="s">
        <v>1777</v>
      </c>
      <c r="B23" s="99">
        <v>40913.449999999997</v>
      </c>
      <c r="C23" s="95">
        <v>45126</v>
      </c>
      <c r="D23" s="111">
        <v>4150</v>
      </c>
      <c r="E23" s="70"/>
      <c r="L23" s="11" t="s">
        <v>1440</v>
      </c>
    </row>
    <row r="24" spans="1:13" s="11" customFormat="1" ht="15.95" customHeight="1" x14ac:dyDescent="0.25">
      <c r="A24" s="11" t="s">
        <v>1778</v>
      </c>
      <c r="B24" s="99">
        <v>41472.949999999997</v>
      </c>
      <c r="C24" s="95">
        <v>45137</v>
      </c>
      <c r="D24" s="111">
        <v>4150</v>
      </c>
      <c r="E24" s="70"/>
      <c r="L24" s="11" t="s">
        <v>1441</v>
      </c>
    </row>
    <row r="25" spans="1:13" s="11" customFormat="1" ht="15.95" customHeight="1" x14ac:dyDescent="0.25">
      <c r="A25" s="11" t="s">
        <v>1779</v>
      </c>
      <c r="B25" s="99">
        <v>47444.53</v>
      </c>
      <c r="C25" s="95">
        <v>45128</v>
      </c>
      <c r="D25" s="92">
        <v>4300</v>
      </c>
      <c r="E25" s="70"/>
      <c r="L25" s="11" t="s">
        <v>1442</v>
      </c>
    </row>
    <row r="26" spans="1:13" s="11" customFormat="1" ht="15.95" customHeight="1" x14ac:dyDescent="0.25">
      <c r="A26" s="11" t="s">
        <v>1723</v>
      </c>
      <c r="B26" s="99">
        <v>57563.75</v>
      </c>
      <c r="C26" s="95">
        <v>45105</v>
      </c>
      <c r="D26" s="92">
        <v>4800</v>
      </c>
      <c r="E26" s="70"/>
      <c r="L26" s="11" t="s">
        <v>1443</v>
      </c>
    </row>
    <row r="27" spans="1:13" s="11" customFormat="1" ht="15.95" customHeight="1" x14ac:dyDescent="0.25">
      <c r="A27" s="11" t="s">
        <v>1783</v>
      </c>
      <c r="B27" s="99">
        <v>57563.75</v>
      </c>
      <c r="C27" s="95">
        <v>45106</v>
      </c>
      <c r="D27" s="92">
        <v>4800</v>
      </c>
      <c r="E27" s="70"/>
      <c r="L27" s="11" t="s">
        <v>1444</v>
      </c>
    </row>
    <row r="28" spans="1:13" s="11" customFormat="1" ht="15.95" customHeight="1" x14ac:dyDescent="0.25">
      <c r="A28" s="11" t="s">
        <v>1784</v>
      </c>
      <c r="B28" s="99">
        <v>57563.75</v>
      </c>
      <c r="C28" s="95">
        <v>45135</v>
      </c>
      <c r="D28" s="14">
        <v>45139</v>
      </c>
      <c r="E28" s="70"/>
      <c r="L28" s="11" t="s">
        <v>1445</v>
      </c>
    </row>
    <row r="29" spans="1:13" s="11" customFormat="1" ht="15.95" customHeight="1" x14ac:dyDescent="0.25">
      <c r="A29" s="11" t="s">
        <v>1785</v>
      </c>
      <c r="B29" s="99">
        <v>57563.75</v>
      </c>
      <c r="C29" s="95">
        <v>45138</v>
      </c>
      <c r="D29" s="14">
        <v>45139</v>
      </c>
      <c r="E29" s="70"/>
      <c r="L29" s="11" t="s">
        <v>1446</v>
      </c>
    </row>
    <row r="30" spans="1:13" s="11" customFormat="1" ht="15.95" customHeight="1" x14ac:dyDescent="0.25">
      <c r="A30" s="11" t="s">
        <v>1561</v>
      </c>
      <c r="B30" s="99">
        <v>58347</v>
      </c>
      <c r="C30" s="95">
        <v>45000</v>
      </c>
      <c r="D30" s="92">
        <v>4800</v>
      </c>
      <c r="E30" s="70"/>
      <c r="L30" s="11" t="s">
        <v>1447</v>
      </c>
    </row>
    <row r="31" spans="1:13" s="11" customFormat="1" ht="15.95" customHeight="1" x14ac:dyDescent="0.25">
      <c r="A31" s="11" t="s">
        <v>1724</v>
      </c>
      <c r="B31" s="99">
        <v>58955.64</v>
      </c>
      <c r="C31" s="95">
        <v>45099</v>
      </c>
      <c r="D31" s="92">
        <v>4800</v>
      </c>
      <c r="E31" s="70"/>
      <c r="L31" s="11" t="s">
        <v>1448</v>
      </c>
    </row>
    <row r="32" spans="1:13" s="11" customFormat="1" ht="15.95" customHeight="1" x14ac:dyDescent="0.25">
      <c r="A32" s="11" t="s">
        <v>1725</v>
      </c>
      <c r="B32" s="99">
        <v>58955.64</v>
      </c>
      <c r="C32" s="95">
        <v>45099</v>
      </c>
      <c r="D32" s="92">
        <v>4800</v>
      </c>
      <c r="E32" s="70"/>
      <c r="L32" s="11" t="s">
        <v>1449</v>
      </c>
    </row>
    <row r="33" spans="1:13" s="11" customFormat="1" ht="15.95" customHeight="1" x14ac:dyDescent="0.25">
      <c r="A33" s="11" t="s">
        <v>1727</v>
      </c>
      <c r="B33" s="99">
        <v>60963.74</v>
      </c>
      <c r="C33" s="95">
        <v>45105</v>
      </c>
      <c r="D33" s="92">
        <v>4800</v>
      </c>
      <c r="E33" s="70"/>
      <c r="L33" s="11" t="s">
        <v>1450</v>
      </c>
    </row>
    <row r="34" spans="1:13" s="11" customFormat="1" ht="15.95" customHeight="1" x14ac:dyDescent="0.25">
      <c r="A34" s="11" t="s">
        <v>1728</v>
      </c>
      <c r="B34" s="99">
        <v>62366.78</v>
      </c>
      <c r="C34" s="95">
        <v>45099</v>
      </c>
      <c r="D34" s="92">
        <v>4800</v>
      </c>
      <c r="E34" s="70"/>
      <c r="L34" s="11" t="s">
        <v>1451</v>
      </c>
    </row>
    <row r="35" spans="1:13" s="11" customFormat="1" ht="15.95" customHeight="1" x14ac:dyDescent="0.25">
      <c r="A35" s="11" t="s">
        <v>1729</v>
      </c>
      <c r="B35" s="99">
        <v>62828.36</v>
      </c>
      <c r="C35" s="95">
        <v>45099</v>
      </c>
      <c r="D35" s="92">
        <v>4800</v>
      </c>
      <c r="E35" s="70"/>
      <c r="L35" s="11" t="s">
        <v>1452</v>
      </c>
    </row>
    <row r="36" spans="1:13" s="11" customFormat="1" ht="15.95" customHeight="1" x14ac:dyDescent="0.25">
      <c r="A36" s="11" t="s">
        <v>1730</v>
      </c>
      <c r="B36" s="99">
        <v>62828.36</v>
      </c>
      <c r="C36" s="95">
        <v>45099</v>
      </c>
      <c r="D36" s="92">
        <v>4800</v>
      </c>
      <c r="E36" s="70"/>
      <c r="L36" s="11" t="s">
        <v>1453</v>
      </c>
    </row>
    <row r="37" spans="1:13" s="11" customFormat="1" ht="15.95" customHeight="1" x14ac:dyDescent="0.25">
      <c r="A37" s="11" t="s">
        <v>1731</v>
      </c>
      <c r="B37" s="99">
        <v>62828.36</v>
      </c>
      <c r="C37" s="95">
        <v>45099</v>
      </c>
      <c r="D37" s="92">
        <v>4800</v>
      </c>
      <c r="E37" s="70"/>
      <c r="L37" s="11" t="s">
        <v>1436</v>
      </c>
    </row>
    <row r="38" spans="1:13" s="11" customFormat="1" ht="15.95" customHeight="1" x14ac:dyDescent="0.25">
      <c r="A38" s="11" t="s">
        <v>1757</v>
      </c>
      <c r="B38" s="99">
        <v>62968.24</v>
      </c>
      <c r="C38" s="95">
        <v>45099</v>
      </c>
      <c r="D38" s="92">
        <v>4800</v>
      </c>
      <c r="E38" s="70"/>
      <c r="L38" s="11" t="s">
        <v>1454</v>
      </c>
    </row>
    <row r="39" spans="1:13" s="11" customFormat="1" ht="15.95" customHeight="1" x14ac:dyDescent="0.25">
      <c r="A39" s="11" t="s">
        <v>1732</v>
      </c>
      <c r="B39" s="99">
        <v>62968.24</v>
      </c>
      <c r="C39" s="95">
        <v>45099</v>
      </c>
      <c r="D39" s="92">
        <v>4800</v>
      </c>
      <c r="E39" s="70"/>
      <c r="L39" s="11" t="s">
        <v>1455</v>
      </c>
    </row>
    <row r="40" spans="1:13" s="11" customFormat="1" ht="15.95" customHeight="1" x14ac:dyDescent="0.25">
      <c r="A40" s="11" t="s">
        <v>1567</v>
      </c>
      <c r="B40" s="99">
        <v>63367.45</v>
      </c>
      <c r="C40" s="95">
        <v>45000</v>
      </c>
      <c r="D40" s="92">
        <v>4800</v>
      </c>
      <c r="E40" s="70"/>
      <c r="L40" s="11" t="s">
        <v>1456</v>
      </c>
    </row>
    <row r="41" spans="1:13" s="11" customFormat="1" ht="15.95" customHeight="1" x14ac:dyDescent="0.25">
      <c r="A41" s="11" t="s">
        <v>1570</v>
      </c>
      <c r="B41" s="99">
        <v>64571.8</v>
      </c>
      <c r="C41" s="95">
        <v>45000</v>
      </c>
      <c r="D41" s="92">
        <v>4800</v>
      </c>
      <c r="E41" s="70"/>
      <c r="L41" s="11" t="s">
        <v>1457</v>
      </c>
    </row>
    <row r="42" spans="1:13" s="11" customFormat="1" ht="15.95" customHeight="1" x14ac:dyDescent="0.25">
      <c r="A42" s="11" t="s">
        <v>1734</v>
      </c>
      <c r="B42" s="99">
        <v>72219.55</v>
      </c>
      <c r="C42" s="95">
        <v>45091</v>
      </c>
      <c r="D42" s="92">
        <v>4300</v>
      </c>
      <c r="E42" s="70"/>
      <c r="L42" s="11" t="s">
        <v>1458</v>
      </c>
    </row>
    <row r="43" spans="1:13" s="11" customFormat="1" ht="15.95" customHeight="1" x14ac:dyDescent="0.25">
      <c r="A43" s="11" t="s">
        <v>1735</v>
      </c>
      <c r="B43" s="99">
        <v>73125.440000000002</v>
      </c>
      <c r="C43" s="95">
        <v>45099</v>
      </c>
      <c r="D43" s="92">
        <v>4800</v>
      </c>
      <c r="E43" s="70"/>
      <c r="L43" s="11" t="s">
        <v>1368</v>
      </c>
    </row>
    <row r="44" spans="1:13" s="11" customFormat="1" ht="15.95" customHeight="1" x14ac:dyDescent="0.25">
      <c r="A44" s="11" t="s">
        <v>1736</v>
      </c>
      <c r="B44" s="99">
        <v>75172.28</v>
      </c>
      <c r="C44" s="95">
        <v>45099</v>
      </c>
      <c r="D44" s="92">
        <v>4800</v>
      </c>
      <c r="E44" s="70"/>
      <c r="L44" s="11" t="s">
        <v>1459</v>
      </c>
    </row>
    <row r="45" spans="1:13" s="11" customFormat="1" ht="15.95" customHeight="1" x14ac:dyDescent="0.25">
      <c r="A45" s="11" t="s">
        <v>1737</v>
      </c>
      <c r="B45" s="99">
        <v>76011.53</v>
      </c>
      <c r="C45" s="95">
        <v>45103</v>
      </c>
      <c r="D45" s="92">
        <v>4800</v>
      </c>
      <c r="E45" s="70"/>
      <c r="L45" s="11" t="s">
        <v>1369</v>
      </c>
    </row>
    <row r="46" spans="1:13" s="11" customFormat="1" ht="15.95" customHeight="1" x14ac:dyDescent="0.25">
      <c r="A46" s="11" t="s">
        <v>1738</v>
      </c>
      <c r="B46" s="99">
        <v>76011.53</v>
      </c>
      <c r="C46" s="95">
        <v>45103</v>
      </c>
      <c r="D46" s="92">
        <v>4800</v>
      </c>
      <c r="E46" s="70"/>
      <c r="L46" s="11" t="s">
        <v>1460</v>
      </c>
    </row>
    <row r="47" spans="1:13" s="11" customFormat="1" ht="15.95" customHeight="1" x14ac:dyDescent="0.25">
      <c r="A47" s="11" t="s">
        <v>1740</v>
      </c>
      <c r="B47" s="99">
        <v>80783.89</v>
      </c>
      <c r="C47" s="95">
        <v>45099</v>
      </c>
      <c r="D47" s="92">
        <v>4800</v>
      </c>
      <c r="E47" s="70"/>
    </row>
    <row r="48" spans="1:13" s="11" customFormat="1" ht="15.95" customHeight="1" x14ac:dyDescent="0.25">
      <c r="A48" s="11" t="s">
        <v>1786</v>
      </c>
      <c r="B48" s="99">
        <v>81245.48</v>
      </c>
      <c r="C48" s="95">
        <v>45100</v>
      </c>
      <c r="D48" s="14">
        <v>45141</v>
      </c>
      <c r="E48" s="70"/>
      <c r="L48" s="234" t="s">
        <v>1457</v>
      </c>
      <c r="M48" s="235"/>
    </row>
    <row r="49" spans="1:13" s="11" customFormat="1" ht="15.95" customHeight="1" x14ac:dyDescent="0.25">
      <c r="A49" s="11" t="s">
        <v>1787</v>
      </c>
      <c r="B49" s="99">
        <v>81385.350000000006</v>
      </c>
      <c r="C49" s="95">
        <v>45099</v>
      </c>
      <c r="D49" s="14">
        <v>45141</v>
      </c>
      <c r="E49" s="70"/>
      <c r="L49" s="236" t="s">
        <v>1368</v>
      </c>
      <c r="M49" s="237"/>
    </row>
    <row r="50" spans="1:13" s="11" customFormat="1" ht="15.95" customHeight="1" x14ac:dyDescent="0.25">
      <c r="A50" s="11" t="s">
        <v>1744</v>
      </c>
      <c r="B50" s="99">
        <v>81753.69</v>
      </c>
      <c r="C50" s="95">
        <v>45107</v>
      </c>
      <c r="D50" s="92">
        <v>4200</v>
      </c>
      <c r="E50" s="70"/>
      <c r="L50" s="236" t="s">
        <v>1459</v>
      </c>
      <c r="M50" s="237"/>
    </row>
    <row r="51" spans="1:13" s="11" customFormat="1" ht="15.95" customHeight="1" x14ac:dyDescent="0.25">
      <c r="A51" s="11" t="s">
        <v>1788</v>
      </c>
      <c r="B51" s="99">
        <v>81753.69</v>
      </c>
      <c r="C51" s="95">
        <v>45107</v>
      </c>
      <c r="D51" s="14">
        <v>45139</v>
      </c>
      <c r="E51" s="70"/>
      <c r="L51" s="238" t="s">
        <v>1369</v>
      </c>
      <c r="M51" s="239"/>
    </row>
    <row r="52" spans="1:13" s="11" customFormat="1" ht="15.95" customHeight="1" x14ac:dyDescent="0.25">
      <c r="A52" s="11" t="s">
        <v>1746</v>
      </c>
      <c r="B52" s="99">
        <v>81893.56</v>
      </c>
      <c r="C52" s="95">
        <v>45107</v>
      </c>
      <c r="D52" s="92">
        <v>4800</v>
      </c>
      <c r="E52" s="70"/>
      <c r="L52" s="244"/>
      <c r="M52" s="245"/>
    </row>
    <row r="53" spans="1:13" s="11" customFormat="1" ht="15.95" customHeight="1" x14ac:dyDescent="0.25">
      <c r="A53" s="11" t="s">
        <v>1682</v>
      </c>
      <c r="B53" s="99">
        <v>82597.600000000006</v>
      </c>
      <c r="C53" s="95">
        <v>45065</v>
      </c>
      <c r="D53" s="14">
        <v>45139</v>
      </c>
      <c r="E53" s="70"/>
      <c r="L53" s="240"/>
      <c r="M53" s="241"/>
    </row>
    <row r="54" spans="1:13" s="11" customFormat="1" ht="15.95" customHeight="1" x14ac:dyDescent="0.25">
      <c r="A54" s="11" t="s">
        <v>1781</v>
      </c>
      <c r="B54" s="99">
        <v>83481.31</v>
      </c>
      <c r="C54" s="95">
        <v>45110</v>
      </c>
      <c r="D54" s="92">
        <v>4300</v>
      </c>
      <c r="E54" s="70"/>
    </row>
    <row r="55" spans="1:13" s="11" customFormat="1" ht="15.95" customHeight="1" x14ac:dyDescent="0.25">
      <c r="A55" s="11" t="s">
        <v>1789</v>
      </c>
      <c r="B55" s="99">
        <v>84009.7</v>
      </c>
      <c r="C55" s="95">
        <v>45068</v>
      </c>
      <c r="D55" s="14">
        <v>45139</v>
      </c>
      <c r="E55" s="70"/>
    </row>
    <row r="56" spans="1:13" s="11" customFormat="1" ht="15.95" customHeight="1" x14ac:dyDescent="0.25">
      <c r="A56" s="11" t="s">
        <v>1747</v>
      </c>
      <c r="B56" s="99">
        <v>84040.81</v>
      </c>
      <c r="C56" s="95">
        <v>45099</v>
      </c>
      <c r="D56" s="92">
        <v>4300</v>
      </c>
      <c r="E56" s="70"/>
    </row>
    <row r="57" spans="1:13" s="11" customFormat="1" ht="15.95" customHeight="1" x14ac:dyDescent="0.25">
      <c r="A57" s="11" t="s">
        <v>1749</v>
      </c>
      <c r="B57" s="99">
        <v>86252.36</v>
      </c>
      <c r="C57" s="95">
        <v>45100</v>
      </c>
      <c r="D57" s="92">
        <v>4300</v>
      </c>
      <c r="E57" s="70"/>
    </row>
    <row r="58" spans="1:13" s="11" customFormat="1" ht="15.95" customHeight="1" x14ac:dyDescent="0.25">
      <c r="A58" s="11" t="s">
        <v>1750</v>
      </c>
      <c r="B58" s="99">
        <v>86252.36</v>
      </c>
      <c r="C58" s="95">
        <v>45100</v>
      </c>
      <c r="D58" s="92">
        <v>4300</v>
      </c>
      <c r="E58" s="70"/>
    </row>
    <row r="59" spans="1:13" s="11" customFormat="1" ht="15.95" customHeight="1" x14ac:dyDescent="0.25">
      <c r="A59" s="11" t="s">
        <v>1751</v>
      </c>
      <c r="B59" s="99">
        <v>86392.24</v>
      </c>
      <c r="C59" s="95">
        <v>45106</v>
      </c>
      <c r="D59" s="92">
        <v>4300</v>
      </c>
      <c r="E59" s="70"/>
    </row>
    <row r="60" spans="1:13" s="11" customFormat="1" ht="15.95" customHeight="1" x14ac:dyDescent="0.25">
      <c r="A60" s="11" t="s">
        <v>1752</v>
      </c>
      <c r="B60" s="99">
        <v>86392.24</v>
      </c>
      <c r="C60" s="95">
        <v>45104</v>
      </c>
      <c r="D60" s="92">
        <v>4200</v>
      </c>
      <c r="E60" s="70"/>
    </row>
    <row r="61" spans="1:13" s="11" customFormat="1" ht="15.95" customHeight="1" x14ac:dyDescent="0.25">
      <c r="A61" s="11" t="s">
        <v>1790</v>
      </c>
      <c r="B61" s="99">
        <v>86760.58</v>
      </c>
      <c r="C61" s="95">
        <v>45112</v>
      </c>
      <c r="D61" s="14">
        <v>45139</v>
      </c>
      <c r="E61" s="70"/>
    </row>
    <row r="62" spans="1:13" s="11" customFormat="1" ht="15.95" customHeight="1" x14ac:dyDescent="0.25">
      <c r="A62" s="11" t="s">
        <v>1791</v>
      </c>
      <c r="B62" s="99">
        <v>88079.4</v>
      </c>
      <c r="C62" s="95">
        <v>45138</v>
      </c>
      <c r="D62" s="14">
        <v>45142</v>
      </c>
      <c r="E62" s="70"/>
    </row>
    <row r="63" spans="1:13" s="11" customFormat="1" ht="15.95" customHeight="1" x14ac:dyDescent="0.25">
      <c r="A63" s="11" t="s">
        <v>1792</v>
      </c>
      <c r="B63" s="99">
        <v>88252.93</v>
      </c>
      <c r="C63" s="95">
        <v>45128</v>
      </c>
      <c r="D63" s="14">
        <v>45139</v>
      </c>
      <c r="E63" s="70"/>
    </row>
    <row r="64" spans="1:13" s="11" customFormat="1" ht="15.95" customHeight="1" x14ac:dyDescent="0.25">
      <c r="A64" s="11" t="s">
        <v>1758</v>
      </c>
      <c r="B64" s="99">
        <v>106290</v>
      </c>
      <c r="C64" s="95">
        <v>45104</v>
      </c>
      <c r="D64" s="14">
        <v>45140</v>
      </c>
      <c r="E64" s="70"/>
    </row>
    <row r="65" spans="1:9" s="11" customFormat="1" ht="15.95" customHeight="1" x14ac:dyDescent="0.25">
      <c r="B65" s="25"/>
      <c r="E65" s="70"/>
    </row>
    <row r="66" spans="1:9" s="11" customFormat="1" ht="15.95" customHeight="1" x14ac:dyDescent="0.25">
      <c r="B66" s="105">
        <f>SUM(B22:B65)</f>
        <v>3052798.8500000006</v>
      </c>
      <c r="C66" s="234" t="s">
        <v>1457</v>
      </c>
      <c r="D66" s="235"/>
      <c r="E66" s="70"/>
      <c r="H66" s="88"/>
    </row>
    <row r="67" spans="1:9" s="11" customFormat="1" ht="15.95" customHeight="1" x14ac:dyDescent="0.25">
      <c r="A67" s="11" t="s">
        <v>1</v>
      </c>
      <c r="B67" s="17">
        <f>B66+B20</f>
        <v>2676348.0700000003</v>
      </c>
      <c r="C67" s="236" t="s">
        <v>1368</v>
      </c>
      <c r="D67" s="237"/>
      <c r="E67" s="70"/>
      <c r="H67" s="88"/>
    </row>
    <row r="68" spans="1:9" s="11" customFormat="1" ht="15.95" customHeight="1" x14ac:dyDescent="0.25">
      <c r="A68" s="11" t="s">
        <v>0</v>
      </c>
      <c r="B68" s="17">
        <f>B67-B7</f>
        <v>0</v>
      </c>
      <c r="C68" s="236" t="s">
        <v>1459</v>
      </c>
      <c r="D68" s="237"/>
      <c r="E68" s="70"/>
      <c r="H68" s="88"/>
    </row>
    <row r="69" spans="1:9" s="11" customFormat="1" ht="15.95" customHeight="1" x14ac:dyDescent="0.25">
      <c r="B69" s="17"/>
      <c r="C69" s="238" t="s">
        <v>1369</v>
      </c>
      <c r="D69" s="239"/>
      <c r="E69" s="70"/>
      <c r="H69" s="88"/>
    </row>
    <row r="70" spans="1:9" s="11" customFormat="1" ht="20.100000000000001" customHeight="1" x14ac:dyDescent="0.25">
      <c r="A70" s="39"/>
      <c r="B70" s="93"/>
      <c r="C70" s="18"/>
      <c r="D70" s="18"/>
      <c r="E70" s="70"/>
      <c r="H70" s="88"/>
    </row>
    <row r="71" spans="1:9" s="11" customFormat="1" ht="20.100000000000001" customHeight="1" x14ac:dyDescent="0.25">
      <c r="A71" s="39"/>
      <c r="B71" s="93"/>
      <c r="C71" s="18"/>
      <c r="D71" s="18"/>
      <c r="E71" s="70"/>
      <c r="H71" s="88"/>
    </row>
    <row r="72" spans="1:9" s="11" customFormat="1" ht="20.100000000000001" customHeight="1" x14ac:dyDescent="0.3">
      <c r="A72" s="1"/>
      <c r="B72" s="10"/>
      <c r="C72" s="13"/>
      <c r="D72" s="47"/>
      <c r="E72" s="70"/>
      <c r="H72" s="88"/>
    </row>
    <row r="73" spans="1:9" s="11" customFormat="1" ht="20.100000000000001" customHeight="1" x14ac:dyDescent="0.3">
      <c r="A73" s="1"/>
      <c r="B73" s="10"/>
      <c r="C73" s="13"/>
      <c r="D73" s="47"/>
      <c r="E73" s="70"/>
      <c r="H73" s="88"/>
    </row>
    <row r="74" spans="1:9" s="11" customFormat="1" ht="20.100000000000001" customHeight="1" x14ac:dyDescent="0.3">
      <c r="A74" s="1"/>
      <c r="B74" s="10"/>
      <c r="C74" s="13"/>
      <c r="D74" s="47"/>
      <c r="E74" s="70"/>
      <c r="H74" s="88"/>
    </row>
    <row r="75" spans="1:9" s="13" customFormat="1" ht="20.100000000000001" customHeight="1" x14ac:dyDescent="0.3">
      <c r="A75" s="1"/>
      <c r="B75" s="10"/>
      <c r="D75" s="47"/>
      <c r="E75" s="70"/>
      <c r="F75" s="11"/>
      <c r="G75" s="11"/>
      <c r="H75" s="88"/>
      <c r="I75" s="11"/>
    </row>
    <row r="76" spans="1:9" s="13" customFormat="1" ht="20.100000000000001" customHeight="1" x14ac:dyDescent="0.3">
      <c r="A76" s="1"/>
      <c r="B76" s="10"/>
      <c r="D76" s="47"/>
      <c r="E76" s="70"/>
      <c r="F76" s="11"/>
      <c r="G76" s="11"/>
      <c r="H76" s="88"/>
      <c r="I76" s="11"/>
    </row>
    <row r="77" spans="1:9" s="13" customFormat="1" ht="20.100000000000001" customHeight="1" x14ac:dyDescent="0.3">
      <c r="A77" s="1"/>
      <c r="B77" s="10"/>
      <c r="D77" s="47"/>
      <c r="E77" s="70"/>
      <c r="F77" s="11"/>
      <c r="G77" s="11"/>
      <c r="H77" s="88"/>
      <c r="I77" s="11"/>
    </row>
    <row r="78" spans="1:9" ht="20.100000000000001" customHeight="1" x14ac:dyDescent="0.3"/>
    <row r="79" spans="1:9" ht="20.100000000000001" customHeight="1" x14ac:dyDescent="0.3"/>
    <row r="80" spans="1:9" ht="20.100000000000001" customHeight="1" x14ac:dyDescent="0.3"/>
    <row r="81" ht="20.100000000000001" customHeight="1" x14ac:dyDescent="0.3"/>
  </sheetData>
  <mergeCells count="10">
    <mergeCell ref="L48:M48"/>
    <mergeCell ref="L50:M50"/>
    <mergeCell ref="L51:M51"/>
    <mergeCell ref="L52:M52"/>
    <mergeCell ref="C69:D69"/>
    <mergeCell ref="L53:M53"/>
    <mergeCell ref="L49:M49"/>
    <mergeCell ref="C66:D66"/>
    <mergeCell ref="C67:D67"/>
    <mergeCell ref="C68:D68"/>
  </mergeCells>
  <pageMargins left="0.7" right="0.7" top="0.75" bottom="0.75" header="0.3" footer="0.3"/>
  <pageSetup scale="62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5EE30-3BC0-4E1C-8E42-3093D2B7E3C9}">
  <dimension ref="A1:S99"/>
  <sheetViews>
    <sheetView workbookViewId="0">
      <selection activeCell="A37" sqref="A37"/>
    </sheetView>
  </sheetViews>
  <sheetFormatPr defaultRowHeight="18.75" x14ac:dyDescent="0.3"/>
  <cols>
    <col min="1" max="1" width="20.7109375" style="1" customWidth="1"/>
    <col min="2" max="2" width="16.85546875" style="10" customWidth="1"/>
    <col min="3" max="3" width="28" style="6" bestFit="1" customWidth="1"/>
    <col min="4" max="4" width="19.7109375" style="116" customWidth="1"/>
    <col min="5" max="5" width="9.85546875" style="76" bestFit="1" customWidth="1"/>
    <col min="6" max="6" width="16.5703125" style="1" customWidth="1"/>
    <col min="7" max="7" width="35" style="1" bestFit="1" customWidth="1"/>
    <col min="8" max="8" width="5.5703125" style="90" bestFit="1" customWidth="1"/>
    <col min="9" max="11" width="9.140625" style="1"/>
    <col min="12" max="12" width="42.28515625" style="1" bestFit="1" customWidth="1"/>
    <col min="13" max="16384" width="9.140625" style="1"/>
  </cols>
  <sheetData>
    <row r="1" spans="1:19" s="11" customFormat="1" ht="20.100000000000001" customHeight="1" x14ac:dyDescent="0.25">
      <c r="A1" s="11" t="s">
        <v>1203</v>
      </c>
      <c r="B1" s="17"/>
      <c r="C1" s="13"/>
      <c r="D1" s="47"/>
      <c r="E1" s="70"/>
      <c r="H1" s="88"/>
    </row>
    <row r="2" spans="1:19" s="11" customFormat="1" ht="20.100000000000001" customHeight="1" x14ac:dyDescent="0.25">
      <c r="A2" s="14">
        <v>45169</v>
      </c>
      <c r="B2" s="17"/>
      <c r="C2" s="13"/>
      <c r="D2" s="47"/>
      <c r="E2" s="70"/>
      <c r="H2" s="88"/>
    </row>
    <row r="3" spans="1:19" s="11" customFormat="1" ht="20.100000000000001" customHeight="1" x14ac:dyDescent="0.25">
      <c r="A3" s="11" t="s">
        <v>311</v>
      </c>
      <c r="B3" s="17">
        <v>13112813.140000001</v>
      </c>
      <c r="C3" s="13"/>
      <c r="D3" s="47"/>
      <c r="E3" s="70"/>
      <c r="H3" s="88"/>
      <c r="M3" s="89"/>
    </row>
    <row r="4" spans="1:19" s="11" customFormat="1" ht="20.100000000000001" customHeight="1" x14ac:dyDescent="0.25">
      <c r="A4" s="11" t="s">
        <v>6</v>
      </c>
      <c r="B4" s="17"/>
      <c r="C4" s="13"/>
      <c r="D4" s="47"/>
      <c r="E4" s="70"/>
      <c r="H4" s="88"/>
      <c r="M4" s="89"/>
    </row>
    <row r="5" spans="1:19" s="11" customFormat="1" ht="20.100000000000001" customHeight="1" x14ac:dyDescent="0.25">
      <c r="A5" s="11">
        <v>2100</v>
      </c>
      <c r="B5" s="17">
        <v>-11026714.810000001</v>
      </c>
      <c r="C5" s="13"/>
      <c r="D5" s="47"/>
      <c r="E5" s="70"/>
      <c r="H5" s="88"/>
      <c r="M5" s="89"/>
    </row>
    <row r="6" spans="1:19" s="11" customFormat="1" ht="20.100000000000001" customHeight="1" x14ac:dyDescent="0.25">
      <c r="A6" s="11" t="s">
        <v>5</v>
      </c>
      <c r="B6" s="17">
        <f>SUM(B5)</f>
        <v>-11026714.810000001</v>
      </c>
      <c r="C6" s="13"/>
      <c r="D6" s="47"/>
      <c r="E6" s="70"/>
      <c r="H6" s="88"/>
      <c r="M6" s="89"/>
      <c r="O6" s="62"/>
      <c r="P6" s="62"/>
      <c r="Q6" s="62"/>
      <c r="R6" s="62"/>
      <c r="S6" s="62"/>
    </row>
    <row r="7" spans="1:19" s="11" customFormat="1" ht="20.100000000000001" customHeight="1" x14ac:dyDescent="0.25">
      <c r="A7" s="11" t="s">
        <v>4</v>
      </c>
      <c r="B7" s="17">
        <f>B6+B3</f>
        <v>2086098.33</v>
      </c>
      <c r="C7" s="13"/>
      <c r="D7" s="47"/>
      <c r="E7" s="70"/>
      <c r="H7" s="88"/>
      <c r="M7" s="88"/>
    </row>
    <row r="8" spans="1:19" s="11" customFormat="1" ht="15.95" customHeight="1" x14ac:dyDescent="0.25">
      <c r="A8" s="11" t="s">
        <v>3</v>
      </c>
      <c r="B8" s="17"/>
      <c r="C8" s="44" t="s">
        <v>628</v>
      </c>
      <c r="D8" s="114" t="s">
        <v>626</v>
      </c>
      <c r="E8" s="70"/>
      <c r="H8" s="88"/>
      <c r="M8" s="88"/>
    </row>
    <row r="9" spans="1:19" s="11" customFormat="1" ht="15.75" x14ac:dyDescent="0.25">
      <c r="A9" s="77" t="s">
        <v>1793</v>
      </c>
      <c r="B9" s="98">
        <v>-26394</v>
      </c>
      <c r="C9" s="31">
        <v>45169</v>
      </c>
      <c r="D9" s="28">
        <v>45170</v>
      </c>
      <c r="E9" s="71"/>
      <c r="F9" s="55"/>
      <c r="G9" s="55"/>
      <c r="M9" s="88"/>
    </row>
    <row r="10" spans="1:19" s="11" customFormat="1" ht="15.75" x14ac:dyDescent="0.25">
      <c r="A10" s="77" t="s">
        <v>1794</v>
      </c>
      <c r="B10" s="98">
        <v>-27659</v>
      </c>
      <c r="C10" s="31">
        <v>45168</v>
      </c>
      <c r="D10" s="28">
        <v>45170</v>
      </c>
      <c r="E10" s="71"/>
      <c r="F10" s="55"/>
      <c r="G10" s="55"/>
      <c r="M10" s="88"/>
    </row>
    <row r="11" spans="1:19" s="11" customFormat="1" ht="15.75" x14ac:dyDescent="0.25">
      <c r="A11" s="77" t="s">
        <v>1795</v>
      </c>
      <c r="B11" s="98">
        <v>-27659</v>
      </c>
      <c r="C11" s="31">
        <v>45168</v>
      </c>
      <c r="D11" s="28">
        <v>45170</v>
      </c>
      <c r="E11" s="71"/>
      <c r="F11" s="55"/>
      <c r="G11" s="55"/>
      <c r="M11" s="88"/>
    </row>
    <row r="12" spans="1:19" s="11" customFormat="1" ht="15.75" x14ac:dyDescent="0.25">
      <c r="A12" s="77" t="s">
        <v>1796</v>
      </c>
      <c r="B12" s="98">
        <v>-28303</v>
      </c>
      <c r="C12" s="31">
        <v>45169</v>
      </c>
      <c r="D12" s="28">
        <v>45170</v>
      </c>
      <c r="E12" s="71"/>
      <c r="F12" s="55"/>
      <c r="G12" s="55"/>
      <c r="M12" s="88"/>
    </row>
    <row r="13" spans="1:19" s="11" customFormat="1" ht="15.75" x14ac:dyDescent="0.25">
      <c r="A13" s="77" t="s">
        <v>1797</v>
      </c>
      <c r="B13" s="98">
        <v>-30429</v>
      </c>
      <c r="C13" s="31">
        <v>45169</v>
      </c>
      <c r="D13" s="28">
        <v>45170</v>
      </c>
      <c r="E13" s="71"/>
      <c r="F13" s="55"/>
      <c r="G13" s="55"/>
      <c r="M13" s="88"/>
    </row>
    <row r="14" spans="1:19" s="11" customFormat="1" ht="15.75" x14ac:dyDescent="0.25">
      <c r="A14" s="77" t="s">
        <v>1798</v>
      </c>
      <c r="B14" s="98">
        <v>-30429</v>
      </c>
      <c r="C14" s="31">
        <v>45169</v>
      </c>
      <c r="D14" s="28">
        <v>45170</v>
      </c>
      <c r="E14" s="71"/>
      <c r="F14" s="55"/>
      <c r="G14" s="55"/>
      <c r="M14" s="88"/>
    </row>
    <row r="15" spans="1:19" s="11" customFormat="1" ht="15.75" x14ac:dyDescent="0.25">
      <c r="A15" s="77" t="s">
        <v>1799</v>
      </c>
      <c r="B15" s="98">
        <v>-30429</v>
      </c>
      <c r="C15" s="31">
        <v>45169</v>
      </c>
      <c r="D15" s="28">
        <v>45170</v>
      </c>
      <c r="E15" s="71"/>
      <c r="F15" s="55"/>
      <c r="G15" s="55"/>
      <c r="M15" s="88"/>
    </row>
    <row r="16" spans="1:19" s="11" customFormat="1" ht="15.75" x14ac:dyDescent="0.25">
      <c r="A16" s="77" t="s">
        <v>1800</v>
      </c>
      <c r="B16" s="98">
        <v>-30497</v>
      </c>
      <c r="C16" s="31">
        <v>45168</v>
      </c>
      <c r="D16" s="28">
        <v>45170</v>
      </c>
      <c r="E16" s="71"/>
      <c r="F16" s="55"/>
      <c r="G16" s="55"/>
      <c r="M16" s="88"/>
    </row>
    <row r="17" spans="1:13" s="11" customFormat="1" ht="15.75" x14ac:dyDescent="0.25">
      <c r="A17" s="77" t="s">
        <v>1801</v>
      </c>
      <c r="B17" s="98">
        <v>-30497</v>
      </c>
      <c r="C17" s="31">
        <v>45157</v>
      </c>
      <c r="D17" s="28">
        <v>45170</v>
      </c>
      <c r="E17" s="71"/>
      <c r="F17" s="55"/>
      <c r="G17" s="55"/>
      <c r="M17" s="88"/>
    </row>
    <row r="18" spans="1:13" s="11" customFormat="1" ht="15.75" x14ac:dyDescent="0.25">
      <c r="A18" s="77" t="s">
        <v>1802</v>
      </c>
      <c r="B18" s="98">
        <v>-31095</v>
      </c>
      <c r="C18" s="31">
        <v>45168</v>
      </c>
      <c r="D18" s="28">
        <v>45170</v>
      </c>
      <c r="E18" s="71"/>
      <c r="F18" s="55"/>
      <c r="G18" s="55"/>
      <c r="M18" s="88"/>
    </row>
    <row r="19" spans="1:13" s="11" customFormat="1" ht="15.75" x14ac:dyDescent="0.25">
      <c r="A19" s="77" t="s">
        <v>1803</v>
      </c>
      <c r="B19" s="98">
        <v>-31478</v>
      </c>
      <c r="C19" s="31">
        <v>45168</v>
      </c>
      <c r="D19" s="28">
        <v>45170</v>
      </c>
      <c r="E19" s="71"/>
      <c r="F19" s="55"/>
      <c r="G19" s="55"/>
      <c r="M19" s="88"/>
    </row>
    <row r="20" spans="1:13" s="11" customFormat="1" ht="15.75" x14ac:dyDescent="0.25">
      <c r="A20" s="77" t="s">
        <v>1804</v>
      </c>
      <c r="B20" s="98">
        <v>-31478</v>
      </c>
      <c r="C20" s="31">
        <v>45169</v>
      </c>
      <c r="D20" s="28">
        <v>45170</v>
      </c>
      <c r="E20" s="71"/>
      <c r="F20" s="55"/>
      <c r="G20" s="55"/>
      <c r="M20" s="88"/>
    </row>
    <row r="21" spans="1:13" s="11" customFormat="1" ht="15.75" x14ac:dyDescent="0.25">
      <c r="A21" s="77" t="s">
        <v>1805</v>
      </c>
      <c r="B21" s="98">
        <v>-31478</v>
      </c>
      <c r="C21" s="31">
        <v>45169</v>
      </c>
      <c r="D21" s="28">
        <v>45170</v>
      </c>
      <c r="E21" s="71"/>
      <c r="F21" s="55"/>
      <c r="G21" s="55"/>
      <c r="M21" s="88"/>
    </row>
    <row r="22" spans="1:13" s="11" customFormat="1" ht="15.75" x14ac:dyDescent="0.25">
      <c r="A22" s="77" t="s">
        <v>1806</v>
      </c>
      <c r="B22" s="98">
        <v>-34665</v>
      </c>
      <c r="C22" s="31">
        <v>45168</v>
      </c>
      <c r="D22" s="28">
        <v>45170</v>
      </c>
      <c r="E22" s="71"/>
      <c r="F22" s="55"/>
      <c r="G22" s="55"/>
      <c r="M22" s="88"/>
    </row>
    <row r="23" spans="1:13" s="11" customFormat="1" ht="15.75" x14ac:dyDescent="0.25">
      <c r="A23" s="77" t="s">
        <v>1807</v>
      </c>
      <c r="B23" s="98">
        <v>-34665</v>
      </c>
      <c r="C23" s="31">
        <v>45168</v>
      </c>
      <c r="D23" s="28">
        <v>45170</v>
      </c>
      <c r="E23" s="71"/>
      <c r="F23" s="55"/>
      <c r="G23" s="55"/>
      <c r="M23" s="88"/>
    </row>
    <row r="24" spans="1:13" s="11" customFormat="1" ht="15.75" x14ac:dyDescent="0.25">
      <c r="A24" s="77" t="s">
        <v>1808</v>
      </c>
      <c r="B24" s="98">
        <v>-35390</v>
      </c>
      <c r="C24" s="31">
        <v>45168</v>
      </c>
      <c r="D24" s="28">
        <v>45170</v>
      </c>
      <c r="E24" s="71"/>
      <c r="F24" s="55"/>
      <c r="G24" s="55"/>
      <c r="M24" s="88"/>
    </row>
    <row r="25" spans="1:13" s="11" customFormat="1" ht="15.75" x14ac:dyDescent="0.25">
      <c r="A25" s="77" t="s">
        <v>1809</v>
      </c>
      <c r="B25" s="98">
        <v>-35390</v>
      </c>
      <c r="C25" s="31">
        <v>45168</v>
      </c>
      <c r="D25" s="28">
        <v>45170</v>
      </c>
      <c r="E25" s="71"/>
      <c r="F25" s="55"/>
      <c r="G25" s="55"/>
      <c r="M25" s="88"/>
    </row>
    <row r="26" spans="1:13" s="11" customFormat="1" ht="15.75" x14ac:dyDescent="0.25">
      <c r="A26" s="77" t="s">
        <v>1810</v>
      </c>
      <c r="B26" s="98">
        <v>-35491</v>
      </c>
      <c r="C26" s="31">
        <v>45168</v>
      </c>
      <c r="D26" s="28">
        <v>45170</v>
      </c>
      <c r="E26" s="71"/>
      <c r="F26" s="55"/>
      <c r="G26" s="55"/>
      <c r="M26" s="88"/>
    </row>
    <row r="27" spans="1:13" s="11" customFormat="1" ht="15.75" x14ac:dyDescent="0.25">
      <c r="A27" s="77" t="s">
        <v>1811</v>
      </c>
      <c r="B27" s="98">
        <v>-35692</v>
      </c>
      <c r="C27" s="31">
        <v>45168</v>
      </c>
      <c r="D27" s="28">
        <v>45170</v>
      </c>
      <c r="E27" s="71"/>
      <c r="F27" s="55"/>
      <c r="G27" s="55"/>
      <c r="M27" s="88"/>
    </row>
    <row r="28" spans="1:13" s="11" customFormat="1" ht="15.75" x14ac:dyDescent="0.25">
      <c r="A28" s="77" t="s">
        <v>1812</v>
      </c>
      <c r="B28" s="98">
        <v>-35692</v>
      </c>
      <c r="C28" s="31">
        <v>45168</v>
      </c>
      <c r="D28" s="28">
        <v>45170</v>
      </c>
      <c r="E28" s="71"/>
      <c r="F28" s="55"/>
      <c r="G28" s="55"/>
      <c r="M28" s="88"/>
    </row>
    <row r="29" spans="1:13" s="11" customFormat="1" ht="15.75" x14ac:dyDescent="0.25">
      <c r="A29" s="77" t="s">
        <v>1813</v>
      </c>
      <c r="B29" s="98">
        <v>-35774</v>
      </c>
      <c r="C29" s="31">
        <v>45168</v>
      </c>
      <c r="D29" s="28">
        <v>45170</v>
      </c>
      <c r="E29" s="71"/>
      <c r="F29" s="55"/>
      <c r="G29" s="55"/>
      <c r="M29" s="88"/>
    </row>
    <row r="30" spans="1:13" s="11" customFormat="1" ht="15.75" x14ac:dyDescent="0.25">
      <c r="A30" s="77" t="s">
        <v>1814</v>
      </c>
      <c r="B30" s="98">
        <v>-36635</v>
      </c>
      <c r="C30" s="31">
        <v>45168</v>
      </c>
      <c r="D30" s="28">
        <v>45170</v>
      </c>
      <c r="E30" s="71"/>
      <c r="F30" s="55"/>
      <c r="G30" s="55"/>
      <c r="M30" s="88"/>
    </row>
    <row r="31" spans="1:13" s="11" customFormat="1" ht="15.75" x14ac:dyDescent="0.25">
      <c r="A31" s="77" t="s">
        <v>1815</v>
      </c>
      <c r="B31" s="98">
        <v>-36727</v>
      </c>
      <c r="C31" s="31">
        <v>45169</v>
      </c>
      <c r="D31" s="28">
        <v>45170</v>
      </c>
      <c r="E31" s="71"/>
      <c r="F31" s="55"/>
      <c r="G31" s="55"/>
      <c r="M31" s="88"/>
    </row>
    <row r="32" spans="1:13" s="11" customFormat="1" ht="15.75" x14ac:dyDescent="0.25">
      <c r="A32" s="77" t="s">
        <v>1816</v>
      </c>
      <c r="B32" s="98">
        <v>-38693</v>
      </c>
      <c r="C32" s="31">
        <v>45168</v>
      </c>
      <c r="D32" s="28">
        <v>45170</v>
      </c>
      <c r="E32" s="71"/>
      <c r="F32" s="55"/>
      <c r="G32" s="55"/>
      <c r="M32" s="88"/>
    </row>
    <row r="33" spans="1:13" s="11" customFormat="1" ht="15.75" x14ac:dyDescent="0.25">
      <c r="A33" s="77" t="s">
        <v>1817</v>
      </c>
      <c r="B33" s="98">
        <v>-39443</v>
      </c>
      <c r="C33" s="31">
        <v>45168</v>
      </c>
      <c r="D33" s="28">
        <v>45170</v>
      </c>
      <c r="E33" s="71"/>
      <c r="F33" s="55"/>
      <c r="G33" s="55"/>
      <c r="M33" s="88"/>
    </row>
    <row r="34" spans="1:13" s="11" customFormat="1" ht="15.75" x14ac:dyDescent="0.25">
      <c r="A34" s="77" t="s">
        <v>1818</v>
      </c>
      <c r="B34" s="98">
        <v>-40606</v>
      </c>
      <c r="C34" s="31">
        <v>45169</v>
      </c>
      <c r="D34" s="28">
        <v>45170</v>
      </c>
      <c r="E34" s="71"/>
      <c r="F34" s="55"/>
      <c r="G34" s="55"/>
      <c r="M34" s="88"/>
    </row>
    <row r="35" spans="1:13" s="11" customFormat="1" ht="15.75" x14ac:dyDescent="0.25">
      <c r="A35" s="77" t="s">
        <v>1819</v>
      </c>
      <c r="B35" s="98">
        <v>-41829</v>
      </c>
      <c r="C35" s="31">
        <v>45168</v>
      </c>
      <c r="D35" s="28">
        <v>45170</v>
      </c>
      <c r="E35" s="71"/>
      <c r="F35" s="55"/>
      <c r="G35" s="55"/>
      <c r="M35" s="88"/>
    </row>
    <row r="36" spans="1:13" s="11" customFormat="1" ht="15.75" x14ac:dyDescent="0.25">
      <c r="A36" s="77"/>
      <c r="B36" s="98"/>
      <c r="C36" s="31"/>
      <c r="D36" s="28"/>
      <c r="E36" s="71"/>
      <c r="F36" s="55"/>
      <c r="G36" s="55"/>
      <c r="M36" s="88"/>
    </row>
    <row r="37" spans="1:13" s="11" customFormat="1" ht="15" customHeight="1" x14ac:dyDescent="0.25">
      <c r="A37" s="77"/>
      <c r="B37" s="66"/>
      <c r="C37" s="33"/>
      <c r="D37" s="28"/>
      <c r="E37" s="94"/>
      <c r="F37" s="55"/>
      <c r="G37" s="55"/>
    </row>
    <row r="38" spans="1:13" s="11" customFormat="1" ht="15.95" customHeight="1" x14ac:dyDescent="0.25">
      <c r="B38" s="25">
        <f>SUM(B9:B37)</f>
        <v>-904517</v>
      </c>
      <c r="C38" s="28"/>
      <c r="D38" s="28"/>
      <c r="E38" s="75"/>
      <c r="F38" s="19"/>
      <c r="G38" s="19"/>
      <c r="L38" s="11" t="s">
        <v>1437</v>
      </c>
      <c r="M38" s="88"/>
    </row>
    <row r="39" spans="1:13" s="11" customFormat="1" ht="15.95" customHeight="1" x14ac:dyDescent="0.25">
      <c r="A39" s="11" t="s">
        <v>2</v>
      </c>
      <c r="B39" s="25"/>
      <c r="C39" s="30" t="s">
        <v>626</v>
      </c>
      <c r="D39" s="114" t="s">
        <v>628</v>
      </c>
      <c r="E39" s="70"/>
      <c r="L39" s="11" t="s">
        <v>1438</v>
      </c>
    </row>
    <row r="40" spans="1:13" s="11" customFormat="1" ht="15.95" customHeight="1" x14ac:dyDescent="0.25">
      <c r="A40" s="11" t="s">
        <v>1830</v>
      </c>
      <c r="B40" s="119">
        <v>35385.230000000003</v>
      </c>
      <c r="C40" s="97">
        <v>45153</v>
      </c>
      <c r="D40" s="14">
        <v>45170</v>
      </c>
      <c r="E40" s="70"/>
      <c r="L40" s="11" t="s">
        <v>1439</v>
      </c>
    </row>
    <row r="41" spans="1:13" s="11" customFormat="1" ht="15.95" customHeight="1" x14ac:dyDescent="0.25">
      <c r="A41" s="11" t="s">
        <v>1820</v>
      </c>
      <c r="B41" s="119">
        <v>50666.14</v>
      </c>
      <c r="C41" s="95">
        <v>45162</v>
      </c>
      <c r="D41" s="111">
        <v>4150</v>
      </c>
      <c r="E41" s="70"/>
      <c r="L41" s="11" t="s">
        <v>1440</v>
      </c>
    </row>
    <row r="42" spans="1:13" s="11" customFormat="1" ht="15.95" customHeight="1" x14ac:dyDescent="0.25">
      <c r="A42" s="11" t="s">
        <v>1821</v>
      </c>
      <c r="B42" s="119">
        <v>57563.75</v>
      </c>
      <c r="C42" s="95">
        <v>45159</v>
      </c>
      <c r="D42" s="111">
        <v>4300</v>
      </c>
      <c r="E42" s="70"/>
      <c r="L42" s="11" t="s">
        <v>1441</v>
      </c>
    </row>
    <row r="43" spans="1:13" s="11" customFormat="1" ht="15.95" customHeight="1" x14ac:dyDescent="0.25">
      <c r="A43" s="11" t="s">
        <v>1822</v>
      </c>
      <c r="B43" s="119">
        <v>57563.75</v>
      </c>
      <c r="C43" s="95">
        <v>45156</v>
      </c>
      <c r="D43" s="92">
        <v>4300</v>
      </c>
      <c r="E43" s="70"/>
      <c r="L43" s="11" t="s">
        <v>1442</v>
      </c>
    </row>
    <row r="44" spans="1:13" s="11" customFormat="1" ht="15.95" customHeight="1" x14ac:dyDescent="0.25">
      <c r="A44" s="11" t="s">
        <v>1823</v>
      </c>
      <c r="B44" s="119">
        <v>57702.8</v>
      </c>
      <c r="C44" s="95">
        <v>45152</v>
      </c>
      <c r="D44" s="92">
        <v>4300</v>
      </c>
      <c r="E44" s="70"/>
      <c r="L44" s="11" t="s">
        <v>1443</v>
      </c>
    </row>
    <row r="45" spans="1:13" s="11" customFormat="1" ht="15.95" customHeight="1" x14ac:dyDescent="0.25">
      <c r="A45" s="11" t="s">
        <v>1561</v>
      </c>
      <c r="B45" s="119">
        <v>58347</v>
      </c>
      <c r="C45" s="95">
        <v>45000</v>
      </c>
      <c r="D45" s="92">
        <v>4800</v>
      </c>
      <c r="E45" s="70"/>
      <c r="L45" s="11" t="s">
        <v>1444</v>
      </c>
    </row>
    <row r="46" spans="1:13" s="11" customFormat="1" ht="15.95" customHeight="1" x14ac:dyDescent="0.25">
      <c r="A46" s="11" t="s">
        <v>1724</v>
      </c>
      <c r="B46" s="119">
        <v>58955.64</v>
      </c>
      <c r="C46" s="95">
        <v>45099</v>
      </c>
      <c r="D46" s="92">
        <v>4800</v>
      </c>
      <c r="E46" s="70"/>
      <c r="L46" s="11" t="s">
        <v>1445</v>
      </c>
    </row>
    <row r="47" spans="1:13" s="11" customFormat="1" ht="15.95" customHeight="1" x14ac:dyDescent="0.25">
      <c r="A47" s="11" t="s">
        <v>1725</v>
      </c>
      <c r="B47" s="119">
        <v>58955.64</v>
      </c>
      <c r="C47" s="95">
        <v>45099</v>
      </c>
      <c r="D47" s="92">
        <v>4800</v>
      </c>
      <c r="E47" s="70"/>
      <c r="L47" s="11" t="s">
        <v>1446</v>
      </c>
    </row>
    <row r="48" spans="1:13" s="11" customFormat="1" ht="15.95" customHeight="1" x14ac:dyDescent="0.25">
      <c r="A48" s="11" t="s">
        <v>1727</v>
      </c>
      <c r="B48" s="119">
        <v>60963.74</v>
      </c>
      <c r="C48" s="95">
        <v>45105</v>
      </c>
      <c r="D48" s="92">
        <v>4800</v>
      </c>
      <c r="E48" s="70"/>
      <c r="L48" s="11" t="s">
        <v>1447</v>
      </c>
    </row>
    <row r="49" spans="1:12" s="11" customFormat="1" ht="15.95" customHeight="1" x14ac:dyDescent="0.25">
      <c r="A49" s="11" t="s">
        <v>1728</v>
      </c>
      <c r="B49" s="119">
        <v>62366.78</v>
      </c>
      <c r="C49" s="95">
        <v>45099</v>
      </c>
      <c r="D49" s="92">
        <v>4800</v>
      </c>
      <c r="E49" s="70"/>
      <c r="L49" s="11" t="s">
        <v>1448</v>
      </c>
    </row>
    <row r="50" spans="1:12" s="11" customFormat="1" ht="15.95" customHeight="1" x14ac:dyDescent="0.25">
      <c r="A50" s="11" t="s">
        <v>1729</v>
      </c>
      <c r="B50" s="119">
        <v>62828.36</v>
      </c>
      <c r="C50" s="95">
        <v>45099</v>
      </c>
      <c r="D50" s="92">
        <v>4800</v>
      </c>
      <c r="E50" s="70"/>
      <c r="L50" s="11" t="s">
        <v>1449</v>
      </c>
    </row>
    <row r="51" spans="1:12" s="11" customFormat="1" ht="15.95" customHeight="1" x14ac:dyDescent="0.25">
      <c r="A51" s="11" t="s">
        <v>1730</v>
      </c>
      <c r="B51" s="119">
        <v>62828.36</v>
      </c>
      <c r="C51" s="95">
        <v>45099</v>
      </c>
      <c r="D51" s="92">
        <v>4800</v>
      </c>
      <c r="E51" s="70"/>
      <c r="L51" s="11" t="s">
        <v>1450</v>
      </c>
    </row>
    <row r="52" spans="1:12" s="11" customFormat="1" ht="15.95" customHeight="1" x14ac:dyDescent="0.25">
      <c r="A52" s="11" t="s">
        <v>1731</v>
      </c>
      <c r="B52" s="119">
        <v>62828.36</v>
      </c>
      <c r="C52" s="95">
        <v>45099</v>
      </c>
      <c r="D52" s="92">
        <v>4800</v>
      </c>
      <c r="E52" s="70"/>
      <c r="L52" s="11" t="s">
        <v>1451</v>
      </c>
    </row>
    <row r="53" spans="1:12" s="11" customFormat="1" ht="15.95" customHeight="1" x14ac:dyDescent="0.25">
      <c r="A53" s="11" t="s">
        <v>1757</v>
      </c>
      <c r="B53" s="119">
        <v>62968.24</v>
      </c>
      <c r="C53" s="95">
        <v>45099</v>
      </c>
      <c r="D53" s="92">
        <v>4800</v>
      </c>
      <c r="E53" s="70"/>
      <c r="L53" s="11" t="s">
        <v>1452</v>
      </c>
    </row>
    <row r="54" spans="1:12" s="11" customFormat="1" ht="15.95" customHeight="1" x14ac:dyDescent="0.25">
      <c r="A54" s="11" t="s">
        <v>1732</v>
      </c>
      <c r="B54" s="119">
        <v>62968.24</v>
      </c>
      <c r="C54" s="95">
        <v>45099</v>
      </c>
      <c r="D54" s="92">
        <v>4800</v>
      </c>
      <c r="E54" s="70"/>
      <c r="L54" s="11" t="s">
        <v>1453</v>
      </c>
    </row>
    <row r="55" spans="1:12" s="11" customFormat="1" ht="15.95" customHeight="1" x14ac:dyDescent="0.25">
      <c r="A55" s="11" t="s">
        <v>1567</v>
      </c>
      <c r="B55" s="119">
        <v>63367.45</v>
      </c>
      <c r="C55" s="95">
        <v>45000</v>
      </c>
      <c r="D55" s="92">
        <v>4800</v>
      </c>
      <c r="E55" s="70"/>
      <c r="L55" s="11" t="s">
        <v>1436</v>
      </c>
    </row>
    <row r="56" spans="1:12" s="11" customFormat="1" ht="15.95" customHeight="1" x14ac:dyDescent="0.25">
      <c r="A56" s="11" t="s">
        <v>1570</v>
      </c>
      <c r="B56" s="119">
        <v>64571.8</v>
      </c>
      <c r="C56" s="95">
        <v>45000</v>
      </c>
      <c r="D56" s="92">
        <v>4800</v>
      </c>
      <c r="E56" s="70"/>
      <c r="L56" s="11" t="s">
        <v>1454</v>
      </c>
    </row>
    <row r="57" spans="1:12" s="11" customFormat="1" ht="15.95" customHeight="1" x14ac:dyDescent="0.25">
      <c r="A57" s="11" t="s">
        <v>1831</v>
      </c>
      <c r="B57" s="119">
        <v>68700.509999999995</v>
      </c>
      <c r="C57" s="95">
        <v>45160</v>
      </c>
      <c r="D57" s="14">
        <v>45174</v>
      </c>
      <c r="E57" s="70"/>
      <c r="L57" s="11" t="s">
        <v>1455</v>
      </c>
    </row>
    <row r="58" spans="1:12" s="11" customFormat="1" ht="15.95" customHeight="1" x14ac:dyDescent="0.25">
      <c r="A58" s="11" t="s">
        <v>1832</v>
      </c>
      <c r="B58" s="119">
        <v>68980.259999999995</v>
      </c>
      <c r="C58" s="95">
        <v>45160</v>
      </c>
      <c r="D58" s="14">
        <v>45174</v>
      </c>
      <c r="E58" s="70"/>
      <c r="L58" s="11" t="s">
        <v>1456</v>
      </c>
    </row>
    <row r="59" spans="1:12" s="11" customFormat="1" ht="15.95" customHeight="1" x14ac:dyDescent="0.25">
      <c r="A59" s="11" t="s">
        <v>1833</v>
      </c>
      <c r="B59" s="119">
        <v>72219.55</v>
      </c>
      <c r="C59" s="95">
        <v>45091</v>
      </c>
      <c r="D59" s="14">
        <v>45177</v>
      </c>
      <c r="E59" s="70"/>
      <c r="L59" s="11" t="s">
        <v>1457</v>
      </c>
    </row>
    <row r="60" spans="1:12" s="11" customFormat="1" ht="15.95" customHeight="1" x14ac:dyDescent="0.25">
      <c r="A60" s="11" t="s">
        <v>1842</v>
      </c>
      <c r="B60" s="119">
        <v>72594.67</v>
      </c>
      <c r="C60" s="95">
        <v>45166</v>
      </c>
      <c r="D60" s="14">
        <v>45170</v>
      </c>
      <c r="E60" s="70"/>
      <c r="L60" s="11" t="s">
        <v>1458</v>
      </c>
    </row>
    <row r="61" spans="1:12" s="11" customFormat="1" ht="15.95" customHeight="1" x14ac:dyDescent="0.25">
      <c r="A61" s="11" t="s">
        <v>1735</v>
      </c>
      <c r="B61" s="119">
        <v>73125.440000000002</v>
      </c>
      <c r="C61" s="95">
        <v>45099</v>
      </c>
      <c r="D61" s="92">
        <v>4800</v>
      </c>
      <c r="E61" s="70"/>
      <c r="L61" s="11" t="s">
        <v>1368</v>
      </c>
    </row>
    <row r="62" spans="1:12" s="11" customFormat="1" ht="15.95" customHeight="1" x14ac:dyDescent="0.25">
      <c r="A62" s="11" t="s">
        <v>1736</v>
      </c>
      <c r="B62" s="119">
        <v>75172.28</v>
      </c>
      <c r="C62" s="95">
        <v>45099</v>
      </c>
      <c r="D62" s="92">
        <v>4800</v>
      </c>
      <c r="E62" s="70"/>
      <c r="L62" s="11" t="s">
        <v>1459</v>
      </c>
    </row>
    <row r="63" spans="1:12" s="11" customFormat="1" ht="15.95" customHeight="1" x14ac:dyDescent="0.25">
      <c r="A63" s="11" t="s">
        <v>1737</v>
      </c>
      <c r="B63" s="119">
        <v>76011.53</v>
      </c>
      <c r="C63" s="95">
        <v>45099</v>
      </c>
      <c r="D63" s="92">
        <v>4800</v>
      </c>
      <c r="E63" s="70"/>
      <c r="L63" s="11" t="s">
        <v>1369</v>
      </c>
    </row>
    <row r="64" spans="1:12" s="11" customFormat="1" ht="15.95" customHeight="1" x14ac:dyDescent="0.25">
      <c r="A64" s="11" t="s">
        <v>1738</v>
      </c>
      <c r="B64" s="119">
        <v>76011.53</v>
      </c>
      <c r="C64" s="95">
        <v>45099</v>
      </c>
      <c r="D64" s="92">
        <v>4800</v>
      </c>
      <c r="E64" s="70"/>
      <c r="L64" s="11" t="s">
        <v>1460</v>
      </c>
    </row>
    <row r="65" spans="1:13" s="11" customFormat="1" ht="15.95" customHeight="1" x14ac:dyDescent="0.25">
      <c r="A65" s="11" t="s">
        <v>1834</v>
      </c>
      <c r="B65" s="119">
        <v>81013.61</v>
      </c>
      <c r="C65" s="95">
        <v>45154</v>
      </c>
      <c r="D65" s="14">
        <v>45170</v>
      </c>
      <c r="E65" s="70"/>
    </row>
    <row r="66" spans="1:13" s="11" customFormat="1" ht="15.95" customHeight="1" x14ac:dyDescent="0.25">
      <c r="A66" s="11" t="s">
        <v>1835</v>
      </c>
      <c r="B66" s="119">
        <v>82040.7</v>
      </c>
      <c r="C66" s="95">
        <v>45168</v>
      </c>
      <c r="D66" s="14">
        <v>45170</v>
      </c>
      <c r="E66" s="70"/>
      <c r="L66" s="234" t="s">
        <v>1457</v>
      </c>
      <c r="M66" s="235"/>
    </row>
    <row r="67" spans="1:13" s="11" customFormat="1" ht="15.95" customHeight="1" x14ac:dyDescent="0.25">
      <c r="A67" s="11" t="s">
        <v>1781</v>
      </c>
      <c r="B67" s="119">
        <v>83481.31</v>
      </c>
      <c r="C67" s="95">
        <v>45110</v>
      </c>
      <c r="D67" s="92">
        <v>4300</v>
      </c>
      <c r="E67" s="70"/>
      <c r="L67" s="236" t="s">
        <v>1368</v>
      </c>
      <c r="M67" s="237"/>
    </row>
    <row r="68" spans="1:13" s="11" customFormat="1" ht="15.95" customHeight="1" x14ac:dyDescent="0.25">
      <c r="A68" s="11" t="s">
        <v>1836</v>
      </c>
      <c r="B68" s="119">
        <v>84040.81</v>
      </c>
      <c r="C68" s="95">
        <v>45099</v>
      </c>
      <c r="D68" s="14">
        <v>45170</v>
      </c>
      <c r="E68" s="70"/>
      <c r="L68" s="236" t="s">
        <v>1459</v>
      </c>
      <c r="M68" s="237"/>
    </row>
    <row r="69" spans="1:13" s="11" customFormat="1" ht="15.95" customHeight="1" x14ac:dyDescent="0.25">
      <c r="A69" s="11" t="s">
        <v>1824</v>
      </c>
      <c r="B69" s="119">
        <v>84224.81</v>
      </c>
      <c r="C69" s="95">
        <v>45156</v>
      </c>
      <c r="D69" s="92">
        <v>4800</v>
      </c>
      <c r="E69" s="70"/>
      <c r="L69" s="238" t="s">
        <v>1369</v>
      </c>
      <c r="M69" s="239"/>
    </row>
    <row r="70" spans="1:13" s="11" customFormat="1" ht="15.95" customHeight="1" x14ac:dyDescent="0.25">
      <c r="A70" s="11" t="s">
        <v>1825</v>
      </c>
      <c r="B70" s="119">
        <v>84224.81</v>
      </c>
      <c r="C70" s="95">
        <v>45156</v>
      </c>
      <c r="D70" s="92">
        <v>4200</v>
      </c>
      <c r="E70" s="70"/>
      <c r="L70" s="244"/>
      <c r="M70" s="245"/>
    </row>
    <row r="71" spans="1:13" s="11" customFormat="1" ht="15.95" customHeight="1" x14ac:dyDescent="0.25">
      <c r="A71" s="11" t="s">
        <v>1826</v>
      </c>
      <c r="B71" s="119">
        <v>84224.81</v>
      </c>
      <c r="C71" s="95">
        <v>45159</v>
      </c>
      <c r="D71" s="92">
        <v>4800</v>
      </c>
      <c r="E71" s="70"/>
      <c r="L71" s="240"/>
      <c r="M71" s="241"/>
    </row>
    <row r="72" spans="1:13" s="11" customFormat="1" ht="15.95" customHeight="1" x14ac:dyDescent="0.25">
      <c r="A72" s="11" t="s">
        <v>1750</v>
      </c>
      <c r="B72" s="119">
        <v>86252.36</v>
      </c>
      <c r="C72" s="95">
        <v>45100</v>
      </c>
      <c r="D72" s="92">
        <v>4300</v>
      </c>
      <c r="E72" s="70"/>
    </row>
    <row r="73" spans="1:13" s="11" customFormat="1" ht="15.95" customHeight="1" x14ac:dyDescent="0.25">
      <c r="A73" s="11" t="s">
        <v>1837</v>
      </c>
      <c r="B73" s="119">
        <v>86625.36</v>
      </c>
      <c r="C73" s="95">
        <v>45162</v>
      </c>
      <c r="D73" s="14">
        <v>45174</v>
      </c>
      <c r="E73" s="70"/>
    </row>
    <row r="74" spans="1:13" s="11" customFormat="1" ht="15.95" customHeight="1" x14ac:dyDescent="0.25">
      <c r="A74" s="11" t="s">
        <v>1838</v>
      </c>
      <c r="B74" s="119">
        <v>87012.41</v>
      </c>
      <c r="C74" s="95">
        <v>45161</v>
      </c>
      <c r="D74" s="14">
        <v>45170</v>
      </c>
      <c r="E74" s="70"/>
      <c r="L74" s="234" t="s">
        <v>1457</v>
      </c>
      <c r="M74" s="235"/>
    </row>
    <row r="75" spans="1:13" s="11" customFormat="1" ht="15.95" customHeight="1" x14ac:dyDescent="0.25">
      <c r="A75" s="11" t="s">
        <v>1839</v>
      </c>
      <c r="B75" s="119">
        <v>89171.55</v>
      </c>
      <c r="C75" s="95">
        <v>45169</v>
      </c>
      <c r="D75" s="14">
        <v>45174</v>
      </c>
      <c r="E75" s="70"/>
      <c r="L75" s="236" t="s">
        <v>1368</v>
      </c>
      <c r="M75" s="237"/>
    </row>
    <row r="76" spans="1:13" s="11" customFormat="1" ht="15.95" customHeight="1" x14ac:dyDescent="0.25">
      <c r="A76" s="11" t="s">
        <v>1827</v>
      </c>
      <c r="B76" s="119">
        <v>91056.15</v>
      </c>
      <c r="C76" s="95">
        <v>45169</v>
      </c>
      <c r="D76" s="92">
        <v>4800</v>
      </c>
      <c r="E76" s="70"/>
      <c r="L76" s="236" t="s">
        <v>1459</v>
      </c>
      <c r="M76" s="237"/>
    </row>
    <row r="77" spans="1:13" s="11" customFormat="1" ht="15.95" customHeight="1" x14ac:dyDescent="0.25">
      <c r="A77" s="11" t="s">
        <v>1828</v>
      </c>
      <c r="B77" s="119">
        <v>91517.74</v>
      </c>
      <c r="C77" s="95">
        <v>45169</v>
      </c>
      <c r="D77" s="92">
        <v>4800</v>
      </c>
      <c r="E77" s="70"/>
      <c r="L77" s="238" t="s">
        <v>1369</v>
      </c>
      <c r="M77" s="239"/>
    </row>
    <row r="78" spans="1:13" s="11" customFormat="1" ht="15.95" customHeight="1" x14ac:dyDescent="0.25">
      <c r="A78" s="11" t="s">
        <v>1829</v>
      </c>
      <c r="B78" s="119">
        <v>94268.61</v>
      </c>
      <c r="C78" s="95">
        <v>45169</v>
      </c>
      <c r="D78" s="92">
        <v>4800</v>
      </c>
      <c r="E78" s="70"/>
    </row>
    <row r="79" spans="1:13" s="11" customFormat="1" ht="15.95" customHeight="1" x14ac:dyDescent="0.25">
      <c r="A79" s="11" t="s">
        <v>1840</v>
      </c>
      <c r="B79" s="119">
        <v>98906.62</v>
      </c>
      <c r="C79" s="95">
        <v>45161</v>
      </c>
      <c r="D79" s="14">
        <v>45170</v>
      </c>
      <c r="E79" s="70"/>
    </row>
    <row r="80" spans="1:13" s="11" customFormat="1" ht="15.95" customHeight="1" x14ac:dyDescent="0.25">
      <c r="A80" s="11" t="s">
        <v>1841</v>
      </c>
      <c r="B80" s="119">
        <v>98906.62</v>
      </c>
      <c r="C80" s="95">
        <v>45168</v>
      </c>
      <c r="D80" s="14">
        <v>45170</v>
      </c>
      <c r="E80" s="70"/>
    </row>
    <row r="81" spans="1:9" s="11" customFormat="1" ht="15.95" customHeight="1" x14ac:dyDescent="0.25">
      <c r="B81" s="119"/>
      <c r="C81" s="95"/>
      <c r="D81" s="14"/>
      <c r="E81" s="70"/>
    </row>
    <row r="82" spans="1:9" s="11" customFormat="1" ht="15.95" customHeight="1" x14ac:dyDescent="0.25">
      <c r="B82" s="119"/>
      <c r="C82" s="242" t="s">
        <v>1457</v>
      </c>
      <c r="D82" s="243"/>
      <c r="E82" s="70"/>
    </row>
    <row r="83" spans="1:9" s="11" customFormat="1" ht="15.95" customHeight="1" x14ac:dyDescent="0.25">
      <c r="B83" s="25"/>
      <c r="C83" s="244" t="s">
        <v>1368</v>
      </c>
      <c r="D83" s="245"/>
      <c r="E83" s="70"/>
    </row>
    <row r="84" spans="1:9" s="11" customFormat="1" ht="15.95" customHeight="1" x14ac:dyDescent="0.25">
      <c r="B84" s="25">
        <f>SUM(B40:B83)</f>
        <v>2990615.33</v>
      </c>
      <c r="C84" s="244" t="s">
        <v>1459</v>
      </c>
      <c r="D84" s="245"/>
      <c r="E84" s="70"/>
      <c r="H84" s="88"/>
    </row>
    <row r="85" spans="1:9" s="11" customFormat="1" ht="15.95" customHeight="1" x14ac:dyDescent="0.25">
      <c r="A85" s="11" t="s">
        <v>1</v>
      </c>
      <c r="B85" s="17">
        <f>B84+B38</f>
        <v>2086098.33</v>
      </c>
      <c r="C85" s="240" t="s">
        <v>1369</v>
      </c>
      <c r="D85" s="241"/>
      <c r="E85" s="70"/>
      <c r="H85" s="88"/>
    </row>
    <row r="86" spans="1:9" s="11" customFormat="1" ht="15.95" customHeight="1" x14ac:dyDescent="0.25">
      <c r="A86" s="11" t="s">
        <v>0</v>
      </c>
      <c r="B86" s="17">
        <f>B85-B7</f>
        <v>0</v>
      </c>
      <c r="E86" s="70"/>
      <c r="H86" s="88"/>
    </row>
    <row r="87" spans="1:9" s="11" customFormat="1" ht="15.95" customHeight="1" x14ac:dyDescent="0.25">
      <c r="B87" s="17"/>
      <c r="E87" s="70"/>
      <c r="H87" s="88"/>
    </row>
    <row r="88" spans="1:9" s="11" customFormat="1" ht="20.100000000000001" customHeight="1" x14ac:dyDescent="0.25">
      <c r="A88" s="39"/>
      <c r="B88" s="93"/>
      <c r="C88" s="18"/>
      <c r="D88" s="18"/>
      <c r="E88" s="70"/>
      <c r="H88" s="88"/>
    </row>
    <row r="89" spans="1:9" s="11" customFormat="1" ht="20.100000000000001" customHeight="1" x14ac:dyDescent="0.25">
      <c r="A89" s="39"/>
      <c r="B89" s="93"/>
      <c r="C89" s="18"/>
      <c r="D89" s="18"/>
      <c r="E89" s="70"/>
      <c r="H89" s="88"/>
    </row>
    <row r="90" spans="1:9" s="11" customFormat="1" ht="20.100000000000001" customHeight="1" x14ac:dyDescent="0.3">
      <c r="A90" s="1"/>
      <c r="B90" s="10"/>
      <c r="C90" s="13"/>
      <c r="D90" s="47"/>
      <c r="E90" s="70"/>
      <c r="H90" s="88"/>
    </row>
    <row r="91" spans="1:9" s="11" customFormat="1" ht="20.100000000000001" customHeight="1" x14ac:dyDescent="0.3">
      <c r="A91" s="1"/>
      <c r="B91" s="10"/>
      <c r="C91" s="13"/>
      <c r="D91" s="47"/>
      <c r="E91" s="70"/>
      <c r="H91" s="88"/>
    </row>
    <row r="92" spans="1:9" s="11" customFormat="1" ht="20.100000000000001" customHeight="1" x14ac:dyDescent="0.3">
      <c r="A92" s="1"/>
      <c r="B92" s="10"/>
      <c r="C92" s="13"/>
      <c r="D92" s="47"/>
      <c r="E92" s="70"/>
      <c r="H92" s="88"/>
    </row>
    <row r="93" spans="1:9" s="13" customFormat="1" ht="20.100000000000001" customHeight="1" x14ac:dyDescent="0.3">
      <c r="A93" s="1"/>
      <c r="B93" s="10"/>
      <c r="D93" s="47"/>
      <c r="E93" s="70"/>
      <c r="F93" s="11"/>
      <c r="G93" s="11"/>
      <c r="H93" s="88"/>
      <c r="I93" s="11"/>
    </row>
    <row r="94" spans="1:9" s="13" customFormat="1" ht="20.100000000000001" customHeight="1" x14ac:dyDescent="0.3">
      <c r="A94" s="1"/>
      <c r="B94" s="10"/>
      <c r="D94" s="47"/>
      <c r="E94" s="70"/>
      <c r="F94" s="11"/>
      <c r="G94" s="11"/>
      <c r="H94" s="88"/>
      <c r="I94" s="11"/>
    </row>
    <row r="95" spans="1:9" s="13" customFormat="1" ht="20.100000000000001" customHeight="1" x14ac:dyDescent="0.3">
      <c r="A95" s="1"/>
      <c r="B95" s="10"/>
      <c r="D95" s="47"/>
      <c r="E95" s="70"/>
      <c r="F95" s="11"/>
      <c r="G95" s="11"/>
      <c r="H95" s="88"/>
      <c r="I95" s="11"/>
    </row>
    <row r="96" spans="1:9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</sheetData>
  <mergeCells count="14">
    <mergeCell ref="L71:M71"/>
    <mergeCell ref="L66:M66"/>
    <mergeCell ref="L67:M67"/>
    <mergeCell ref="L68:M68"/>
    <mergeCell ref="L69:M69"/>
    <mergeCell ref="L70:M70"/>
    <mergeCell ref="C82:D82"/>
    <mergeCell ref="C83:D83"/>
    <mergeCell ref="C84:D84"/>
    <mergeCell ref="C85:D85"/>
    <mergeCell ref="L74:M74"/>
    <mergeCell ref="L75:M75"/>
    <mergeCell ref="L76:M76"/>
    <mergeCell ref="L77:M77"/>
  </mergeCells>
  <pageMargins left="0.7" right="0.7" top="0.75" bottom="0.75" header="0.3" footer="0.3"/>
  <pageSetup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B843F-A518-4AA2-8115-DF1C4FF37C46}">
  <sheetPr>
    <pageSetUpPr fitToPage="1"/>
  </sheetPr>
  <dimension ref="A1:S74"/>
  <sheetViews>
    <sheetView topLeftCell="A27" workbookViewId="0">
      <selection activeCell="A56" sqref="A56"/>
    </sheetView>
  </sheetViews>
  <sheetFormatPr defaultRowHeight="18.75" x14ac:dyDescent="0.3"/>
  <cols>
    <col min="1" max="1" width="20.7109375" style="1" customWidth="1"/>
    <col min="2" max="2" width="16.85546875" style="10" customWidth="1"/>
    <col min="3" max="3" width="28" style="6" bestFit="1" customWidth="1"/>
    <col min="4" max="4" width="19.7109375" style="116" customWidth="1"/>
    <col min="5" max="5" width="9.85546875" style="76" bestFit="1" customWidth="1"/>
    <col min="6" max="6" width="16.5703125" style="1" customWidth="1"/>
    <col min="7" max="7" width="35" style="1" bestFit="1" customWidth="1"/>
    <col min="8" max="8" width="5.5703125" style="90" bestFit="1" customWidth="1"/>
    <col min="9" max="11" width="9.140625" style="1"/>
    <col min="12" max="12" width="42.28515625" style="1" bestFit="1" customWidth="1"/>
    <col min="13" max="16384" width="9.140625" style="1"/>
  </cols>
  <sheetData>
    <row r="1" spans="1:19" s="11" customFormat="1" ht="20.100000000000001" customHeight="1" x14ac:dyDescent="0.25">
      <c r="A1" s="11" t="s">
        <v>1203</v>
      </c>
      <c r="B1" s="17"/>
      <c r="C1" s="13"/>
      <c r="D1" s="47"/>
      <c r="E1" s="70"/>
      <c r="H1" s="88"/>
    </row>
    <row r="2" spans="1:19" s="11" customFormat="1" ht="20.100000000000001" customHeight="1" x14ac:dyDescent="0.25">
      <c r="A2" s="14">
        <v>45199</v>
      </c>
      <c r="B2" s="17"/>
      <c r="C2" s="13"/>
      <c r="D2" s="47"/>
      <c r="E2" s="70"/>
      <c r="H2" s="88"/>
    </row>
    <row r="3" spans="1:19" s="11" customFormat="1" ht="20.100000000000001" customHeight="1" x14ac:dyDescent="0.25">
      <c r="A3" s="11" t="s">
        <v>311</v>
      </c>
      <c r="B3" s="17">
        <v>12986043.51</v>
      </c>
      <c r="C3" s="13"/>
      <c r="D3" s="47"/>
      <c r="E3" s="70"/>
      <c r="H3" s="88"/>
      <c r="M3" s="89"/>
    </row>
    <row r="4" spans="1:19" s="11" customFormat="1" ht="20.100000000000001" customHeight="1" x14ac:dyDescent="0.25">
      <c r="A4" s="11" t="s">
        <v>6</v>
      </c>
      <c r="B4" s="17"/>
      <c r="C4" s="13"/>
      <c r="D4" s="47"/>
      <c r="E4" s="70"/>
      <c r="H4" s="88"/>
      <c r="M4" s="89"/>
    </row>
    <row r="5" spans="1:19" s="11" customFormat="1" ht="20.100000000000001" customHeight="1" x14ac:dyDescent="0.25">
      <c r="A5" s="11">
        <v>2100</v>
      </c>
      <c r="B5" s="17">
        <v>-12905579.34</v>
      </c>
      <c r="C5" s="13"/>
      <c r="D5" s="47"/>
      <c r="E5" s="70"/>
      <c r="H5" s="88"/>
      <c r="M5" s="89"/>
    </row>
    <row r="6" spans="1:19" s="11" customFormat="1" ht="20.100000000000001" customHeight="1" x14ac:dyDescent="0.25">
      <c r="A6" s="11" t="s">
        <v>5</v>
      </c>
      <c r="B6" s="17">
        <f>SUM(B5)</f>
        <v>-12905579.34</v>
      </c>
      <c r="C6" s="13"/>
      <c r="D6" s="47"/>
      <c r="E6" s="70"/>
      <c r="H6" s="88"/>
      <c r="M6" s="89"/>
      <c r="O6" s="62"/>
      <c r="P6" s="62"/>
      <c r="Q6" s="62"/>
      <c r="R6" s="62"/>
      <c r="S6" s="62"/>
    </row>
    <row r="7" spans="1:19" s="11" customFormat="1" ht="20.100000000000001" customHeight="1" x14ac:dyDescent="0.25">
      <c r="A7" s="11" t="s">
        <v>4</v>
      </c>
      <c r="B7" s="17">
        <f>B6+B3</f>
        <v>80464.169999999925</v>
      </c>
      <c r="C7" s="13"/>
      <c r="D7" s="47"/>
      <c r="E7" s="70"/>
      <c r="H7" s="88"/>
      <c r="M7" s="88"/>
    </row>
    <row r="8" spans="1:19" s="11" customFormat="1" ht="15.95" customHeight="1" x14ac:dyDescent="0.25">
      <c r="A8" s="11" t="s">
        <v>3</v>
      </c>
      <c r="B8" s="17"/>
      <c r="C8" s="44" t="s">
        <v>628</v>
      </c>
      <c r="D8" s="114" t="s">
        <v>626</v>
      </c>
      <c r="E8" s="70"/>
      <c r="H8" s="88"/>
      <c r="M8" s="88"/>
    </row>
    <row r="9" spans="1:19" s="11" customFormat="1" ht="15.75" x14ac:dyDescent="0.25">
      <c r="A9" s="77" t="s">
        <v>1843</v>
      </c>
      <c r="B9" s="98">
        <v>-26021</v>
      </c>
      <c r="C9" s="31">
        <v>45197</v>
      </c>
      <c r="D9" s="28">
        <v>45201</v>
      </c>
      <c r="E9" s="71"/>
      <c r="F9" s="55"/>
      <c r="G9" s="55"/>
      <c r="M9" s="88"/>
    </row>
    <row r="10" spans="1:19" s="11" customFormat="1" ht="15.75" x14ac:dyDescent="0.25">
      <c r="A10" s="77" t="s">
        <v>1844</v>
      </c>
      <c r="B10" s="98">
        <v>-27049</v>
      </c>
      <c r="C10" s="31">
        <v>45197</v>
      </c>
      <c r="D10" s="28">
        <v>45201</v>
      </c>
      <c r="E10" s="71"/>
      <c r="F10" s="55"/>
      <c r="G10" s="55"/>
      <c r="M10" s="88"/>
    </row>
    <row r="11" spans="1:19" s="11" customFormat="1" ht="15.75" x14ac:dyDescent="0.25">
      <c r="A11" s="77" t="s">
        <v>1845</v>
      </c>
      <c r="B11" s="98">
        <v>-30407</v>
      </c>
      <c r="C11" s="31">
        <v>45197</v>
      </c>
      <c r="D11" s="28">
        <v>45201</v>
      </c>
      <c r="E11" s="71"/>
      <c r="F11" s="55"/>
      <c r="G11" s="55"/>
      <c r="M11" s="88"/>
    </row>
    <row r="12" spans="1:19" s="11" customFormat="1" ht="15.75" x14ac:dyDescent="0.25">
      <c r="A12" s="77" t="s">
        <v>1846</v>
      </c>
      <c r="B12" s="98">
        <v>-33067</v>
      </c>
      <c r="C12" s="31">
        <v>45197</v>
      </c>
      <c r="D12" s="28">
        <v>45201</v>
      </c>
      <c r="E12" s="71"/>
      <c r="F12" s="55"/>
      <c r="G12" s="55"/>
      <c r="M12" s="88"/>
    </row>
    <row r="13" spans="1:19" s="11" customFormat="1" ht="15.75" x14ac:dyDescent="0.25">
      <c r="A13" s="77" t="s">
        <v>1847</v>
      </c>
      <c r="B13" s="98">
        <v>-33141</v>
      </c>
      <c r="C13" s="31">
        <v>45197</v>
      </c>
      <c r="D13" s="28">
        <v>45201</v>
      </c>
      <c r="E13" s="71"/>
      <c r="F13" s="55"/>
      <c r="G13" s="55"/>
      <c r="M13" s="88"/>
    </row>
    <row r="14" spans="1:19" s="11" customFormat="1" ht="15.75" x14ac:dyDescent="0.25">
      <c r="A14" s="77" t="s">
        <v>1848</v>
      </c>
      <c r="B14" s="98">
        <v>-34665</v>
      </c>
      <c r="C14" s="31">
        <v>45197</v>
      </c>
      <c r="D14" s="28">
        <v>45201</v>
      </c>
      <c r="E14" s="71"/>
      <c r="F14" s="55"/>
      <c r="G14" s="55"/>
      <c r="M14" s="88"/>
    </row>
    <row r="15" spans="1:19" s="11" customFormat="1" ht="15.75" x14ac:dyDescent="0.25">
      <c r="A15" s="77" t="s">
        <v>1849</v>
      </c>
      <c r="B15" s="98">
        <v>-36626</v>
      </c>
      <c r="C15" s="31">
        <v>45197</v>
      </c>
      <c r="D15" s="28">
        <v>45201</v>
      </c>
      <c r="E15" s="71"/>
      <c r="F15" s="55"/>
      <c r="G15" s="55"/>
      <c r="M15" s="88"/>
    </row>
    <row r="16" spans="1:19" s="11" customFormat="1" ht="15.75" x14ac:dyDescent="0.25">
      <c r="A16" s="77" t="s">
        <v>1850</v>
      </c>
      <c r="B16" s="98">
        <v>-41604</v>
      </c>
      <c r="C16" s="31">
        <v>45197</v>
      </c>
      <c r="D16" s="28">
        <v>45201</v>
      </c>
      <c r="E16" s="71"/>
      <c r="F16" s="55"/>
      <c r="G16" s="55"/>
      <c r="M16" s="88"/>
    </row>
    <row r="17" spans="1:13" s="11" customFormat="1" ht="15.75" x14ac:dyDescent="0.25">
      <c r="A17" s="77" t="s">
        <v>1851</v>
      </c>
      <c r="B17" s="98">
        <v>-45365</v>
      </c>
      <c r="C17" s="31">
        <v>45197</v>
      </c>
      <c r="D17" s="28">
        <v>45201</v>
      </c>
      <c r="E17" s="71"/>
      <c r="F17" s="55"/>
      <c r="G17" s="55"/>
      <c r="M17" s="88"/>
    </row>
    <row r="18" spans="1:13" s="11" customFormat="1" ht="15.75" x14ac:dyDescent="0.25">
      <c r="A18" s="77" t="s">
        <v>1854</v>
      </c>
      <c r="B18" s="98">
        <v>-62192.04</v>
      </c>
      <c r="C18" s="31">
        <v>45195</v>
      </c>
      <c r="D18" s="28">
        <v>45205</v>
      </c>
      <c r="E18" s="71"/>
      <c r="F18" s="55"/>
      <c r="G18" s="55"/>
      <c r="M18" s="88"/>
    </row>
    <row r="19" spans="1:13" s="11" customFormat="1" ht="15.75" x14ac:dyDescent="0.25">
      <c r="A19" s="77" t="s">
        <v>1855</v>
      </c>
      <c r="B19" s="98">
        <v>-70104.91</v>
      </c>
      <c r="C19" s="31">
        <v>45198</v>
      </c>
      <c r="D19" s="28">
        <v>45201</v>
      </c>
      <c r="E19" s="71"/>
      <c r="F19" s="55"/>
      <c r="G19" s="55"/>
      <c r="M19" s="88"/>
    </row>
    <row r="20" spans="1:13" s="11" customFormat="1" ht="15.75" x14ac:dyDescent="0.25">
      <c r="A20" s="77" t="s">
        <v>1856</v>
      </c>
      <c r="B20" s="98">
        <v>-70432.800000000003</v>
      </c>
      <c r="C20" s="31">
        <v>45197</v>
      </c>
      <c r="D20" s="28">
        <v>45205</v>
      </c>
      <c r="E20" s="71"/>
      <c r="F20" s="55"/>
      <c r="G20" s="55"/>
      <c r="M20" s="88"/>
    </row>
    <row r="21" spans="1:13" s="11" customFormat="1" ht="15.75" x14ac:dyDescent="0.25">
      <c r="A21" s="77" t="s">
        <v>1857</v>
      </c>
      <c r="B21" s="98">
        <v>-70432.800000000003</v>
      </c>
      <c r="C21" s="31">
        <v>45197</v>
      </c>
      <c r="D21" s="28">
        <v>45205</v>
      </c>
      <c r="E21" s="71"/>
      <c r="F21" s="55"/>
      <c r="G21" s="55"/>
      <c r="M21" s="88"/>
    </row>
    <row r="22" spans="1:13" s="11" customFormat="1" ht="15.75" x14ac:dyDescent="0.25">
      <c r="A22" s="77" t="s">
        <v>1858</v>
      </c>
      <c r="B22" s="98">
        <v>-70432.800000000003</v>
      </c>
      <c r="C22" s="31">
        <v>45195</v>
      </c>
      <c r="D22" s="28">
        <v>45205</v>
      </c>
      <c r="E22" s="71"/>
      <c r="F22" s="55"/>
      <c r="G22" s="55"/>
    </row>
    <row r="23" spans="1:13" s="11" customFormat="1" ht="15.75" x14ac:dyDescent="0.25">
      <c r="A23" s="77" t="s">
        <v>1859</v>
      </c>
      <c r="B23" s="98">
        <v>-70599.14</v>
      </c>
      <c r="C23" s="31">
        <v>45197</v>
      </c>
      <c r="D23" s="28">
        <v>45205</v>
      </c>
      <c r="E23" s="71"/>
      <c r="F23" s="55"/>
      <c r="G23" s="55"/>
    </row>
    <row r="24" spans="1:13" s="11" customFormat="1" ht="15.75" x14ac:dyDescent="0.25">
      <c r="A24" s="77" t="s">
        <v>1860</v>
      </c>
      <c r="B24" s="98">
        <v>-70599.14</v>
      </c>
      <c r="C24" s="31">
        <v>45197</v>
      </c>
      <c r="D24" s="28">
        <v>45205</v>
      </c>
      <c r="E24" s="71"/>
      <c r="F24" s="55"/>
      <c r="G24" s="55"/>
    </row>
    <row r="25" spans="1:13" s="11" customFormat="1" ht="15.75" x14ac:dyDescent="0.25">
      <c r="A25" s="77" t="s">
        <v>1861</v>
      </c>
      <c r="B25" s="98">
        <v>-70599.14</v>
      </c>
      <c r="C25" s="31">
        <v>45195</v>
      </c>
      <c r="D25" s="28">
        <v>45205</v>
      </c>
      <c r="E25" s="71"/>
      <c r="F25" s="55"/>
      <c r="G25" s="55"/>
    </row>
    <row r="26" spans="1:13" s="11" customFormat="1" ht="15.75" x14ac:dyDescent="0.25">
      <c r="A26" s="77" t="s">
        <v>1862</v>
      </c>
      <c r="B26" s="98">
        <v>-70599.14</v>
      </c>
      <c r="C26" s="31">
        <v>45197</v>
      </c>
      <c r="D26" s="28">
        <v>45205</v>
      </c>
      <c r="E26" s="71"/>
      <c r="F26" s="55"/>
      <c r="G26" s="55"/>
    </row>
    <row r="27" spans="1:13" s="11" customFormat="1" ht="15.75" x14ac:dyDescent="0.25">
      <c r="A27" s="77" t="s">
        <v>1863</v>
      </c>
      <c r="B27" s="98">
        <v>-80917.710000000006</v>
      </c>
      <c r="C27" s="31">
        <v>45197</v>
      </c>
      <c r="D27" s="28">
        <v>45205</v>
      </c>
      <c r="E27" s="71"/>
      <c r="F27" s="55"/>
      <c r="G27" s="55"/>
    </row>
    <row r="28" spans="1:13" s="11" customFormat="1" ht="15.75" x14ac:dyDescent="0.25">
      <c r="A28" s="77" t="s">
        <v>1864</v>
      </c>
      <c r="B28" s="98">
        <v>-81570.460000000006</v>
      </c>
      <c r="C28" s="31">
        <v>45198</v>
      </c>
      <c r="D28" s="28">
        <v>45202</v>
      </c>
      <c r="E28" s="71"/>
      <c r="F28" s="55"/>
      <c r="G28" s="55"/>
    </row>
    <row r="29" spans="1:13" s="11" customFormat="1" ht="15.75" x14ac:dyDescent="0.25">
      <c r="A29" s="77" t="s">
        <v>1865</v>
      </c>
      <c r="B29" s="98">
        <v>-82032.05</v>
      </c>
      <c r="C29" s="31">
        <v>45198</v>
      </c>
      <c r="D29" s="28">
        <v>45202</v>
      </c>
      <c r="E29" s="71"/>
      <c r="F29" s="55"/>
      <c r="G29" s="55"/>
    </row>
    <row r="30" spans="1:13" s="11" customFormat="1" ht="15.75" x14ac:dyDescent="0.25">
      <c r="A30" s="77" t="s">
        <v>1866</v>
      </c>
      <c r="B30" s="98">
        <v>-92025.95</v>
      </c>
      <c r="C30" s="31">
        <v>45199</v>
      </c>
      <c r="D30" s="28">
        <v>45202</v>
      </c>
      <c r="E30" s="71"/>
      <c r="F30" s="55"/>
      <c r="G30" s="55"/>
    </row>
    <row r="31" spans="1:13" s="11" customFormat="1" ht="15.75" x14ac:dyDescent="0.25">
      <c r="A31" s="77" t="s">
        <v>1867</v>
      </c>
      <c r="B31" s="98">
        <v>-92025.95</v>
      </c>
      <c r="C31" s="31">
        <v>45196</v>
      </c>
      <c r="D31" s="28">
        <v>45202</v>
      </c>
      <c r="E31" s="71"/>
      <c r="F31" s="55"/>
      <c r="G31" s="55"/>
    </row>
    <row r="32" spans="1:13" s="11" customFormat="1" ht="15.75" x14ac:dyDescent="0.25">
      <c r="A32" s="77" t="s">
        <v>1868</v>
      </c>
      <c r="B32" s="98">
        <v>-92025.95</v>
      </c>
      <c r="C32" s="31">
        <v>45199</v>
      </c>
      <c r="D32" s="28">
        <v>45204</v>
      </c>
      <c r="E32" s="71"/>
      <c r="F32" s="55"/>
      <c r="G32" s="55"/>
    </row>
    <row r="33" spans="1:13" s="11" customFormat="1" ht="15" customHeight="1" x14ac:dyDescent="0.25">
      <c r="A33" s="77"/>
      <c r="B33" s="66"/>
      <c r="C33" s="33"/>
      <c r="D33" s="28"/>
      <c r="E33" s="94"/>
      <c r="F33" s="55"/>
      <c r="G33" s="55"/>
    </row>
    <row r="34" spans="1:13" s="11" customFormat="1" ht="15.95" customHeight="1" x14ac:dyDescent="0.25">
      <c r="B34" s="25">
        <f>SUM(B9:B33)</f>
        <v>-1454534.98</v>
      </c>
      <c r="C34" s="28"/>
      <c r="D34" s="28"/>
      <c r="E34" s="75"/>
      <c r="F34" s="19"/>
      <c r="G34" s="19"/>
    </row>
    <row r="35" spans="1:13" s="11" customFormat="1" ht="15.95" customHeight="1" x14ac:dyDescent="0.25">
      <c r="A35" s="11" t="s">
        <v>2</v>
      </c>
      <c r="B35" s="25"/>
      <c r="C35" s="30" t="s">
        <v>626</v>
      </c>
      <c r="D35" s="114" t="s">
        <v>628</v>
      </c>
      <c r="E35" s="70"/>
    </row>
    <row r="36" spans="1:13" s="11" customFormat="1" ht="15.95" customHeight="1" x14ac:dyDescent="0.25">
      <c r="A36" s="11" t="s">
        <v>1852</v>
      </c>
      <c r="B36" s="119">
        <v>45677.440000000002</v>
      </c>
      <c r="C36" s="97">
        <v>45170</v>
      </c>
      <c r="D36" s="92">
        <v>3800</v>
      </c>
      <c r="E36" s="70"/>
      <c r="L36" s="11" t="s">
        <v>1437</v>
      </c>
      <c r="M36" s="88"/>
    </row>
    <row r="37" spans="1:13" s="11" customFormat="1" ht="15.95" customHeight="1" x14ac:dyDescent="0.25">
      <c r="A37" s="11" t="s">
        <v>1853</v>
      </c>
      <c r="B37" s="119">
        <v>46139.03</v>
      </c>
      <c r="C37" s="95">
        <v>45170</v>
      </c>
      <c r="D37" s="111">
        <v>3800</v>
      </c>
      <c r="E37" s="70"/>
      <c r="L37" s="11" t="s">
        <v>1438</v>
      </c>
    </row>
    <row r="38" spans="1:13" s="11" customFormat="1" ht="15.95" customHeight="1" x14ac:dyDescent="0.25">
      <c r="A38" s="11" t="s">
        <v>1869</v>
      </c>
      <c r="B38" s="119">
        <v>50666.14</v>
      </c>
      <c r="C38" s="95">
        <v>45162</v>
      </c>
      <c r="D38" s="106">
        <v>45202</v>
      </c>
      <c r="E38" s="70"/>
      <c r="L38" s="11" t="s">
        <v>1439</v>
      </c>
    </row>
    <row r="39" spans="1:13" s="11" customFormat="1" ht="15.95" customHeight="1" x14ac:dyDescent="0.25">
      <c r="A39" s="11" t="s">
        <v>1870</v>
      </c>
      <c r="B39" s="119">
        <v>58347</v>
      </c>
      <c r="C39" s="95">
        <v>45000</v>
      </c>
      <c r="D39" s="14">
        <v>45202</v>
      </c>
      <c r="E39" s="70"/>
      <c r="L39" s="11" t="s">
        <v>1440</v>
      </c>
    </row>
    <row r="40" spans="1:13" s="11" customFormat="1" ht="15.95" customHeight="1" x14ac:dyDescent="0.25">
      <c r="A40" s="11" t="s">
        <v>1871</v>
      </c>
      <c r="B40" s="119">
        <v>58955.64</v>
      </c>
      <c r="C40" s="95">
        <v>45099</v>
      </c>
      <c r="D40" s="14">
        <v>45202</v>
      </c>
      <c r="E40" s="70"/>
      <c r="L40" s="11" t="s">
        <v>1441</v>
      </c>
    </row>
    <row r="41" spans="1:13" s="11" customFormat="1" ht="15.95" customHeight="1" x14ac:dyDescent="0.25">
      <c r="A41" s="11" t="s">
        <v>1872</v>
      </c>
      <c r="B41" s="119">
        <v>58955.64</v>
      </c>
      <c r="C41" s="95">
        <v>45099</v>
      </c>
      <c r="D41" s="14">
        <v>45202</v>
      </c>
      <c r="E41" s="70"/>
      <c r="L41" s="11" t="s">
        <v>1442</v>
      </c>
    </row>
    <row r="42" spans="1:13" s="11" customFormat="1" ht="15.95" customHeight="1" x14ac:dyDescent="0.25">
      <c r="A42" s="11" t="s">
        <v>1873</v>
      </c>
      <c r="B42" s="119">
        <v>60963.74</v>
      </c>
      <c r="C42" s="95">
        <v>45105</v>
      </c>
      <c r="D42" s="14">
        <v>45202</v>
      </c>
      <c r="E42" s="70"/>
      <c r="L42" s="11" t="s">
        <v>1443</v>
      </c>
    </row>
    <row r="43" spans="1:13" s="11" customFormat="1" ht="15.95" customHeight="1" x14ac:dyDescent="0.25">
      <c r="A43" s="11" t="s">
        <v>1874</v>
      </c>
      <c r="B43" s="119">
        <v>62366.78</v>
      </c>
      <c r="C43" s="95">
        <v>45099</v>
      </c>
      <c r="D43" s="14">
        <v>45204</v>
      </c>
      <c r="E43" s="70"/>
      <c r="L43" s="11" t="s">
        <v>1444</v>
      </c>
    </row>
    <row r="44" spans="1:13" s="11" customFormat="1" ht="15.95" customHeight="1" x14ac:dyDescent="0.25">
      <c r="A44" s="11" t="s">
        <v>1875</v>
      </c>
      <c r="B44" s="119">
        <v>62828.36</v>
      </c>
      <c r="C44" s="95">
        <v>45099</v>
      </c>
      <c r="D44" s="14">
        <v>45204</v>
      </c>
      <c r="E44" s="70"/>
      <c r="L44" s="11" t="s">
        <v>1445</v>
      </c>
    </row>
    <row r="45" spans="1:13" s="11" customFormat="1" ht="15.95" customHeight="1" x14ac:dyDescent="0.25">
      <c r="A45" s="11" t="s">
        <v>1876</v>
      </c>
      <c r="B45" s="119">
        <v>62828.36</v>
      </c>
      <c r="C45" s="95">
        <v>45099</v>
      </c>
      <c r="D45" s="92" t="s">
        <v>1885</v>
      </c>
      <c r="E45" s="70"/>
      <c r="L45" s="11" t="s">
        <v>1446</v>
      </c>
    </row>
    <row r="46" spans="1:13" s="11" customFormat="1" ht="15.95" customHeight="1" x14ac:dyDescent="0.25">
      <c r="A46" s="11" t="s">
        <v>1877</v>
      </c>
      <c r="B46" s="119">
        <v>62828.36</v>
      </c>
      <c r="C46" s="95">
        <v>45099</v>
      </c>
      <c r="D46" s="14">
        <v>45204</v>
      </c>
      <c r="E46" s="70"/>
      <c r="L46" s="11" t="s">
        <v>1447</v>
      </c>
    </row>
    <row r="47" spans="1:13" s="11" customFormat="1" ht="15.95" customHeight="1" x14ac:dyDescent="0.25">
      <c r="A47" s="11" t="s">
        <v>1757</v>
      </c>
      <c r="B47" s="119">
        <v>62968.24</v>
      </c>
      <c r="C47" s="95">
        <v>45099</v>
      </c>
      <c r="D47" s="92" t="s">
        <v>1885</v>
      </c>
      <c r="E47" s="70"/>
      <c r="L47" s="11" t="s">
        <v>1448</v>
      </c>
    </row>
    <row r="48" spans="1:13" s="11" customFormat="1" ht="15.95" customHeight="1" x14ac:dyDescent="0.25">
      <c r="A48" s="11" t="s">
        <v>1878</v>
      </c>
      <c r="B48" s="119">
        <v>62968.24</v>
      </c>
      <c r="C48" s="95">
        <v>45099</v>
      </c>
      <c r="D48" s="14">
        <v>45204</v>
      </c>
      <c r="E48" s="70"/>
      <c r="L48" s="11" t="s">
        <v>1449</v>
      </c>
    </row>
    <row r="49" spans="1:13" s="11" customFormat="1" ht="15.95" customHeight="1" x14ac:dyDescent="0.25">
      <c r="A49" s="11" t="s">
        <v>1567</v>
      </c>
      <c r="B49" s="119">
        <v>63367.45</v>
      </c>
      <c r="C49" s="95">
        <v>45000</v>
      </c>
      <c r="D49" s="92" t="s">
        <v>1885</v>
      </c>
      <c r="E49" s="70"/>
      <c r="L49" s="11" t="s">
        <v>1450</v>
      </c>
    </row>
    <row r="50" spans="1:13" s="11" customFormat="1" ht="15.95" customHeight="1" x14ac:dyDescent="0.25">
      <c r="A50" s="11" t="s">
        <v>1879</v>
      </c>
      <c r="B50" s="119">
        <v>64571.8</v>
      </c>
      <c r="C50" s="95">
        <v>45000</v>
      </c>
      <c r="D50" s="14">
        <v>45204</v>
      </c>
      <c r="E50" s="70"/>
      <c r="L50" s="11" t="s">
        <v>1451</v>
      </c>
    </row>
    <row r="51" spans="1:13" s="11" customFormat="1" ht="15.95" customHeight="1" x14ac:dyDescent="0.25">
      <c r="A51" s="11" t="s">
        <v>1735</v>
      </c>
      <c r="B51" s="119">
        <v>73125.440000000002</v>
      </c>
      <c r="C51" s="95">
        <v>45099</v>
      </c>
      <c r="D51" s="92" t="s">
        <v>1885</v>
      </c>
      <c r="E51" s="70"/>
      <c r="L51" s="11" t="s">
        <v>1452</v>
      </c>
    </row>
    <row r="52" spans="1:13" s="11" customFormat="1" ht="15.95" customHeight="1" x14ac:dyDescent="0.25">
      <c r="A52" s="11" t="s">
        <v>1736</v>
      </c>
      <c r="B52" s="119">
        <v>75172.28</v>
      </c>
      <c r="C52" s="95">
        <v>45099</v>
      </c>
      <c r="D52" s="92" t="s">
        <v>1885</v>
      </c>
      <c r="E52" s="70"/>
      <c r="L52" s="11" t="s">
        <v>1453</v>
      </c>
    </row>
    <row r="53" spans="1:13" s="11" customFormat="1" ht="15.95" customHeight="1" x14ac:dyDescent="0.25">
      <c r="A53" s="11" t="s">
        <v>1880</v>
      </c>
      <c r="B53" s="119">
        <v>76011.53</v>
      </c>
      <c r="C53" s="95">
        <v>45103</v>
      </c>
      <c r="D53" s="14">
        <v>45202</v>
      </c>
      <c r="E53" s="70"/>
      <c r="L53" s="11" t="s">
        <v>1436</v>
      </c>
    </row>
    <row r="54" spans="1:13" s="11" customFormat="1" ht="15.95" customHeight="1" x14ac:dyDescent="0.25">
      <c r="A54" s="11" t="s">
        <v>1881</v>
      </c>
      <c r="B54" s="119">
        <v>76011.53</v>
      </c>
      <c r="C54" s="95">
        <v>45103</v>
      </c>
      <c r="D54" s="14">
        <v>45202</v>
      </c>
      <c r="E54" s="70"/>
      <c r="L54" s="11" t="s">
        <v>1454</v>
      </c>
    </row>
    <row r="55" spans="1:13" s="11" customFormat="1" ht="15.95" customHeight="1" x14ac:dyDescent="0.25">
      <c r="A55" s="11" t="s">
        <v>1882</v>
      </c>
      <c r="B55" s="119">
        <v>76940.12</v>
      </c>
      <c r="C55" s="95">
        <v>45198</v>
      </c>
      <c r="D55" s="14">
        <v>45201</v>
      </c>
      <c r="E55" s="70"/>
      <c r="L55" s="11" t="s">
        <v>1455</v>
      </c>
    </row>
    <row r="56" spans="1:13" s="11" customFormat="1" ht="15.95" customHeight="1" x14ac:dyDescent="0.25">
      <c r="A56" s="11" t="s">
        <v>1781</v>
      </c>
      <c r="B56" s="119">
        <v>83481.31</v>
      </c>
      <c r="C56" s="95">
        <v>45110</v>
      </c>
      <c r="D56" s="92">
        <v>4300</v>
      </c>
      <c r="E56" s="70"/>
      <c r="L56" s="11" t="s">
        <v>1456</v>
      </c>
    </row>
    <row r="57" spans="1:13" s="11" customFormat="1" ht="15.95" customHeight="1" x14ac:dyDescent="0.25">
      <c r="A57" s="11" t="s">
        <v>1883</v>
      </c>
      <c r="B57" s="119">
        <v>93264.1</v>
      </c>
      <c r="C57" s="95">
        <v>45196</v>
      </c>
      <c r="D57" s="14">
        <v>45203</v>
      </c>
      <c r="E57" s="70"/>
      <c r="L57" s="11" t="s">
        <v>1457</v>
      </c>
    </row>
    <row r="58" spans="1:13" s="11" customFormat="1" ht="15.95" customHeight="1" x14ac:dyDescent="0.25">
      <c r="A58" s="11" t="s">
        <v>1884</v>
      </c>
      <c r="B58" s="119">
        <v>96560.62</v>
      </c>
      <c r="C58" s="95">
        <v>45170</v>
      </c>
      <c r="D58" s="14">
        <v>45201</v>
      </c>
      <c r="E58" s="70"/>
      <c r="L58" s="11" t="s">
        <v>1458</v>
      </c>
    </row>
    <row r="59" spans="1:13" s="11" customFormat="1" ht="15.95" customHeight="1" x14ac:dyDescent="0.25">
      <c r="B59" s="25"/>
      <c r="E59" s="70"/>
      <c r="L59" s="11" t="s">
        <v>1368</v>
      </c>
    </row>
    <row r="60" spans="1:13" s="11" customFormat="1" ht="15.95" customHeight="1" x14ac:dyDescent="0.25">
      <c r="B60" s="25">
        <f>SUM(B36:B59)</f>
        <v>1534999.1500000004</v>
      </c>
      <c r="C60" s="22" t="s">
        <v>1436</v>
      </c>
      <c r="D60" s="113"/>
      <c r="E60" s="70"/>
      <c r="H60" s="88"/>
      <c r="L60" s="11" t="s">
        <v>1459</v>
      </c>
    </row>
    <row r="61" spans="1:13" s="11" customFormat="1" ht="15.95" customHeight="1" x14ac:dyDescent="0.25">
      <c r="A61" s="11" t="s">
        <v>1</v>
      </c>
      <c r="B61" s="17">
        <f>B60+B34</f>
        <v>80464.170000000391</v>
      </c>
      <c r="C61" s="123" t="s">
        <v>1459</v>
      </c>
      <c r="D61" s="110"/>
      <c r="E61" s="70"/>
      <c r="H61" s="88"/>
      <c r="L61" s="11" t="s">
        <v>1369</v>
      </c>
    </row>
    <row r="62" spans="1:13" s="11" customFormat="1" ht="15.95" customHeight="1" x14ac:dyDescent="0.25">
      <c r="A62" s="11" t="s">
        <v>0</v>
      </c>
      <c r="B62" s="17">
        <f>B61-B7</f>
        <v>4.6566128730773926E-10</v>
      </c>
      <c r="C62" s="120" t="s">
        <v>1369</v>
      </c>
      <c r="D62" s="125"/>
      <c r="E62" s="70"/>
      <c r="H62" s="88"/>
      <c r="L62" s="11" t="s">
        <v>1460</v>
      </c>
    </row>
    <row r="63" spans="1:13" s="11" customFormat="1" ht="15.95" customHeight="1" x14ac:dyDescent="0.25">
      <c r="B63" s="17"/>
      <c r="E63" s="70"/>
      <c r="H63" s="88"/>
    </row>
    <row r="64" spans="1:13" s="11" customFormat="1" ht="20.100000000000001" customHeight="1" x14ac:dyDescent="0.25">
      <c r="A64" s="39"/>
      <c r="B64" s="93"/>
      <c r="C64" s="18"/>
      <c r="D64" s="18"/>
      <c r="E64" s="70"/>
      <c r="H64" s="88"/>
      <c r="M64" s="122"/>
    </row>
    <row r="65" spans="1:13" s="11" customFormat="1" ht="20.100000000000001" customHeight="1" x14ac:dyDescent="0.3">
      <c r="A65" s="1"/>
      <c r="B65" s="10"/>
      <c r="C65" s="13"/>
      <c r="D65" s="47"/>
      <c r="E65" s="70"/>
      <c r="H65" s="88"/>
      <c r="M65" s="124"/>
    </row>
    <row r="66" spans="1:13" s="11" customFormat="1" ht="20.100000000000001" customHeight="1" x14ac:dyDescent="0.3">
      <c r="A66" s="1"/>
      <c r="B66" s="10"/>
      <c r="C66" s="13"/>
      <c r="D66" s="47"/>
      <c r="E66" s="70"/>
      <c r="H66" s="88"/>
      <c r="M66" s="121"/>
    </row>
    <row r="67" spans="1:13" s="11" customFormat="1" ht="20.100000000000001" customHeight="1" x14ac:dyDescent="0.3">
      <c r="A67" s="1"/>
      <c r="B67" s="10"/>
      <c r="C67" s="13"/>
      <c r="D67" s="47"/>
      <c r="E67" s="70"/>
      <c r="H67" s="88"/>
    </row>
    <row r="68" spans="1:13" s="13" customFormat="1" ht="20.100000000000001" customHeight="1" x14ac:dyDescent="0.3">
      <c r="A68" s="1"/>
      <c r="B68" s="10"/>
      <c r="D68" s="47"/>
      <c r="E68" s="70"/>
      <c r="F68" s="11"/>
      <c r="G68" s="11"/>
      <c r="H68" s="88"/>
      <c r="I68" s="11"/>
    </row>
    <row r="69" spans="1:13" s="13" customFormat="1" ht="20.100000000000001" customHeight="1" x14ac:dyDescent="0.3">
      <c r="A69" s="1"/>
      <c r="B69" s="10"/>
      <c r="D69" s="47"/>
      <c r="E69" s="70"/>
      <c r="F69" s="11"/>
      <c r="G69" s="11"/>
      <c r="H69" s="88"/>
      <c r="I69" s="11"/>
    </row>
    <row r="70" spans="1:13" s="13" customFormat="1" ht="20.100000000000001" customHeight="1" x14ac:dyDescent="0.3">
      <c r="A70" s="1"/>
      <c r="B70" s="10"/>
      <c r="D70" s="47"/>
      <c r="E70" s="70"/>
      <c r="F70" s="11"/>
      <c r="G70" s="11"/>
      <c r="H70" s="88"/>
      <c r="I70" s="11"/>
    </row>
    <row r="71" spans="1:13" ht="20.100000000000001" customHeight="1" x14ac:dyDescent="0.3"/>
    <row r="72" spans="1:13" ht="20.100000000000001" customHeight="1" x14ac:dyDescent="0.3"/>
    <row r="73" spans="1:13" ht="20.100000000000001" customHeight="1" x14ac:dyDescent="0.3"/>
    <row r="74" spans="1:13" ht="20.100000000000001" customHeight="1" x14ac:dyDescent="0.3"/>
  </sheetData>
  <pageMargins left="0.7" right="0.7" top="0.75" bottom="0.75" header="0.3" footer="0.3"/>
  <pageSetup scale="69"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8AEA0-5D4C-417F-B67C-CE7838435E6B}">
  <sheetPr>
    <pageSetUpPr fitToPage="1"/>
  </sheetPr>
  <dimension ref="A1:S56"/>
  <sheetViews>
    <sheetView topLeftCell="A16" workbookViewId="0">
      <selection activeCell="G28" sqref="G28"/>
    </sheetView>
  </sheetViews>
  <sheetFormatPr defaultRowHeight="18.75" x14ac:dyDescent="0.3"/>
  <cols>
    <col min="1" max="1" width="20.7109375" style="1" customWidth="1"/>
    <col min="2" max="2" width="16.85546875" style="10" customWidth="1"/>
    <col min="3" max="3" width="28" style="6" bestFit="1" customWidth="1"/>
    <col min="4" max="4" width="19.7109375" style="116" customWidth="1"/>
    <col min="5" max="5" width="9.85546875" style="76" bestFit="1" customWidth="1"/>
    <col min="6" max="6" width="16.5703125" style="1" customWidth="1"/>
    <col min="7" max="7" width="35" style="1" bestFit="1" customWidth="1"/>
    <col min="8" max="8" width="5.5703125" style="90" bestFit="1" customWidth="1"/>
    <col min="9" max="11" width="9.140625" style="1"/>
    <col min="12" max="12" width="42.28515625" style="1" bestFit="1" customWidth="1"/>
    <col min="13" max="16384" width="9.140625" style="1"/>
  </cols>
  <sheetData>
    <row r="1" spans="1:19" s="11" customFormat="1" ht="20.100000000000001" customHeight="1" x14ac:dyDescent="0.25">
      <c r="A1" s="11" t="s">
        <v>1203</v>
      </c>
      <c r="B1" s="17"/>
      <c r="C1" s="13"/>
      <c r="D1" s="47"/>
      <c r="E1" s="70"/>
      <c r="H1" s="88"/>
    </row>
    <row r="2" spans="1:19" s="11" customFormat="1" ht="20.100000000000001" customHeight="1" x14ac:dyDescent="0.25">
      <c r="A2" s="14">
        <v>45230</v>
      </c>
      <c r="B2" s="17"/>
      <c r="C2" s="13"/>
      <c r="D2" s="47"/>
      <c r="E2" s="70"/>
      <c r="H2" s="88"/>
    </row>
    <row r="3" spans="1:19" s="11" customFormat="1" ht="20.100000000000001" customHeight="1" x14ac:dyDescent="0.25">
      <c r="A3" s="11" t="s">
        <v>311</v>
      </c>
      <c r="B3" s="17">
        <v>15142092.220000001</v>
      </c>
      <c r="C3" s="13"/>
      <c r="D3" s="47"/>
      <c r="E3" s="70"/>
      <c r="H3" s="88"/>
      <c r="M3" s="89"/>
    </row>
    <row r="4" spans="1:19" s="11" customFormat="1" ht="20.100000000000001" customHeight="1" x14ac:dyDescent="0.25">
      <c r="A4" s="11" t="s">
        <v>6</v>
      </c>
      <c r="B4" s="17"/>
      <c r="C4" s="13"/>
      <c r="D4" s="47"/>
      <c r="E4" s="70"/>
      <c r="H4" s="88"/>
      <c r="M4" s="89"/>
    </row>
    <row r="5" spans="1:19" s="11" customFormat="1" ht="20.100000000000001" customHeight="1" x14ac:dyDescent="0.25">
      <c r="A5" s="11">
        <v>2100</v>
      </c>
      <c r="B5" s="17">
        <v>-15157604.210000001</v>
      </c>
      <c r="C5" s="13"/>
      <c r="D5" s="47"/>
      <c r="E5" s="70"/>
      <c r="H5" s="88"/>
      <c r="M5" s="89"/>
    </row>
    <row r="6" spans="1:19" s="11" customFormat="1" ht="20.100000000000001" customHeight="1" x14ac:dyDescent="0.25">
      <c r="A6" s="11" t="s">
        <v>5</v>
      </c>
      <c r="B6" s="17">
        <f>SUM(B5)</f>
        <v>-15157604.210000001</v>
      </c>
      <c r="C6" s="13"/>
      <c r="D6" s="47"/>
      <c r="E6" s="70"/>
      <c r="H6" s="88"/>
      <c r="M6" s="89"/>
      <c r="O6" s="62"/>
      <c r="P6" s="62"/>
      <c r="Q6" s="62"/>
      <c r="R6" s="62"/>
      <c r="S6" s="62"/>
    </row>
    <row r="7" spans="1:19" s="11" customFormat="1" ht="20.100000000000001" customHeight="1" x14ac:dyDescent="0.25">
      <c r="A7" s="11" t="s">
        <v>4</v>
      </c>
      <c r="B7" s="17">
        <f>B6+B3</f>
        <v>-15511.990000000224</v>
      </c>
      <c r="C7" s="13"/>
      <c r="D7" s="47"/>
      <c r="E7" s="70"/>
      <c r="H7" s="88"/>
      <c r="M7" s="88"/>
    </row>
    <row r="8" spans="1:19" s="11" customFormat="1" ht="15.95" customHeight="1" x14ac:dyDescent="0.25">
      <c r="A8" s="11" t="s">
        <v>3</v>
      </c>
      <c r="B8" s="17"/>
      <c r="C8" s="44" t="s">
        <v>628</v>
      </c>
      <c r="D8" s="114" t="s">
        <v>626</v>
      </c>
      <c r="E8" s="70"/>
      <c r="H8" s="88"/>
      <c r="M8" s="88"/>
    </row>
    <row r="9" spans="1:19" s="11" customFormat="1" ht="15.75" x14ac:dyDescent="0.25">
      <c r="A9" s="77" t="s">
        <v>1887</v>
      </c>
      <c r="B9" s="98">
        <v>-30644</v>
      </c>
      <c r="C9" s="31">
        <v>45230</v>
      </c>
      <c r="D9" s="28">
        <v>45232</v>
      </c>
      <c r="E9" s="71"/>
      <c r="F9" s="55"/>
      <c r="G9" s="55"/>
      <c r="M9" s="88"/>
    </row>
    <row r="10" spans="1:19" s="11" customFormat="1" ht="15.75" x14ac:dyDescent="0.25">
      <c r="A10" s="77" t="s">
        <v>1888</v>
      </c>
      <c r="B10" s="98">
        <v>-30644</v>
      </c>
      <c r="C10" s="31">
        <v>45230</v>
      </c>
      <c r="D10" s="28">
        <v>45232</v>
      </c>
      <c r="E10" s="71"/>
      <c r="F10" s="55"/>
      <c r="G10" s="55"/>
      <c r="M10" s="88"/>
    </row>
    <row r="11" spans="1:19" s="11" customFormat="1" ht="15.75" x14ac:dyDescent="0.25">
      <c r="A11" s="77" t="s">
        <v>1889</v>
      </c>
      <c r="B11" s="98">
        <v>-31357</v>
      </c>
      <c r="C11" s="31">
        <v>45230</v>
      </c>
      <c r="D11" s="28">
        <v>45232</v>
      </c>
      <c r="E11" s="71"/>
      <c r="F11" s="55"/>
      <c r="G11" s="55"/>
      <c r="M11" s="88"/>
    </row>
    <row r="12" spans="1:19" s="11" customFormat="1" ht="15.75" x14ac:dyDescent="0.25">
      <c r="A12" s="77" t="s">
        <v>1890</v>
      </c>
      <c r="B12" s="98">
        <v>-31492</v>
      </c>
      <c r="C12" s="31">
        <v>45230</v>
      </c>
      <c r="D12" s="28">
        <v>45232</v>
      </c>
      <c r="E12" s="71"/>
      <c r="F12" s="55"/>
      <c r="G12" s="55"/>
      <c r="M12" s="88"/>
    </row>
    <row r="13" spans="1:19" s="11" customFormat="1" ht="15.75" x14ac:dyDescent="0.25">
      <c r="A13" s="77" t="s">
        <v>1891</v>
      </c>
      <c r="B13" s="98">
        <v>-33167</v>
      </c>
      <c r="C13" s="31">
        <v>45230</v>
      </c>
      <c r="D13" s="28">
        <v>45232</v>
      </c>
      <c r="E13" s="71"/>
      <c r="F13" s="55"/>
      <c r="G13" s="55"/>
      <c r="M13" s="88"/>
    </row>
    <row r="14" spans="1:19" s="11" customFormat="1" ht="15.75" x14ac:dyDescent="0.25">
      <c r="A14" s="77" t="s">
        <v>1892</v>
      </c>
      <c r="B14" s="98">
        <v>-33167</v>
      </c>
      <c r="C14" s="31">
        <v>45230</v>
      </c>
      <c r="D14" s="28">
        <v>45232</v>
      </c>
      <c r="E14" s="71"/>
      <c r="F14" s="55"/>
      <c r="G14" s="55"/>
      <c r="M14" s="88"/>
    </row>
    <row r="15" spans="1:19" s="11" customFormat="1" ht="15.75" x14ac:dyDescent="0.25">
      <c r="A15" s="77" t="s">
        <v>1893</v>
      </c>
      <c r="B15" s="98">
        <v>-35270</v>
      </c>
      <c r="C15" s="31">
        <v>45230</v>
      </c>
      <c r="D15" s="28">
        <v>45232</v>
      </c>
      <c r="E15" s="71"/>
      <c r="F15" s="55"/>
      <c r="G15" s="55"/>
      <c r="L15" s="11" t="s">
        <v>1437</v>
      </c>
      <c r="M15" s="88"/>
    </row>
    <row r="16" spans="1:19" s="11" customFormat="1" ht="15.75" x14ac:dyDescent="0.25">
      <c r="A16" s="77" t="s">
        <v>1894</v>
      </c>
      <c r="B16" s="98">
        <v>-36958</v>
      </c>
      <c r="C16" s="31">
        <v>45230</v>
      </c>
      <c r="D16" s="28">
        <v>45232</v>
      </c>
      <c r="E16" s="71"/>
      <c r="F16" s="55"/>
      <c r="G16" s="55"/>
      <c r="L16" s="11" t="s">
        <v>1438</v>
      </c>
      <c r="M16" s="88"/>
    </row>
    <row r="17" spans="1:13" s="11" customFormat="1" ht="15.75" x14ac:dyDescent="0.25">
      <c r="A17" s="77" t="s">
        <v>1895</v>
      </c>
      <c r="B17" s="98">
        <v>-40831</v>
      </c>
      <c r="C17" s="31">
        <v>45230</v>
      </c>
      <c r="D17" s="28">
        <v>45232</v>
      </c>
      <c r="E17" s="71"/>
      <c r="F17" s="55"/>
      <c r="G17" s="55"/>
      <c r="L17" s="11" t="s">
        <v>1439</v>
      </c>
      <c r="M17" s="88"/>
    </row>
    <row r="18" spans="1:13" s="11" customFormat="1" ht="15.75" x14ac:dyDescent="0.25">
      <c r="A18" s="77" t="s">
        <v>1896</v>
      </c>
      <c r="B18" s="98">
        <v>-63836.09</v>
      </c>
      <c r="C18" s="31">
        <v>45223</v>
      </c>
      <c r="D18" s="28">
        <v>45233</v>
      </c>
      <c r="E18" s="71"/>
      <c r="F18" s="55"/>
      <c r="G18" s="55"/>
      <c r="L18" s="11" t="s">
        <v>1440</v>
      </c>
      <c r="M18" s="88"/>
    </row>
    <row r="19" spans="1:13" s="11" customFormat="1" ht="15.75" x14ac:dyDescent="0.25">
      <c r="A19" s="77" t="s">
        <v>1897</v>
      </c>
      <c r="B19" s="98">
        <v>-64297.68</v>
      </c>
      <c r="C19" s="31">
        <v>45217</v>
      </c>
      <c r="D19" s="28">
        <v>45231</v>
      </c>
      <c r="E19" s="71"/>
      <c r="F19" s="55"/>
      <c r="G19" s="55"/>
      <c r="L19" s="11" t="s">
        <v>1441</v>
      </c>
      <c r="M19" s="88"/>
    </row>
    <row r="20" spans="1:13" s="11" customFormat="1" ht="15.75" x14ac:dyDescent="0.25">
      <c r="A20" s="77" t="s">
        <v>1898</v>
      </c>
      <c r="B20" s="98">
        <v>-64297.68</v>
      </c>
      <c r="C20" s="31">
        <v>45219</v>
      </c>
      <c r="D20" s="28">
        <v>45231</v>
      </c>
      <c r="E20" s="71"/>
      <c r="F20" s="55"/>
      <c r="G20" s="55"/>
      <c r="L20" s="11" t="s">
        <v>1442</v>
      </c>
      <c r="M20" s="88"/>
    </row>
    <row r="21" spans="1:13" s="11" customFormat="1" ht="15.75" x14ac:dyDescent="0.25">
      <c r="A21" s="77" t="s">
        <v>1899</v>
      </c>
      <c r="B21" s="98">
        <v>-73612.350000000006</v>
      </c>
      <c r="C21" s="31">
        <v>45220</v>
      </c>
      <c r="D21" s="28">
        <v>45232</v>
      </c>
      <c r="E21" s="71"/>
      <c r="F21" s="55"/>
      <c r="G21" s="55"/>
      <c r="L21" s="11" t="s">
        <v>1443</v>
      </c>
      <c r="M21" s="88"/>
    </row>
    <row r="22" spans="1:13" s="11" customFormat="1" ht="15.75" x14ac:dyDescent="0.25">
      <c r="A22" s="77" t="s">
        <v>1900</v>
      </c>
      <c r="B22" s="98">
        <v>-74171.850000000006</v>
      </c>
      <c r="C22" s="31">
        <v>45220</v>
      </c>
      <c r="D22" s="28">
        <v>45233</v>
      </c>
      <c r="E22" s="71"/>
      <c r="F22" s="55"/>
      <c r="G22" s="55"/>
      <c r="L22" s="11" t="s">
        <v>1444</v>
      </c>
    </row>
    <row r="23" spans="1:13" s="11" customFormat="1" ht="15.75" x14ac:dyDescent="0.25">
      <c r="A23" s="77" t="s">
        <v>1901</v>
      </c>
      <c r="B23" s="98">
        <v>-75379.44</v>
      </c>
      <c r="C23" s="31">
        <v>45223</v>
      </c>
      <c r="D23" s="28">
        <v>45233</v>
      </c>
      <c r="E23" s="71"/>
      <c r="F23" s="55"/>
      <c r="G23" s="55"/>
      <c r="L23" s="11" t="s">
        <v>1445</v>
      </c>
    </row>
    <row r="24" spans="1:13" s="11" customFormat="1" ht="15.75" x14ac:dyDescent="0.25">
      <c r="A24" s="77" t="s">
        <v>1902</v>
      </c>
      <c r="B24" s="98">
        <v>-78265.53</v>
      </c>
      <c r="C24" s="31">
        <v>45226</v>
      </c>
      <c r="D24" s="28">
        <v>45232</v>
      </c>
      <c r="E24" s="71"/>
      <c r="F24" s="55"/>
      <c r="G24" s="55"/>
      <c r="L24" s="11" t="s">
        <v>1446</v>
      </c>
    </row>
    <row r="25" spans="1:13" s="11" customFormat="1" ht="15" customHeight="1" x14ac:dyDescent="0.25">
      <c r="A25" s="77"/>
      <c r="B25" s="66"/>
      <c r="C25" s="33"/>
      <c r="D25" s="28"/>
      <c r="E25" s="94"/>
      <c r="F25" s="55"/>
      <c r="G25" s="55"/>
      <c r="L25" s="11" t="s">
        <v>1447</v>
      </c>
    </row>
    <row r="26" spans="1:13" s="11" customFormat="1" ht="15.95" customHeight="1" x14ac:dyDescent="0.25">
      <c r="B26" s="25">
        <f>SUM(B9:B25)</f>
        <v>-797390.61999999988</v>
      </c>
      <c r="C26" s="28"/>
      <c r="D26" s="28"/>
      <c r="E26" s="75"/>
      <c r="F26" s="19"/>
      <c r="G26" s="19"/>
      <c r="L26" s="11" t="s">
        <v>1448</v>
      </c>
    </row>
    <row r="27" spans="1:13" s="11" customFormat="1" ht="15.95" customHeight="1" x14ac:dyDescent="0.25">
      <c r="A27" s="11" t="s">
        <v>2</v>
      </c>
      <c r="B27" s="25"/>
      <c r="C27" s="30" t="s">
        <v>626</v>
      </c>
      <c r="D27" s="114" t="s">
        <v>628</v>
      </c>
      <c r="E27" s="70"/>
      <c r="L27" s="11" t="s">
        <v>1449</v>
      </c>
    </row>
    <row r="28" spans="1:13" s="11" customFormat="1" ht="15.95" customHeight="1" x14ac:dyDescent="0.25">
      <c r="A28" s="11" t="s">
        <v>1886</v>
      </c>
      <c r="B28" s="119">
        <v>27020.41</v>
      </c>
      <c r="C28" s="97">
        <v>45217</v>
      </c>
      <c r="D28" s="92">
        <v>4800</v>
      </c>
      <c r="E28" s="70"/>
      <c r="L28" s="11" t="s">
        <v>1450</v>
      </c>
      <c r="M28" s="88"/>
    </row>
    <row r="29" spans="1:13" s="11" customFormat="1" ht="15.95" customHeight="1" x14ac:dyDescent="0.25">
      <c r="A29" s="11" t="s">
        <v>1906</v>
      </c>
      <c r="B29" s="119">
        <v>27776.99</v>
      </c>
      <c r="C29" s="95">
        <v>45218</v>
      </c>
      <c r="D29" s="106">
        <v>45237</v>
      </c>
      <c r="E29" s="70"/>
      <c r="L29" s="11" t="s">
        <v>1451</v>
      </c>
    </row>
    <row r="30" spans="1:13" s="11" customFormat="1" ht="15.95" customHeight="1" x14ac:dyDescent="0.25">
      <c r="A30" s="11" t="s">
        <v>1907</v>
      </c>
      <c r="B30" s="119">
        <v>27776.99</v>
      </c>
      <c r="C30" s="95">
        <v>45218</v>
      </c>
      <c r="D30" s="106">
        <v>45233</v>
      </c>
      <c r="E30" s="70"/>
      <c r="L30" s="11" t="s">
        <v>1452</v>
      </c>
    </row>
    <row r="31" spans="1:13" s="11" customFormat="1" ht="15.95" customHeight="1" x14ac:dyDescent="0.25">
      <c r="A31" s="11" t="s">
        <v>1908</v>
      </c>
      <c r="B31" s="119">
        <v>45677.440000000002</v>
      </c>
      <c r="C31" s="95">
        <v>45170</v>
      </c>
      <c r="D31" s="14">
        <v>45233</v>
      </c>
      <c r="E31" s="70"/>
      <c r="L31" s="11" t="s">
        <v>1453</v>
      </c>
    </row>
    <row r="32" spans="1:13" s="11" customFormat="1" ht="15.95" customHeight="1" x14ac:dyDescent="0.25">
      <c r="A32" s="11" t="s">
        <v>1909</v>
      </c>
      <c r="B32" s="119">
        <v>46139.03</v>
      </c>
      <c r="C32" s="95">
        <v>45170</v>
      </c>
      <c r="D32" s="14">
        <v>45231</v>
      </c>
      <c r="E32" s="70"/>
      <c r="L32" s="11" t="s">
        <v>1436</v>
      </c>
    </row>
    <row r="33" spans="1:13" s="11" customFormat="1" ht="15.95" customHeight="1" x14ac:dyDescent="0.25">
      <c r="A33" s="11" t="s">
        <v>1781</v>
      </c>
      <c r="B33" s="119">
        <v>83481.31</v>
      </c>
      <c r="C33" s="95">
        <v>45110</v>
      </c>
      <c r="D33" s="92">
        <v>4800</v>
      </c>
      <c r="E33" s="70"/>
      <c r="L33" s="11" t="s">
        <v>1454</v>
      </c>
    </row>
    <row r="34" spans="1:13" s="11" customFormat="1" ht="15.95" customHeight="1" x14ac:dyDescent="0.25">
      <c r="A34" s="11" t="s">
        <v>1903</v>
      </c>
      <c r="B34" s="119">
        <v>85068.2</v>
      </c>
      <c r="C34" s="95">
        <v>45226</v>
      </c>
      <c r="D34" s="92">
        <v>4200</v>
      </c>
      <c r="E34" s="70"/>
      <c r="L34" s="11" t="s">
        <v>1455</v>
      </c>
    </row>
    <row r="35" spans="1:13" s="11" customFormat="1" ht="15.95" customHeight="1" x14ac:dyDescent="0.25">
      <c r="A35" s="11" t="s">
        <v>1904</v>
      </c>
      <c r="B35" s="119">
        <v>85068.2</v>
      </c>
      <c r="C35" s="95">
        <v>45226</v>
      </c>
      <c r="D35" s="92">
        <v>4800</v>
      </c>
      <c r="E35" s="70"/>
      <c r="L35" s="11" t="s">
        <v>1456</v>
      </c>
    </row>
    <row r="36" spans="1:13" s="11" customFormat="1" ht="15.95" customHeight="1" x14ac:dyDescent="0.25">
      <c r="A36" s="11" t="s">
        <v>1905</v>
      </c>
      <c r="B36" s="119">
        <v>87054.78</v>
      </c>
      <c r="C36" s="95">
        <v>45201</v>
      </c>
      <c r="D36" s="92">
        <v>4800</v>
      </c>
      <c r="E36" s="70"/>
      <c r="L36" s="11" t="s">
        <v>1457</v>
      </c>
    </row>
    <row r="37" spans="1:13" s="11" customFormat="1" ht="15.95" customHeight="1" x14ac:dyDescent="0.25">
      <c r="A37" s="11" t="s">
        <v>1910</v>
      </c>
      <c r="B37" s="119">
        <v>88705.3</v>
      </c>
      <c r="C37" s="95">
        <v>45226</v>
      </c>
      <c r="D37" s="14">
        <v>45233</v>
      </c>
      <c r="E37" s="70"/>
      <c r="L37" s="11" t="s">
        <v>1458</v>
      </c>
    </row>
    <row r="38" spans="1:13" s="11" customFormat="1" ht="15.95" customHeight="1" x14ac:dyDescent="0.25">
      <c r="A38" s="11" t="s">
        <v>1911</v>
      </c>
      <c r="B38" s="119">
        <v>88845.18</v>
      </c>
      <c r="C38" s="95">
        <v>45226</v>
      </c>
      <c r="D38" s="14">
        <v>45236</v>
      </c>
      <c r="E38" s="70"/>
      <c r="L38" s="11" t="s">
        <v>1368</v>
      </c>
    </row>
    <row r="39" spans="1:13" s="11" customFormat="1" ht="15.95" customHeight="1" x14ac:dyDescent="0.25">
      <c r="A39" s="11" t="s">
        <v>1912</v>
      </c>
      <c r="B39" s="119">
        <v>89264.8</v>
      </c>
      <c r="C39" s="95">
        <v>45229</v>
      </c>
      <c r="D39" s="14">
        <v>45236</v>
      </c>
      <c r="E39" s="70"/>
      <c r="L39" s="11" t="s">
        <v>1459</v>
      </c>
    </row>
    <row r="40" spans="1:13" s="11" customFormat="1" ht="15.95" customHeight="1" x14ac:dyDescent="0.25">
      <c r="B40" s="119"/>
      <c r="C40" s="95"/>
      <c r="D40" s="14">
        <v>4800</v>
      </c>
      <c r="E40" s="70"/>
      <c r="L40" s="11" t="s">
        <v>1369</v>
      </c>
    </row>
    <row r="41" spans="1:13" s="11" customFormat="1" ht="15.95" customHeight="1" x14ac:dyDescent="0.25">
      <c r="B41" s="25"/>
      <c r="E41" s="70"/>
      <c r="L41" s="11" t="s">
        <v>1460</v>
      </c>
    </row>
    <row r="42" spans="1:13" s="11" customFormat="1" ht="15.95" customHeight="1" x14ac:dyDescent="0.25">
      <c r="B42" s="25">
        <f>SUM(B28:B41)</f>
        <v>781878.63000000012</v>
      </c>
      <c r="C42" s="22" t="s">
        <v>1368</v>
      </c>
      <c r="D42" s="113"/>
      <c r="E42" s="70"/>
      <c r="H42" s="88"/>
    </row>
    <row r="43" spans="1:13" s="11" customFormat="1" ht="15.95" customHeight="1" x14ac:dyDescent="0.25">
      <c r="A43" s="11" t="s">
        <v>1</v>
      </c>
      <c r="B43" s="17">
        <f>B42+B26</f>
        <v>-15511.989999999758</v>
      </c>
      <c r="C43" s="120" t="s">
        <v>1369</v>
      </c>
      <c r="D43" s="125"/>
      <c r="E43" s="70"/>
      <c r="H43" s="88"/>
    </row>
    <row r="44" spans="1:13" s="11" customFormat="1" ht="15.95" customHeight="1" x14ac:dyDescent="0.25">
      <c r="A44" s="11" t="s">
        <v>0</v>
      </c>
      <c r="B44" s="17">
        <f>B43-B7</f>
        <v>4.6566128730773926E-10</v>
      </c>
      <c r="E44" s="70"/>
      <c r="H44" s="88"/>
    </row>
    <row r="45" spans="1:13" s="11" customFormat="1" ht="15.95" customHeight="1" x14ac:dyDescent="0.25">
      <c r="B45" s="17"/>
      <c r="E45" s="70"/>
      <c r="H45" s="88"/>
    </row>
    <row r="46" spans="1:13" s="11" customFormat="1" ht="20.100000000000001" customHeight="1" x14ac:dyDescent="0.25">
      <c r="A46" s="39"/>
      <c r="B46" s="93"/>
      <c r="C46" s="18"/>
      <c r="D46" s="18"/>
      <c r="E46" s="70"/>
      <c r="H46" s="88"/>
      <c r="L46" s="22"/>
      <c r="M46" s="113"/>
    </row>
    <row r="47" spans="1:13" s="11" customFormat="1" ht="20.100000000000001" customHeight="1" x14ac:dyDescent="0.3">
      <c r="A47" s="1"/>
      <c r="B47" s="10"/>
      <c r="C47" s="13"/>
      <c r="D47" s="47"/>
      <c r="E47" s="70"/>
      <c r="H47" s="88"/>
      <c r="L47" s="22" t="s">
        <v>1368</v>
      </c>
      <c r="M47" s="113"/>
    </row>
    <row r="48" spans="1:13" s="11" customFormat="1" ht="20.100000000000001" customHeight="1" x14ac:dyDescent="0.3">
      <c r="A48" s="1"/>
      <c r="B48" s="10"/>
      <c r="C48" s="13"/>
      <c r="D48" s="47"/>
      <c r="E48" s="70"/>
      <c r="H48" s="88"/>
      <c r="L48" s="120" t="s">
        <v>1369</v>
      </c>
      <c r="M48" s="125"/>
    </row>
    <row r="49" spans="1:9" s="11" customFormat="1" ht="20.100000000000001" customHeight="1" x14ac:dyDescent="0.3">
      <c r="A49" s="1"/>
      <c r="B49" s="10"/>
      <c r="C49" s="13"/>
      <c r="D49" s="47"/>
      <c r="E49" s="70"/>
      <c r="H49" s="88"/>
    </row>
    <row r="50" spans="1:9" s="13" customFormat="1" ht="20.100000000000001" customHeight="1" x14ac:dyDescent="0.3">
      <c r="A50" s="1"/>
      <c r="B50" s="10"/>
      <c r="D50" s="47"/>
      <c r="E50" s="70"/>
      <c r="F50" s="11"/>
      <c r="H50" s="88"/>
      <c r="I50" s="11"/>
    </row>
    <row r="51" spans="1:9" s="13" customFormat="1" ht="20.100000000000001" customHeight="1" x14ac:dyDescent="0.3">
      <c r="A51" s="1"/>
      <c r="B51" s="10"/>
      <c r="D51" s="47"/>
      <c r="E51" s="70"/>
      <c r="F51" s="11"/>
      <c r="H51" s="88"/>
      <c r="I51" s="11"/>
    </row>
    <row r="52" spans="1:9" s="13" customFormat="1" ht="20.100000000000001" customHeight="1" x14ac:dyDescent="0.3">
      <c r="A52" s="1"/>
      <c r="B52" s="10"/>
      <c r="D52" s="47"/>
      <c r="E52" s="70"/>
      <c r="F52" s="11"/>
      <c r="H52" s="88"/>
      <c r="I52" s="11"/>
    </row>
    <row r="53" spans="1:9" ht="20.100000000000001" customHeight="1" x14ac:dyDescent="0.3"/>
    <row r="54" spans="1:9" ht="20.100000000000001" customHeight="1" x14ac:dyDescent="0.3"/>
    <row r="55" spans="1:9" ht="20.100000000000001" customHeight="1" x14ac:dyDescent="0.3"/>
    <row r="56" spans="1:9" ht="20.100000000000001" customHeight="1" x14ac:dyDescent="0.3">
      <c r="G56" s="11"/>
    </row>
  </sheetData>
  <pageMargins left="0.7" right="0.7" top="0.75" bottom="0.75" header="0.3" footer="0.3"/>
  <pageSetup scale="69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6EE2A-D13C-4840-8843-ADE85D3325BE}">
  <sheetPr>
    <pageSetUpPr fitToPage="1"/>
  </sheetPr>
  <dimension ref="A1:S64"/>
  <sheetViews>
    <sheetView topLeftCell="A27" workbookViewId="0">
      <selection activeCell="F60" sqref="F60"/>
    </sheetView>
  </sheetViews>
  <sheetFormatPr defaultRowHeight="18.75" x14ac:dyDescent="0.3"/>
  <cols>
    <col min="1" max="1" width="20.7109375" style="1" customWidth="1"/>
    <col min="2" max="2" width="16.85546875" style="10" customWidth="1"/>
    <col min="3" max="3" width="28" style="6" bestFit="1" customWidth="1"/>
    <col min="4" max="4" width="19.7109375" style="116" customWidth="1"/>
    <col min="5" max="5" width="9.85546875" style="76" bestFit="1" customWidth="1"/>
    <col min="6" max="6" width="16.5703125" style="1" customWidth="1"/>
    <col min="7" max="7" width="35" style="1" bestFit="1" customWidth="1"/>
    <col min="8" max="8" width="5.5703125" style="90" bestFit="1" customWidth="1"/>
    <col min="9" max="11" width="9.140625" style="1"/>
    <col min="12" max="12" width="57.5703125" style="1" bestFit="1" customWidth="1"/>
    <col min="13" max="16384" width="9.140625" style="1"/>
  </cols>
  <sheetData>
    <row r="1" spans="1:19" s="11" customFormat="1" ht="20.100000000000001" customHeight="1" x14ac:dyDescent="0.25">
      <c r="A1" s="11" t="s">
        <v>1203</v>
      </c>
      <c r="B1" s="17"/>
      <c r="C1" s="13"/>
      <c r="D1" s="47"/>
      <c r="E1" s="70"/>
      <c r="H1" s="88"/>
    </row>
    <row r="2" spans="1:19" s="11" customFormat="1" ht="20.100000000000001" customHeight="1" x14ac:dyDescent="0.25">
      <c r="A2" s="14">
        <v>45260</v>
      </c>
      <c r="B2" s="17"/>
      <c r="C2" s="13"/>
      <c r="D2" s="47"/>
      <c r="E2" s="70"/>
      <c r="H2" s="88"/>
    </row>
    <row r="3" spans="1:19" s="11" customFormat="1" ht="20.100000000000001" customHeight="1" x14ac:dyDescent="0.25">
      <c r="A3" s="11" t="s">
        <v>311</v>
      </c>
      <c r="B3" s="17">
        <v>14397134.48</v>
      </c>
      <c r="C3" s="13"/>
      <c r="D3" s="47"/>
      <c r="E3" s="70"/>
      <c r="H3" s="88"/>
      <c r="M3" s="89"/>
    </row>
    <row r="4" spans="1:19" s="11" customFormat="1" ht="20.100000000000001" customHeight="1" x14ac:dyDescent="0.25">
      <c r="A4" s="11" t="s">
        <v>6</v>
      </c>
      <c r="B4" s="17"/>
      <c r="C4" s="13"/>
      <c r="D4" s="47"/>
      <c r="E4" s="70"/>
      <c r="H4" s="88"/>
      <c r="M4" s="89"/>
    </row>
    <row r="5" spans="1:19" s="11" customFormat="1" ht="20.100000000000001" customHeight="1" x14ac:dyDescent="0.25">
      <c r="A5" s="11">
        <v>2100</v>
      </c>
      <c r="B5" s="17">
        <v>-15306147.880000001</v>
      </c>
      <c r="C5" s="13"/>
      <c r="D5" s="47"/>
      <c r="E5" s="70"/>
      <c r="H5" s="88"/>
      <c r="M5" s="89"/>
    </row>
    <row r="6" spans="1:19" s="11" customFormat="1" ht="20.100000000000001" customHeight="1" x14ac:dyDescent="0.25">
      <c r="A6" s="11" t="s">
        <v>5</v>
      </c>
      <c r="B6" s="17">
        <f>SUM(B5)</f>
        <v>-15306147.880000001</v>
      </c>
      <c r="C6" s="13"/>
      <c r="D6" s="47"/>
      <c r="E6" s="70"/>
      <c r="H6" s="88"/>
      <c r="M6" s="89"/>
      <c r="O6" s="62"/>
      <c r="P6" s="62"/>
      <c r="Q6" s="62"/>
      <c r="R6" s="62"/>
      <c r="S6" s="62"/>
    </row>
    <row r="7" spans="1:19" s="11" customFormat="1" ht="20.100000000000001" customHeight="1" x14ac:dyDescent="0.25">
      <c r="A7" s="11" t="s">
        <v>4</v>
      </c>
      <c r="B7" s="17">
        <f>B6+B3</f>
        <v>-909013.40000000037</v>
      </c>
      <c r="C7" s="13"/>
      <c r="D7" s="47"/>
      <c r="E7" s="70"/>
      <c r="H7" s="88"/>
      <c r="M7" s="88"/>
    </row>
    <row r="8" spans="1:19" s="11" customFormat="1" ht="15.95" customHeight="1" x14ac:dyDescent="0.25">
      <c r="A8" s="11" t="s">
        <v>3</v>
      </c>
      <c r="B8" s="17"/>
      <c r="C8" s="44" t="s">
        <v>628</v>
      </c>
      <c r="D8" s="114" t="s">
        <v>626</v>
      </c>
      <c r="E8" s="70"/>
      <c r="H8" s="88"/>
      <c r="M8" s="88"/>
    </row>
    <row r="9" spans="1:19" s="11" customFormat="1" ht="15.75" x14ac:dyDescent="0.25">
      <c r="A9" s="77" t="s">
        <v>1913</v>
      </c>
      <c r="B9" s="98">
        <v>-31229</v>
      </c>
      <c r="C9" s="31">
        <v>45260</v>
      </c>
      <c r="D9" s="28">
        <v>45264</v>
      </c>
      <c r="E9" s="71"/>
      <c r="F9" s="55"/>
      <c r="G9" s="55"/>
      <c r="M9" s="88"/>
    </row>
    <row r="10" spans="1:19" s="11" customFormat="1" ht="15.75" x14ac:dyDescent="0.25">
      <c r="A10" s="77" t="s">
        <v>1914</v>
      </c>
      <c r="B10" s="98">
        <v>-33132</v>
      </c>
      <c r="C10" s="31">
        <v>45260</v>
      </c>
      <c r="D10" s="28">
        <v>45264</v>
      </c>
      <c r="E10" s="71"/>
      <c r="F10" s="55"/>
      <c r="G10" s="55"/>
      <c r="L10" s="11" t="s">
        <v>1437</v>
      </c>
      <c r="M10" s="88"/>
    </row>
    <row r="11" spans="1:19" s="11" customFormat="1" ht="15.75" x14ac:dyDescent="0.25">
      <c r="A11" s="77" t="s">
        <v>1915</v>
      </c>
      <c r="B11" s="98">
        <v>-33830</v>
      </c>
      <c r="C11" s="31">
        <v>45162</v>
      </c>
      <c r="D11" s="28" t="s">
        <v>1950</v>
      </c>
      <c r="E11" s="71"/>
      <c r="F11" s="55"/>
      <c r="G11" s="55"/>
      <c r="L11" s="11" t="s">
        <v>1438</v>
      </c>
      <c r="M11" s="88"/>
    </row>
    <row r="12" spans="1:19" s="11" customFormat="1" ht="15.75" x14ac:dyDescent="0.25">
      <c r="A12" s="77" t="s">
        <v>1916</v>
      </c>
      <c r="B12" s="98">
        <v>-34930</v>
      </c>
      <c r="C12" s="31">
        <v>45260</v>
      </c>
      <c r="D12" s="28">
        <v>45264</v>
      </c>
      <c r="E12" s="71"/>
      <c r="F12" s="55"/>
      <c r="G12" s="55"/>
      <c r="L12" s="11" t="s">
        <v>1439</v>
      </c>
      <c r="M12" s="88"/>
    </row>
    <row r="13" spans="1:19" s="11" customFormat="1" ht="15.75" x14ac:dyDescent="0.25">
      <c r="A13" s="77" t="s">
        <v>1917</v>
      </c>
      <c r="B13" s="98">
        <v>-35118</v>
      </c>
      <c r="C13" s="31">
        <v>45260</v>
      </c>
      <c r="D13" s="28">
        <v>45264</v>
      </c>
      <c r="E13" s="71"/>
      <c r="F13" s="55"/>
      <c r="G13" s="55"/>
      <c r="L13" s="11" t="s">
        <v>1440</v>
      </c>
      <c r="M13" s="88"/>
    </row>
    <row r="14" spans="1:19" s="11" customFormat="1" ht="15.75" x14ac:dyDescent="0.25">
      <c r="A14" s="77" t="s">
        <v>1918</v>
      </c>
      <c r="B14" s="98">
        <v>-35185</v>
      </c>
      <c r="C14" s="31">
        <v>45260</v>
      </c>
      <c r="D14" s="28">
        <v>45264</v>
      </c>
      <c r="E14" s="71"/>
      <c r="F14" s="55"/>
      <c r="G14" s="55"/>
      <c r="L14" s="11" t="s">
        <v>1441</v>
      </c>
      <c r="M14" s="88"/>
    </row>
    <row r="15" spans="1:19" s="11" customFormat="1" ht="16.5" customHeight="1" x14ac:dyDescent="0.25">
      <c r="A15" s="77" t="s">
        <v>1919</v>
      </c>
      <c r="B15" s="98">
        <v>-35192</v>
      </c>
      <c r="C15" s="31">
        <v>45260</v>
      </c>
      <c r="D15" s="28">
        <v>45264</v>
      </c>
      <c r="E15" s="71"/>
      <c r="F15" s="55"/>
      <c r="G15" s="55"/>
      <c r="L15" s="11" t="s">
        <v>1442</v>
      </c>
      <c r="M15" s="88"/>
    </row>
    <row r="16" spans="1:19" s="11" customFormat="1" ht="15.75" x14ac:dyDescent="0.25">
      <c r="A16" s="77" t="s">
        <v>1920</v>
      </c>
      <c r="B16" s="98">
        <v>-37143</v>
      </c>
      <c r="C16" s="31">
        <v>45260</v>
      </c>
      <c r="D16" s="28">
        <v>45264</v>
      </c>
      <c r="E16" s="71"/>
      <c r="F16" s="55"/>
      <c r="G16" s="55"/>
      <c r="L16" s="11" t="s">
        <v>1443</v>
      </c>
      <c r="M16" s="88"/>
    </row>
    <row r="17" spans="1:13" s="11" customFormat="1" ht="15.75" x14ac:dyDescent="0.25">
      <c r="A17" s="77" t="s">
        <v>1921</v>
      </c>
      <c r="B17" s="98">
        <v>-37323</v>
      </c>
      <c r="C17" s="31">
        <v>45153</v>
      </c>
      <c r="D17" s="28" t="s">
        <v>1950</v>
      </c>
      <c r="E17" s="71"/>
      <c r="F17" s="55"/>
      <c r="G17" s="55"/>
      <c r="L17" s="11" t="s">
        <v>1444</v>
      </c>
      <c r="M17" s="88"/>
    </row>
    <row r="18" spans="1:13" s="11" customFormat="1" ht="15.75" x14ac:dyDescent="0.25">
      <c r="A18" s="77" t="s">
        <v>1922</v>
      </c>
      <c r="B18" s="98">
        <v>-40654</v>
      </c>
      <c r="C18" s="31">
        <v>45260</v>
      </c>
      <c r="D18" s="28">
        <v>45264</v>
      </c>
      <c r="E18" s="71"/>
      <c r="F18" s="55"/>
      <c r="G18" s="55"/>
      <c r="L18" s="11" t="s">
        <v>1445</v>
      </c>
      <c r="M18" s="88"/>
    </row>
    <row r="19" spans="1:13" s="11" customFormat="1" ht="15.75" x14ac:dyDescent="0.25">
      <c r="A19" s="77" t="s">
        <v>1923</v>
      </c>
      <c r="B19" s="98">
        <v>-43740</v>
      </c>
      <c r="C19" s="31">
        <v>45175</v>
      </c>
      <c r="D19" s="28" t="s">
        <v>1950</v>
      </c>
      <c r="E19" s="71"/>
      <c r="F19" s="55"/>
      <c r="G19" s="55"/>
      <c r="L19" s="11" t="s">
        <v>1446</v>
      </c>
      <c r="M19" s="88"/>
    </row>
    <row r="20" spans="1:13" s="11" customFormat="1" ht="15.75" x14ac:dyDescent="0.25">
      <c r="A20" s="77" t="s">
        <v>1924</v>
      </c>
      <c r="B20" s="98">
        <v>-44868.91</v>
      </c>
      <c r="C20" s="31">
        <v>45241</v>
      </c>
      <c r="D20" s="28">
        <v>45266</v>
      </c>
      <c r="E20" s="71"/>
      <c r="F20" s="55"/>
      <c r="G20" s="55"/>
      <c r="L20" s="11" t="s">
        <v>1447</v>
      </c>
      <c r="M20" s="88"/>
    </row>
    <row r="21" spans="1:13" s="11" customFormat="1" ht="15.75" x14ac:dyDescent="0.25">
      <c r="A21" s="77" t="s">
        <v>1925</v>
      </c>
      <c r="B21" s="98">
        <v>-44868.91</v>
      </c>
      <c r="C21" s="31">
        <v>45241</v>
      </c>
      <c r="D21" s="28">
        <v>45264</v>
      </c>
      <c r="E21" s="71"/>
      <c r="F21" s="55"/>
      <c r="G21" s="55"/>
      <c r="L21" s="11" t="s">
        <v>1448</v>
      </c>
      <c r="M21" s="88"/>
    </row>
    <row r="22" spans="1:13" s="11" customFormat="1" ht="15.75" x14ac:dyDescent="0.25">
      <c r="A22" s="77" t="s">
        <v>1926</v>
      </c>
      <c r="B22" s="98">
        <v>-45330.5</v>
      </c>
      <c r="C22" s="31">
        <v>45241</v>
      </c>
      <c r="D22" s="28">
        <v>45265</v>
      </c>
      <c r="E22" s="71"/>
      <c r="F22" s="55"/>
      <c r="G22" s="55"/>
      <c r="L22" s="11" t="s">
        <v>1449</v>
      </c>
      <c r="M22" s="88"/>
    </row>
    <row r="23" spans="1:13" s="11" customFormat="1" ht="15.75" x14ac:dyDescent="0.25">
      <c r="A23" s="77" t="s">
        <v>1927</v>
      </c>
      <c r="B23" s="98">
        <v>-45330.5</v>
      </c>
      <c r="C23" s="31">
        <v>45241</v>
      </c>
      <c r="D23" s="28">
        <v>45266</v>
      </c>
      <c r="E23" s="71"/>
      <c r="F23" s="55"/>
      <c r="G23" s="55"/>
      <c r="L23" s="11" t="s">
        <v>1450</v>
      </c>
      <c r="M23" s="88"/>
    </row>
    <row r="24" spans="1:13" s="11" customFormat="1" ht="15.75" x14ac:dyDescent="0.25">
      <c r="A24" s="77" t="s">
        <v>1928</v>
      </c>
      <c r="B24" s="98">
        <v>-45330.5</v>
      </c>
      <c r="C24" s="31">
        <v>45241</v>
      </c>
      <c r="D24" s="28">
        <v>45264</v>
      </c>
      <c r="E24" s="71"/>
      <c r="F24" s="55"/>
      <c r="G24" s="55"/>
      <c r="L24" s="11" t="s">
        <v>1451</v>
      </c>
      <c r="M24" s="88"/>
    </row>
    <row r="25" spans="1:13" s="11" customFormat="1" ht="15.75" x14ac:dyDescent="0.25">
      <c r="A25" s="77" t="s">
        <v>1929</v>
      </c>
      <c r="B25" s="98">
        <v>-45745.55</v>
      </c>
      <c r="C25" s="31">
        <v>45241</v>
      </c>
      <c r="D25" s="28">
        <v>45266</v>
      </c>
      <c r="E25" s="71"/>
      <c r="F25" s="55"/>
      <c r="G25" s="55"/>
      <c r="L25" s="11" t="s">
        <v>1452</v>
      </c>
      <c r="M25" s="88"/>
    </row>
    <row r="26" spans="1:13" s="11" customFormat="1" ht="15.75" x14ac:dyDescent="0.25">
      <c r="A26" s="77" t="s">
        <v>1930</v>
      </c>
      <c r="B26" s="98">
        <v>-46807</v>
      </c>
      <c r="C26" s="31">
        <v>45260</v>
      </c>
      <c r="D26" s="28">
        <v>45264</v>
      </c>
      <c r="E26" s="71"/>
      <c r="F26" s="55"/>
      <c r="G26" s="55"/>
      <c r="L26" s="11" t="s">
        <v>1453</v>
      </c>
      <c r="M26" s="88"/>
    </row>
    <row r="27" spans="1:13" s="11" customFormat="1" ht="15.75" x14ac:dyDescent="0.25">
      <c r="A27" s="77" t="s">
        <v>1931</v>
      </c>
      <c r="B27" s="98">
        <v>-46860</v>
      </c>
      <c r="C27" s="31">
        <v>45148</v>
      </c>
      <c r="D27" s="28" t="s">
        <v>1950</v>
      </c>
      <c r="E27" s="71"/>
      <c r="F27" s="55"/>
      <c r="G27" s="55"/>
      <c r="L27" s="11" t="s">
        <v>1436</v>
      </c>
    </row>
    <row r="28" spans="1:13" s="11" customFormat="1" ht="15.75" x14ac:dyDescent="0.25">
      <c r="A28" s="77" t="s">
        <v>1932</v>
      </c>
      <c r="B28" s="98">
        <v>-47759.69</v>
      </c>
      <c r="C28" s="31">
        <v>45232</v>
      </c>
      <c r="D28" s="28">
        <v>45264</v>
      </c>
      <c r="E28" s="71"/>
      <c r="F28" s="55"/>
      <c r="G28" s="55"/>
      <c r="L28" s="11" t="s">
        <v>1454</v>
      </c>
    </row>
    <row r="29" spans="1:13" s="11" customFormat="1" ht="15.75" x14ac:dyDescent="0.25">
      <c r="A29" s="77" t="s">
        <v>1933</v>
      </c>
      <c r="B29" s="98">
        <v>-47759.69</v>
      </c>
      <c r="C29" s="31">
        <v>45241</v>
      </c>
      <c r="D29" s="28">
        <v>45265</v>
      </c>
      <c r="E29" s="71"/>
      <c r="F29" s="55"/>
      <c r="G29" s="55"/>
      <c r="L29" s="11" t="s">
        <v>1455</v>
      </c>
    </row>
    <row r="30" spans="1:13" s="11" customFormat="1" ht="15.75" x14ac:dyDescent="0.25">
      <c r="A30" s="77" t="s">
        <v>1934</v>
      </c>
      <c r="B30" s="98">
        <v>-69736.58</v>
      </c>
      <c r="C30" s="31">
        <v>45260</v>
      </c>
      <c r="D30" s="28">
        <v>45261</v>
      </c>
      <c r="E30" s="71"/>
      <c r="F30" s="55"/>
      <c r="G30" s="55"/>
      <c r="L30" s="11" t="s">
        <v>1456</v>
      </c>
    </row>
    <row r="31" spans="1:13" s="11" customFormat="1" ht="15.75" x14ac:dyDescent="0.25">
      <c r="A31" s="77" t="s">
        <v>1935</v>
      </c>
      <c r="B31" s="98">
        <v>-76120.78</v>
      </c>
      <c r="C31" s="31">
        <v>45254</v>
      </c>
      <c r="D31" s="28">
        <v>45261</v>
      </c>
      <c r="E31" s="71"/>
      <c r="F31" s="55"/>
      <c r="G31" s="55"/>
      <c r="L31" s="11" t="s">
        <v>1457</v>
      </c>
    </row>
    <row r="32" spans="1:13" s="11" customFormat="1" ht="15.75" x14ac:dyDescent="0.25">
      <c r="A32" s="77" t="s">
        <v>1936</v>
      </c>
      <c r="B32" s="98">
        <v>-76120.78</v>
      </c>
      <c r="C32" s="31">
        <v>45254</v>
      </c>
      <c r="D32" s="28">
        <v>45261</v>
      </c>
      <c r="E32" s="71"/>
      <c r="F32" s="55"/>
      <c r="G32" s="55"/>
      <c r="L32" s="11" t="s">
        <v>1458</v>
      </c>
    </row>
    <row r="33" spans="1:13" s="11" customFormat="1" ht="15.75" x14ac:dyDescent="0.25">
      <c r="A33" s="77" t="s">
        <v>1937</v>
      </c>
      <c r="B33" s="98">
        <v>-76120.78</v>
      </c>
      <c r="C33" s="31">
        <v>45254</v>
      </c>
      <c r="D33" s="28">
        <v>45261</v>
      </c>
      <c r="E33" s="71"/>
      <c r="F33" s="55"/>
      <c r="G33" s="55"/>
      <c r="L33" s="11" t="s">
        <v>1368</v>
      </c>
    </row>
    <row r="34" spans="1:13" s="11" customFormat="1" ht="15.75" x14ac:dyDescent="0.25">
      <c r="A34" s="77" t="s">
        <v>1938</v>
      </c>
      <c r="B34" s="98">
        <v>-76260.649999999994</v>
      </c>
      <c r="C34" s="31">
        <v>45254</v>
      </c>
      <c r="D34" s="28">
        <v>45261</v>
      </c>
      <c r="E34" s="71"/>
      <c r="F34" s="55"/>
      <c r="G34" s="55"/>
      <c r="L34" s="11" t="s">
        <v>1459</v>
      </c>
    </row>
    <row r="35" spans="1:13" s="11" customFormat="1" ht="15.75" x14ac:dyDescent="0.25">
      <c r="A35" s="77" t="s">
        <v>1939</v>
      </c>
      <c r="B35" s="98">
        <v>-76680.28</v>
      </c>
      <c r="C35" s="31">
        <v>45260</v>
      </c>
      <c r="D35" s="28">
        <v>45261</v>
      </c>
      <c r="E35" s="71"/>
      <c r="F35" s="55"/>
      <c r="G35" s="55"/>
      <c r="L35" s="11" t="s">
        <v>1369</v>
      </c>
    </row>
    <row r="36" spans="1:13" s="11" customFormat="1" ht="15" customHeight="1" x14ac:dyDescent="0.25">
      <c r="A36" s="77" t="s">
        <v>1940</v>
      </c>
      <c r="B36" s="66">
        <v>-76680.28</v>
      </c>
      <c r="C36" s="31">
        <v>45260</v>
      </c>
      <c r="D36" s="28">
        <v>45261</v>
      </c>
      <c r="E36" s="94"/>
      <c r="F36" s="55"/>
      <c r="G36" s="55"/>
      <c r="L36" s="11" t="s">
        <v>1460</v>
      </c>
    </row>
    <row r="37" spans="1:13" s="11" customFormat="1" ht="15" customHeight="1" x14ac:dyDescent="0.25">
      <c r="A37" s="77"/>
      <c r="B37" s="66"/>
      <c r="C37" s="28"/>
      <c r="D37" s="28"/>
      <c r="E37" s="94"/>
      <c r="F37" s="55"/>
      <c r="G37" s="55"/>
    </row>
    <row r="38" spans="1:13" s="11" customFormat="1" ht="15.95" customHeight="1" x14ac:dyDescent="0.25">
      <c r="B38" s="25">
        <f>SUM(B9:B36)</f>
        <v>-1385857.38</v>
      </c>
      <c r="C38" s="28"/>
      <c r="D38" s="28"/>
      <c r="E38" s="75"/>
      <c r="F38" s="19"/>
      <c r="G38" s="19"/>
    </row>
    <row r="39" spans="1:13" s="11" customFormat="1" ht="15.95" customHeight="1" x14ac:dyDescent="0.25">
      <c r="A39" s="11" t="s">
        <v>2</v>
      </c>
      <c r="B39" s="25"/>
      <c r="C39" s="30" t="s">
        <v>626</v>
      </c>
      <c r="D39" s="114" t="s">
        <v>628</v>
      </c>
      <c r="E39" s="70"/>
    </row>
    <row r="40" spans="1:13" s="11" customFormat="1" ht="15.95" customHeight="1" x14ac:dyDescent="0.25">
      <c r="A40" s="11" t="s">
        <v>1942</v>
      </c>
      <c r="B40" s="119">
        <v>32175</v>
      </c>
      <c r="C40" s="97" t="s">
        <v>1950</v>
      </c>
      <c r="D40" s="13" t="s">
        <v>1951</v>
      </c>
      <c r="E40" s="70"/>
      <c r="M40" s="88"/>
    </row>
    <row r="41" spans="1:13" s="11" customFormat="1" ht="15.95" customHeight="1" x14ac:dyDescent="0.25">
      <c r="A41" s="11" t="s">
        <v>1943</v>
      </c>
      <c r="B41" s="119">
        <v>35514</v>
      </c>
      <c r="C41" s="95" t="s">
        <v>1950</v>
      </c>
      <c r="D41" s="96" t="s">
        <v>1951</v>
      </c>
      <c r="E41" s="70"/>
    </row>
    <row r="42" spans="1:13" s="11" customFormat="1" ht="15.95" customHeight="1" x14ac:dyDescent="0.25">
      <c r="A42" s="11" t="s">
        <v>1944</v>
      </c>
      <c r="B42" s="119">
        <v>41639</v>
      </c>
      <c r="C42" s="95" t="s">
        <v>1950</v>
      </c>
      <c r="D42" s="96" t="s">
        <v>1951</v>
      </c>
      <c r="E42" s="70"/>
    </row>
    <row r="43" spans="1:13" s="11" customFormat="1" ht="15.95" customHeight="1" x14ac:dyDescent="0.25">
      <c r="A43" s="11" t="s">
        <v>1945</v>
      </c>
      <c r="B43" s="119">
        <v>42307.54</v>
      </c>
      <c r="C43" s="95">
        <v>45257</v>
      </c>
      <c r="D43" s="14">
        <v>45261</v>
      </c>
      <c r="E43" s="70"/>
    </row>
    <row r="44" spans="1:13" s="11" customFormat="1" ht="15.95" customHeight="1" x14ac:dyDescent="0.25">
      <c r="A44" s="11" t="s">
        <v>1946</v>
      </c>
      <c r="B44" s="119">
        <v>44637</v>
      </c>
      <c r="C44" s="95" t="s">
        <v>1950</v>
      </c>
      <c r="D44" s="13" t="s">
        <v>1951</v>
      </c>
      <c r="E44" s="70"/>
    </row>
    <row r="45" spans="1:13" s="11" customFormat="1" ht="15.95" customHeight="1" x14ac:dyDescent="0.25">
      <c r="A45" s="11" t="s">
        <v>1947</v>
      </c>
      <c r="B45" s="119">
        <v>48683.34</v>
      </c>
      <c r="C45" s="95">
        <v>45252</v>
      </c>
      <c r="D45" s="14">
        <v>45264</v>
      </c>
      <c r="E45" s="70"/>
    </row>
    <row r="46" spans="1:13" s="11" customFormat="1" ht="15.95" customHeight="1" x14ac:dyDescent="0.25">
      <c r="A46" s="11" t="s">
        <v>1948</v>
      </c>
      <c r="B46" s="119">
        <v>69618.240000000005</v>
      </c>
      <c r="C46" s="95">
        <v>45254</v>
      </c>
      <c r="D46" s="14">
        <v>45265</v>
      </c>
      <c r="E46" s="70"/>
    </row>
    <row r="47" spans="1:13" s="11" customFormat="1" ht="15.95" customHeight="1" x14ac:dyDescent="0.25">
      <c r="A47" s="11" t="s">
        <v>1949</v>
      </c>
      <c r="B47" s="119">
        <v>70243.91</v>
      </c>
      <c r="C47" s="95">
        <v>45254</v>
      </c>
      <c r="D47" s="14">
        <v>45268</v>
      </c>
      <c r="E47" s="70"/>
    </row>
    <row r="48" spans="1:13" s="11" customFormat="1" ht="15.95" customHeight="1" x14ac:dyDescent="0.25">
      <c r="A48" s="11" t="s">
        <v>1941</v>
      </c>
      <c r="B48" s="119">
        <v>92025.95</v>
      </c>
      <c r="C48" s="95">
        <v>45233</v>
      </c>
      <c r="D48" s="100" t="s">
        <v>1952</v>
      </c>
      <c r="E48" s="70"/>
    </row>
    <row r="49" spans="1:13" s="11" customFormat="1" ht="15.95" customHeight="1" x14ac:dyDescent="0.25">
      <c r="B49" s="25"/>
      <c r="E49" s="70"/>
    </row>
    <row r="50" spans="1:13" s="11" customFormat="1" ht="15.95" customHeight="1" x14ac:dyDescent="0.25">
      <c r="B50" s="25">
        <f>SUM(B40:B49)</f>
        <v>476843.98000000004</v>
      </c>
      <c r="E50" s="70"/>
      <c r="H50" s="88"/>
    </row>
    <row r="51" spans="1:13" s="11" customFormat="1" ht="15.95" customHeight="1" x14ac:dyDescent="0.25">
      <c r="A51" s="11" t="s">
        <v>1</v>
      </c>
      <c r="B51" s="17">
        <f>B50+B38</f>
        <v>-909013.39999999991</v>
      </c>
      <c r="E51" s="70"/>
      <c r="H51" s="88"/>
      <c r="L51" s="22" t="s">
        <v>1368</v>
      </c>
      <c r="M51" s="113"/>
    </row>
    <row r="52" spans="1:13" s="11" customFormat="1" ht="15.95" customHeight="1" x14ac:dyDescent="0.25">
      <c r="A52" s="11" t="s">
        <v>0</v>
      </c>
      <c r="B52" s="17">
        <f>B51-B7</f>
        <v>0</v>
      </c>
      <c r="E52" s="70"/>
      <c r="H52" s="88"/>
      <c r="L52" s="120" t="s">
        <v>1369</v>
      </c>
      <c r="M52" s="125"/>
    </row>
    <row r="53" spans="1:13" s="11" customFormat="1" ht="15.95" customHeight="1" x14ac:dyDescent="0.25">
      <c r="B53" s="17"/>
      <c r="E53" s="70"/>
      <c r="H53" s="88"/>
    </row>
    <row r="54" spans="1:13" s="11" customFormat="1" ht="20.100000000000001" customHeight="1" x14ac:dyDescent="0.25">
      <c r="A54" s="39"/>
      <c r="B54" s="93"/>
      <c r="C54" s="18"/>
      <c r="D54" s="18"/>
      <c r="E54" s="70"/>
      <c r="H54" s="88"/>
      <c r="L54" s="22"/>
      <c r="M54" s="113"/>
    </row>
    <row r="55" spans="1:13" s="11" customFormat="1" ht="20.100000000000001" customHeight="1" x14ac:dyDescent="0.3">
      <c r="A55" s="1"/>
      <c r="B55" s="10"/>
      <c r="C55" s="13"/>
      <c r="D55" s="47"/>
      <c r="E55" s="70"/>
      <c r="H55" s="88"/>
      <c r="L55" s="22" t="s">
        <v>1368</v>
      </c>
      <c r="M55" s="113"/>
    </row>
    <row r="56" spans="1:13" s="11" customFormat="1" ht="20.100000000000001" customHeight="1" x14ac:dyDescent="0.3">
      <c r="A56" s="1"/>
      <c r="B56" s="10"/>
      <c r="C56" s="13"/>
      <c r="D56" s="47"/>
      <c r="E56" s="70"/>
      <c r="H56" s="88"/>
      <c r="L56" s="120" t="s">
        <v>1369</v>
      </c>
      <c r="M56" s="125"/>
    </row>
    <row r="57" spans="1:13" s="11" customFormat="1" ht="20.100000000000001" customHeight="1" x14ac:dyDescent="0.3">
      <c r="A57" s="1"/>
      <c r="B57" s="10"/>
      <c r="C57" s="13"/>
      <c r="D57" s="47"/>
      <c r="E57" s="70"/>
      <c r="H57" s="88"/>
    </row>
    <row r="58" spans="1:13" s="13" customFormat="1" ht="20.100000000000001" customHeight="1" x14ac:dyDescent="0.3">
      <c r="A58" s="1"/>
      <c r="B58" s="10"/>
      <c r="D58" s="47"/>
      <c r="E58" s="70"/>
      <c r="F58" s="11"/>
      <c r="H58" s="88"/>
      <c r="I58" s="11"/>
    </row>
    <row r="59" spans="1:13" s="13" customFormat="1" ht="20.100000000000001" customHeight="1" x14ac:dyDescent="0.3">
      <c r="A59" s="1"/>
      <c r="B59" s="10"/>
      <c r="D59" s="47"/>
      <c r="E59" s="70"/>
      <c r="F59" s="11"/>
      <c r="H59" s="88"/>
      <c r="I59" s="11"/>
    </row>
    <row r="60" spans="1:13" s="13" customFormat="1" ht="20.100000000000001" customHeight="1" x14ac:dyDescent="0.3">
      <c r="A60" s="1"/>
      <c r="B60" s="10"/>
      <c r="D60" s="47"/>
      <c r="E60" s="70"/>
      <c r="F60" s="11"/>
      <c r="H60" s="88"/>
      <c r="I60" s="11"/>
    </row>
    <row r="61" spans="1:13" ht="20.100000000000001" customHeight="1" x14ac:dyDescent="0.3"/>
    <row r="62" spans="1:13" ht="20.100000000000001" customHeight="1" x14ac:dyDescent="0.3"/>
    <row r="63" spans="1:13" ht="20.100000000000001" customHeight="1" x14ac:dyDescent="0.3"/>
    <row r="64" spans="1:13" ht="20.100000000000001" customHeight="1" x14ac:dyDescent="0.3">
      <c r="G64" s="11"/>
    </row>
  </sheetData>
  <pageMargins left="0.7" right="0.7" top="0.75" bottom="0.75" header="0.3" footer="0.3"/>
  <pageSetup scale="80"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9B261-CDF8-45C4-8504-40A1F62F2EDF}">
  <dimension ref="A1:S52"/>
  <sheetViews>
    <sheetView workbookViewId="0">
      <selection activeCell="D36" sqref="D36"/>
    </sheetView>
  </sheetViews>
  <sheetFormatPr defaultRowHeight="18.75" x14ac:dyDescent="0.3"/>
  <cols>
    <col min="1" max="1" width="20.7109375" style="1" customWidth="1"/>
    <col min="2" max="2" width="16.85546875" style="10" customWidth="1"/>
    <col min="3" max="3" width="28" style="6" bestFit="1" customWidth="1"/>
    <col min="4" max="4" width="19.7109375" style="116" customWidth="1"/>
    <col min="5" max="5" width="36.28515625" style="128" customWidth="1"/>
    <col min="6" max="6" width="16.5703125" style="1" customWidth="1"/>
    <col min="7" max="7" width="35" style="1" bestFit="1" customWidth="1"/>
    <col min="8" max="8" width="5.5703125" style="90" bestFit="1" customWidth="1"/>
    <col min="9" max="11" width="9.140625" style="1"/>
    <col min="12" max="12" width="57.5703125" style="1" bestFit="1" customWidth="1"/>
    <col min="13" max="16384" width="9.140625" style="1"/>
  </cols>
  <sheetData>
    <row r="1" spans="1:19" s="11" customFormat="1" ht="20.100000000000001" customHeight="1" x14ac:dyDescent="0.25">
      <c r="A1" s="11" t="s">
        <v>1203</v>
      </c>
      <c r="B1" s="17"/>
      <c r="C1" s="13"/>
      <c r="D1" s="47"/>
      <c r="E1" s="72"/>
      <c r="H1" s="88"/>
    </row>
    <row r="2" spans="1:19" s="11" customFormat="1" ht="20.100000000000001" customHeight="1" x14ac:dyDescent="0.25">
      <c r="A2" s="14">
        <v>45291</v>
      </c>
      <c r="B2" s="17"/>
      <c r="C2" s="13"/>
      <c r="D2" s="47"/>
      <c r="E2" s="72"/>
      <c r="H2" s="88"/>
    </row>
    <row r="3" spans="1:19" s="11" customFormat="1" ht="20.100000000000001" customHeight="1" x14ac:dyDescent="0.25">
      <c r="A3" s="11" t="s">
        <v>311</v>
      </c>
      <c r="B3" s="17">
        <v>15256479.77</v>
      </c>
      <c r="C3" s="13"/>
      <c r="D3" s="47"/>
      <c r="E3" s="72"/>
      <c r="H3" s="88"/>
      <c r="M3" s="89"/>
    </row>
    <row r="4" spans="1:19" s="11" customFormat="1" ht="20.100000000000001" customHeight="1" x14ac:dyDescent="0.25">
      <c r="A4" s="11" t="s">
        <v>6</v>
      </c>
      <c r="B4" s="17"/>
      <c r="C4" s="13"/>
      <c r="D4" s="47"/>
      <c r="E4" s="72"/>
      <c r="H4" s="88"/>
      <c r="M4" s="89"/>
    </row>
    <row r="5" spans="1:19" s="11" customFormat="1" ht="20.100000000000001" customHeight="1" x14ac:dyDescent="0.25">
      <c r="A5" s="11">
        <v>2100</v>
      </c>
      <c r="B5" s="17">
        <v>-15345161.939999999</v>
      </c>
      <c r="C5" s="13"/>
      <c r="D5" s="47"/>
      <c r="E5" s="72"/>
      <c r="H5" s="88"/>
      <c r="M5" s="89"/>
    </row>
    <row r="6" spans="1:19" s="11" customFormat="1" ht="20.100000000000001" customHeight="1" x14ac:dyDescent="0.25">
      <c r="A6" s="11" t="s">
        <v>5</v>
      </c>
      <c r="B6" s="17">
        <f>SUM(B5)</f>
        <v>-15345161.939999999</v>
      </c>
      <c r="C6" s="13"/>
      <c r="D6" s="47"/>
      <c r="E6" s="72"/>
      <c r="H6" s="88"/>
      <c r="M6" s="89"/>
      <c r="O6" s="62"/>
      <c r="P6" s="62"/>
      <c r="Q6" s="62"/>
      <c r="R6" s="62"/>
      <c r="S6" s="62"/>
    </row>
    <row r="7" spans="1:19" s="11" customFormat="1" ht="20.100000000000001" customHeight="1" x14ac:dyDescent="0.25">
      <c r="A7" s="11" t="s">
        <v>4</v>
      </c>
      <c r="B7" s="17">
        <f>B6+B3</f>
        <v>-88682.169999999925</v>
      </c>
      <c r="C7" s="13"/>
      <c r="D7" s="47"/>
      <c r="E7" s="72"/>
      <c r="H7" s="88"/>
      <c r="M7" s="88"/>
    </row>
    <row r="8" spans="1:19" s="11" customFormat="1" ht="15.95" customHeight="1" x14ac:dyDescent="0.25">
      <c r="A8" s="11" t="s">
        <v>3</v>
      </c>
      <c r="B8" s="17"/>
      <c r="C8" s="44" t="s">
        <v>628</v>
      </c>
      <c r="D8" s="114" t="s">
        <v>626</v>
      </c>
      <c r="E8" s="72"/>
      <c r="H8" s="88"/>
      <c r="M8" s="88"/>
    </row>
    <row r="9" spans="1:19" s="11" customFormat="1" ht="15.75" x14ac:dyDescent="0.25">
      <c r="A9" s="77" t="s">
        <v>1953</v>
      </c>
      <c r="B9" s="98">
        <v>-29630</v>
      </c>
      <c r="C9" s="31">
        <v>45289</v>
      </c>
      <c r="D9" s="28">
        <v>45293</v>
      </c>
      <c r="E9" s="71"/>
      <c r="F9" s="55"/>
      <c r="G9" s="55"/>
      <c r="M9" s="88"/>
    </row>
    <row r="10" spans="1:19" s="11" customFormat="1" ht="15.75" x14ac:dyDescent="0.25">
      <c r="A10" s="77" t="s">
        <v>1954</v>
      </c>
      <c r="B10" s="98">
        <v>-31547</v>
      </c>
      <c r="C10" s="31">
        <v>45289</v>
      </c>
      <c r="D10" s="28">
        <v>45293</v>
      </c>
      <c r="E10" s="71"/>
      <c r="F10" s="55"/>
      <c r="G10" s="55"/>
      <c r="M10" s="88"/>
    </row>
    <row r="11" spans="1:19" s="11" customFormat="1" ht="15.75" x14ac:dyDescent="0.25">
      <c r="A11" s="77" t="s">
        <v>1955</v>
      </c>
      <c r="B11" s="98">
        <v>-33556</v>
      </c>
      <c r="C11" s="31">
        <v>45289</v>
      </c>
      <c r="D11" s="28">
        <v>45293</v>
      </c>
      <c r="E11" s="71"/>
      <c r="F11" s="55"/>
      <c r="G11" s="55"/>
      <c r="L11" s="11" t="s">
        <v>1437</v>
      </c>
      <c r="M11" s="88"/>
    </row>
    <row r="12" spans="1:19" s="11" customFormat="1" ht="15.75" x14ac:dyDescent="0.25">
      <c r="A12" s="77" t="s">
        <v>1956</v>
      </c>
      <c r="B12" s="98">
        <v>-33640</v>
      </c>
      <c r="C12" s="31">
        <v>45289</v>
      </c>
      <c r="D12" s="28">
        <v>45293</v>
      </c>
      <c r="E12" s="71"/>
      <c r="F12" s="55"/>
      <c r="G12" s="55"/>
      <c r="L12" s="11" t="s">
        <v>1438</v>
      </c>
      <c r="M12" s="88"/>
    </row>
    <row r="13" spans="1:19" s="11" customFormat="1" ht="15.75" x14ac:dyDescent="0.25">
      <c r="A13" s="77" t="s">
        <v>1971</v>
      </c>
      <c r="B13" s="98">
        <v>-35967</v>
      </c>
      <c r="C13" s="31">
        <v>45288</v>
      </c>
      <c r="D13" s="28">
        <v>45293</v>
      </c>
      <c r="E13" s="71"/>
      <c r="F13" s="55"/>
      <c r="G13" s="55"/>
      <c r="L13" s="11" t="s">
        <v>1439</v>
      </c>
      <c r="M13" s="88"/>
    </row>
    <row r="14" spans="1:19" s="11" customFormat="1" ht="15.75" x14ac:dyDescent="0.25">
      <c r="A14" s="77" t="s">
        <v>1957</v>
      </c>
      <c r="B14" s="98">
        <v>-41990</v>
      </c>
      <c r="C14" s="31">
        <v>45289</v>
      </c>
      <c r="D14" s="28">
        <v>45293</v>
      </c>
      <c r="E14" s="71"/>
      <c r="F14" s="55"/>
      <c r="G14" s="55"/>
      <c r="L14" s="11" t="s">
        <v>1440</v>
      </c>
      <c r="M14" s="88"/>
    </row>
    <row r="15" spans="1:19" s="11" customFormat="1" ht="16.5" customHeight="1" x14ac:dyDescent="0.25">
      <c r="A15" s="77" t="s">
        <v>1958</v>
      </c>
      <c r="B15" s="98">
        <v>-41990</v>
      </c>
      <c r="C15" s="31">
        <v>45289</v>
      </c>
      <c r="D15" s="28">
        <v>45293</v>
      </c>
      <c r="E15" s="71"/>
      <c r="F15" s="55"/>
      <c r="G15" s="55"/>
      <c r="L15" s="11" t="s">
        <v>1441</v>
      </c>
      <c r="M15" s="88"/>
    </row>
    <row r="16" spans="1:19" s="11" customFormat="1" ht="15.75" x14ac:dyDescent="0.25">
      <c r="A16" s="77" t="s">
        <v>1959</v>
      </c>
      <c r="B16" s="98">
        <v>-41990</v>
      </c>
      <c r="C16" s="31">
        <v>45289</v>
      </c>
      <c r="D16" s="28">
        <v>45293</v>
      </c>
      <c r="E16" s="71"/>
      <c r="F16" s="55"/>
      <c r="G16" s="55"/>
      <c r="L16" s="11" t="s">
        <v>1442</v>
      </c>
      <c r="M16" s="88"/>
    </row>
    <row r="17" spans="1:13" s="11" customFormat="1" ht="15.75" x14ac:dyDescent="0.25">
      <c r="A17" s="77" t="s">
        <v>1960</v>
      </c>
      <c r="B17" s="98">
        <v>-43873</v>
      </c>
      <c r="C17" s="31">
        <v>45289</v>
      </c>
      <c r="D17" s="28">
        <v>45293</v>
      </c>
      <c r="E17" s="71"/>
      <c r="F17" s="55"/>
      <c r="G17" s="55"/>
      <c r="L17" s="11" t="s">
        <v>1443</v>
      </c>
      <c r="M17" s="88"/>
    </row>
    <row r="18" spans="1:13" s="11" customFormat="1" ht="15.75" x14ac:dyDescent="0.25">
      <c r="A18" s="77" t="s">
        <v>1961</v>
      </c>
      <c r="B18" s="98">
        <v>-47759.69</v>
      </c>
      <c r="C18" s="31">
        <v>45282</v>
      </c>
      <c r="D18" s="28">
        <v>45313</v>
      </c>
      <c r="E18" s="71"/>
      <c r="F18" s="55"/>
      <c r="G18" s="55"/>
      <c r="L18" s="11" t="s">
        <v>1444</v>
      </c>
      <c r="M18" s="88"/>
    </row>
    <row r="19" spans="1:13" s="11" customFormat="1" ht="15.75" x14ac:dyDescent="0.25">
      <c r="A19" s="77" t="s">
        <v>1962</v>
      </c>
      <c r="B19" s="98">
        <v>-47759.69</v>
      </c>
      <c r="C19" s="31">
        <v>45283</v>
      </c>
      <c r="D19" s="28">
        <v>45313</v>
      </c>
      <c r="E19" s="71"/>
      <c r="F19" s="55"/>
      <c r="G19" s="55"/>
      <c r="L19" s="11" t="s">
        <v>1445</v>
      </c>
      <c r="M19" s="88"/>
    </row>
    <row r="20" spans="1:13" s="11" customFormat="1" ht="15.75" x14ac:dyDescent="0.25">
      <c r="A20" s="77" t="s">
        <v>1963</v>
      </c>
      <c r="B20" s="98">
        <v>-48319.19</v>
      </c>
      <c r="C20" s="31">
        <v>45282</v>
      </c>
      <c r="D20" s="28">
        <v>45313</v>
      </c>
      <c r="E20" s="71"/>
      <c r="F20" s="55"/>
      <c r="G20" s="55"/>
      <c r="L20" s="11" t="s">
        <v>1446</v>
      </c>
      <c r="M20" s="88"/>
    </row>
    <row r="21" spans="1:13" s="11" customFormat="1" ht="15.75" x14ac:dyDescent="0.25">
      <c r="A21" s="77" t="s">
        <v>1964</v>
      </c>
      <c r="B21" s="98">
        <v>-57433.24</v>
      </c>
      <c r="C21" s="31">
        <v>45288</v>
      </c>
      <c r="D21" s="28">
        <v>45293</v>
      </c>
      <c r="E21" s="71"/>
      <c r="F21" s="55"/>
      <c r="G21" s="55"/>
      <c r="L21" s="11" t="s">
        <v>1447</v>
      </c>
      <c r="M21" s="88"/>
    </row>
    <row r="22" spans="1:13" s="11" customFormat="1" ht="15.75" x14ac:dyDescent="0.25">
      <c r="A22" s="77" t="s">
        <v>1965</v>
      </c>
      <c r="B22" s="98">
        <v>-57563.75</v>
      </c>
      <c r="C22" s="31">
        <v>45288</v>
      </c>
      <c r="D22" s="28">
        <v>45293</v>
      </c>
      <c r="E22" s="71"/>
      <c r="F22" s="55"/>
      <c r="G22" s="55"/>
      <c r="L22" s="11" t="s">
        <v>1448</v>
      </c>
      <c r="M22" s="88"/>
    </row>
    <row r="23" spans="1:13" s="11" customFormat="1" ht="15.75" x14ac:dyDescent="0.25">
      <c r="A23" s="77" t="s">
        <v>1966</v>
      </c>
      <c r="B23" s="98">
        <v>-58123.25</v>
      </c>
      <c r="C23" s="31">
        <v>45288</v>
      </c>
      <c r="D23" s="28">
        <v>45293</v>
      </c>
      <c r="E23" s="71"/>
      <c r="F23" s="55"/>
      <c r="G23" s="55"/>
      <c r="L23" s="11" t="s">
        <v>1449</v>
      </c>
      <c r="M23" s="88"/>
    </row>
    <row r="24" spans="1:13" s="11" customFormat="1" ht="15.75" x14ac:dyDescent="0.25">
      <c r="A24" s="77" t="s">
        <v>1967</v>
      </c>
      <c r="B24" s="98">
        <v>-58123.25</v>
      </c>
      <c r="C24" s="31">
        <v>45288</v>
      </c>
      <c r="D24" s="28">
        <v>45296</v>
      </c>
      <c r="E24" s="71"/>
      <c r="F24" s="55"/>
      <c r="G24" s="55"/>
      <c r="L24" s="11" t="s">
        <v>1450</v>
      </c>
      <c r="M24" s="88"/>
    </row>
    <row r="25" spans="1:13" s="11" customFormat="1" ht="15.75" x14ac:dyDescent="0.25">
      <c r="A25" s="77"/>
      <c r="B25" s="98"/>
      <c r="C25" s="31"/>
      <c r="D25" s="28"/>
      <c r="E25" s="71"/>
      <c r="F25" s="55"/>
      <c r="G25" s="55"/>
      <c r="L25" s="11" t="s">
        <v>1451</v>
      </c>
    </row>
    <row r="26" spans="1:13" s="11" customFormat="1" ht="15.95" customHeight="1" x14ac:dyDescent="0.25">
      <c r="B26" s="25">
        <f>SUM(B9:B25)</f>
        <v>-709265.06</v>
      </c>
      <c r="C26" s="28"/>
      <c r="D26" s="28"/>
      <c r="E26" s="127"/>
      <c r="F26" s="19"/>
      <c r="G26" s="19"/>
      <c r="L26" s="11" t="s">
        <v>1452</v>
      </c>
    </row>
    <row r="27" spans="1:13" s="11" customFormat="1" ht="15.95" customHeight="1" x14ac:dyDescent="0.25">
      <c r="A27" s="11" t="s">
        <v>2</v>
      </c>
      <c r="B27" s="25"/>
      <c r="C27" s="30" t="s">
        <v>626</v>
      </c>
      <c r="D27" s="114" t="s">
        <v>628</v>
      </c>
      <c r="E27" s="72"/>
      <c r="L27" s="11" t="s">
        <v>1453</v>
      </c>
    </row>
    <row r="28" spans="1:13" s="11" customFormat="1" ht="15.95" customHeight="1" x14ac:dyDescent="0.25">
      <c r="A28" s="11" t="s">
        <v>1975</v>
      </c>
      <c r="B28" s="119">
        <v>38259.089999999997</v>
      </c>
      <c r="C28" s="97">
        <v>45280</v>
      </c>
      <c r="D28" s="13">
        <v>45309</v>
      </c>
      <c r="E28" s="72"/>
      <c r="L28" s="11" t="s">
        <v>1436</v>
      </c>
      <c r="M28" s="88"/>
    </row>
    <row r="29" spans="1:13" s="11" customFormat="1" ht="15.95" customHeight="1" x14ac:dyDescent="0.25">
      <c r="A29" s="11" t="s">
        <v>1969</v>
      </c>
      <c r="B29" s="119">
        <v>47688.73</v>
      </c>
      <c r="C29" s="95">
        <v>45280</v>
      </c>
      <c r="D29" s="96">
        <v>45293</v>
      </c>
      <c r="E29" s="72"/>
      <c r="L29" s="11" t="s">
        <v>1454</v>
      </c>
    </row>
    <row r="30" spans="1:13" s="11" customFormat="1" ht="15.95" customHeight="1" x14ac:dyDescent="0.25">
      <c r="A30" s="11" t="s">
        <v>1970</v>
      </c>
      <c r="B30" s="119">
        <v>50095.03</v>
      </c>
      <c r="C30" s="95">
        <v>45279</v>
      </c>
      <c r="D30" s="96">
        <v>45293</v>
      </c>
      <c r="E30" s="72"/>
      <c r="L30" s="11" t="s">
        <v>1455</v>
      </c>
    </row>
    <row r="31" spans="1:13" s="11" customFormat="1" ht="15.95" customHeight="1" x14ac:dyDescent="0.25">
      <c r="A31" s="11" t="s">
        <v>1976</v>
      </c>
      <c r="B31" s="119">
        <v>69058.740000000005</v>
      </c>
      <c r="C31" s="95">
        <v>45287</v>
      </c>
      <c r="D31" s="13">
        <v>45309</v>
      </c>
      <c r="E31" s="72"/>
      <c r="L31" s="11" t="s">
        <v>1456</v>
      </c>
    </row>
    <row r="32" spans="1:13" s="11" customFormat="1" ht="15.95" customHeight="1" x14ac:dyDescent="0.25">
      <c r="A32" s="11" t="s">
        <v>1977</v>
      </c>
      <c r="B32" s="119">
        <v>74541.84</v>
      </c>
      <c r="C32" s="95">
        <v>45289</v>
      </c>
      <c r="D32" s="13">
        <v>45309</v>
      </c>
      <c r="E32" s="72"/>
      <c r="L32" s="11" t="s">
        <v>1457</v>
      </c>
    </row>
    <row r="33" spans="1:12" s="11" customFormat="1" ht="15.95" customHeight="1" x14ac:dyDescent="0.25">
      <c r="A33" s="11" t="s">
        <v>1974</v>
      </c>
      <c r="B33" s="119">
        <v>76260.649999999994</v>
      </c>
      <c r="C33" s="95">
        <v>45261</v>
      </c>
      <c r="D33" s="13">
        <v>45304</v>
      </c>
      <c r="E33" s="72"/>
      <c r="L33" s="11" t="s">
        <v>1458</v>
      </c>
    </row>
    <row r="34" spans="1:12" s="11" customFormat="1" ht="15.95" customHeight="1" x14ac:dyDescent="0.25">
      <c r="A34" s="11" t="s">
        <v>1968</v>
      </c>
      <c r="B34" s="119">
        <v>82303.98</v>
      </c>
      <c r="C34" s="95">
        <v>45286</v>
      </c>
      <c r="D34" s="13" t="s">
        <v>1972</v>
      </c>
      <c r="E34" s="72"/>
      <c r="L34" s="11" t="s">
        <v>1368</v>
      </c>
    </row>
    <row r="35" spans="1:12" s="11" customFormat="1" ht="15.95" customHeight="1" x14ac:dyDescent="0.25">
      <c r="A35" s="11" t="s">
        <v>1978</v>
      </c>
      <c r="B35" s="119">
        <v>90348.88</v>
      </c>
      <c r="C35" s="95">
        <v>45289</v>
      </c>
      <c r="D35" s="13">
        <v>45309</v>
      </c>
      <c r="E35" s="72"/>
      <c r="L35" s="11" t="s">
        <v>1459</v>
      </c>
    </row>
    <row r="36" spans="1:12" s="11" customFormat="1" ht="15.95" customHeight="1" x14ac:dyDescent="0.25">
      <c r="A36" s="11" t="s">
        <v>1941</v>
      </c>
      <c r="B36" s="119">
        <v>92025.95</v>
      </c>
      <c r="C36" s="95">
        <v>45233</v>
      </c>
      <c r="D36" s="100" t="s">
        <v>1973</v>
      </c>
      <c r="E36" s="72"/>
      <c r="L36" s="11" t="s">
        <v>1369</v>
      </c>
    </row>
    <row r="37" spans="1:12" s="11" customFormat="1" ht="15.95" customHeight="1" x14ac:dyDescent="0.25">
      <c r="B37" s="25"/>
      <c r="E37" s="72"/>
      <c r="L37" s="11" t="s">
        <v>1460</v>
      </c>
    </row>
    <row r="38" spans="1:12" s="11" customFormat="1" ht="15.95" customHeight="1" x14ac:dyDescent="0.25">
      <c r="B38" s="25">
        <f>SUM(B28:B37)</f>
        <v>620582.89</v>
      </c>
      <c r="E38" s="72"/>
      <c r="H38" s="88"/>
    </row>
    <row r="39" spans="1:12" s="11" customFormat="1" ht="15.95" customHeight="1" x14ac:dyDescent="0.25">
      <c r="A39" s="11" t="s">
        <v>1</v>
      </c>
      <c r="B39" s="17">
        <f>B38+B26</f>
        <v>-88682.170000000042</v>
      </c>
      <c r="E39" s="72"/>
      <c r="H39" s="88"/>
    </row>
    <row r="40" spans="1:12" s="11" customFormat="1" ht="15.95" customHeight="1" x14ac:dyDescent="0.25">
      <c r="A40" s="11" t="s">
        <v>0</v>
      </c>
      <c r="B40" s="17">
        <f>B39-B7</f>
        <v>-1.1641532182693481E-10</v>
      </c>
      <c r="E40" s="72"/>
      <c r="G40" s="126"/>
      <c r="H40" s="88"/>
    </row>
    <row r="41" spans="1:12" s="11" customFormat="1" ht="15.95" customHeight="1" x14ac:dyDescent="0.25">
      <c r="B41" s="17"/>
      <c r="E41" s="72"/>
      <c r="H41" s="88"/>
    </row>
    <row r="42" spans="1:12" s="11" customFormat="1" ht="20.100000000000001" customHeight="1" x14ac:dyDescent="0.25">
      <c r="A42" s="39"/>
      <c r="B42" s="93"/>
      <c r="C42" s="18"/>
      <c r="D42" s="18"/>
      <c r="E42" s="72"/>
      <c r="H42" s="88"/>
    </row>
    <row r="43" spans="1:12" s="11" customFormat="1" ht="20.100000000000001" customHeight="1" x14ac:dyDescent="0.3">
      <c r="A43" s="1"/>
      <c r="B43" s="10"/>
      <c r="C43" s="13"/>
      <c r="D43" s="47"/>
      <c r="E43" s="72"/>
      <c r="H43" s="88"/>
    </row>
    <row r="44" spans="1:12" s="11" customFormat="1" ht="20.100000000000001" customHeight="1" x14ac:dyDescent="0.3">
      <c r="A44" s="1"/>
      <c r="B44" s="10"/>
      <c r="C44" s="13"/>
      <c r="D44" s="47"/>
      <c r="E44" s="72"/>
      <c r="G44" s="126"/>
      <c r="H44" s="88"/>
    </row>
    <row r="45" spans="1:12" s="11" customFormat="1" ht="20.100000000000001" customHeight="1" x14ac:dyDescent="0.3">
      <c r="A45" s="1"/>
      <c r="B45" s="10"/>
      <c r="C45" s="13"/>
      <c r="D45" s="47"/>
      <c r="E45" s="72"/>
      <c r="H45" s="88"/>
    </row>
    <row r="46" spans="1:12" s="13" customFormat="1" ht="20.100000000000001" customHeight="1" x14ac:dyDescent="0.3">
      <c r="A46" s="1"/>
      <c r="B46" s="10"/>
      <c r="D46" s="47"/>
      <c r="E46" s="72"/>
      <c r="F46" s="11"/>
      <c r="H46" s="88"/>
      <c r="I46" s="11"/>
    </row>
    <row r="47" spans="1:12" s="13" customFormat="1" ht="20.100000000000001" customHeight="1" x14ac:dyDescent="0.3">
      <c r="A47" s="1"/>
      <c r="B47" s="10"/>
      <c r="D47" s="47"/>
      <c r="E47" s="72"/>
      <c r="F47" s="11"/>
      <c r="H47" s="88"/>
      <c r="I47" s="11"/>
    </row>
    <row r="48" spans="1:12" s="13" customFormat="1" ht="20.100000000000001" customHeight="1" x14ac:dyDescent="0.3">
      <c r="A48" s="1"/>
      <c r="B48" s="10"/>
      <c r="D48" s="47"/>
      <c r="E48" s="72"/>
      <c r="F48" s="11"/>
      <c r="H48" s="88"/>
      <c r="I48" s="11"/>
    </row>
    <row r="49" spans="7:7" ht="20.100000000000001" customHeight="1" x14ac:dyDescent="0.3"/>
    <row r="50" spans="7:7" ht="20.100000000000001" customHeight="1" x14ac:dyDescent="0.3"/>
    <row r="51" spans="7:7" ht="20.100000000000001" customHeight="1" x14ac:dyDescent="0.3"/>
    <row r="52" spans="7:7" ht="20.100000000000001" customHeight="1" x14ac:dyDescent="0.3">
      <c r="G52" s="11"/>
    </row>
  </sheetData>
  <pageMargins left="0.7" right="0.7" top="0.75" bottom="0.75" header="0.3" footer="0.3"/>
  <pageSetup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EBF18-3737-4D09-926E-4B6F9DE4AB28}">
  <sheetPr>
    <pageSetUpPr fitToPage="1"/>
  </sheetPr>
  <dimension ref="A1:S46"/>
  <sheetViews>
    <sheetView topLeftCell="A20" workbookViewId="0">
      <selection activeCell="D37" sqref="D37"/>
    </sheetView>
  </sheetViews>
  <sheetFormatPr defaultRowHeight="18.75" x14ac:dyDescent="0.3"/>
  <cols>
    <col min="1" max="1" width="20.7109375" style="1" customWidth="1"/>
    <col min="2" max="2" width="16.85546875" style="10" customWidth="1"/>
    <col min="3" max="3" width="28" style="6" bestFit="1" customWidth="1"/>
    <col min="4" max="4" width="26" style="116" bestFit="1" customWidth="1"/>
    <col min="5" max="5" width="36.28515625" style="128" customWidth="1"/>
    <col min="6" max="6" width="16.5703125" style="1" customWidth="1"/>
    <col min="7" max="7" width="35" style="1" bestFit="1" customWidth="1"/>
    <col min="8" max="8" width="5.5703125" style="90" bestFit="1" customWidth="1"/>
    <col min="9" max="11" width="9.140625" style="1"/>
    <col min="12" max="12" width="57.5703125" style="1" bestFit="1" customWidth="1"/>
    <col min="13" max="16384" width="9.140625" style="1"/>
  </cols>
  <sheetData>
    <row r="1" spans="1:19" s="11" customFormat="1" ht="20.100000000000001" customHeight="1" x14ac:dyDescent="0.25">
      <c r="A1" s="11" t="s">
        <v>1203</v>
      </c>
      <c r="B1" s="17"/>
      <c r="C1" s="13"/>
      <c r="D1" s="47"/>
      <c r="E1" s="72"/>
      <c r="H1" s="88"/>
    </row>
    <row r="2" spans="1:19" s="11" customFormat="1" ht="20.100000000000001" customHeight="1" x14ac:dyDescent="0.25">
      <c r="A2" s="14">
        <v>45322</v>
      </c>
      <c r="B2" s="17"/>
      <c r="C2" s="13"/>
      <c r="D2" s="47"/>
      <c r="E2" s="72"/>
      <c r="H2" s="88"/>
    </row>
    <row r="3" spans="1:19" s="11" customFormat="1" ht="20.100000000000001" customHeight="1" x14ac:dyDescent="0.25">
      <c r="A3" s="11" t="s">
        <v>311</v>
      </c>
      <c r="B3" s="17">
        <v>11633435.41</v>
      </c>
      <c r="C3" s="13"/>
      <c r="D3" s="47"/>
      <c r="E3" s="72"/>
      <c r="H3" s="88"/>
      <c r="M3" s="89"/>
    </row>
    <row r="4" spans="1:19" s="11" customFormat="1" ht="20.100000000000001" customHeight="1" x14ac:dyDescent="0.25">
      <c r="A4" s="11" t="s">
        <v>6</v>
      </c>
      <c r="B4" s="17"/>
      <c r="C4" s="13"/>
      <c r="D4" s="47"/>
      <c r="E4" s="72"/>
      <c r="H4" s="88"/>
      <c r="M4" s="89"/>
    </row>
    <row r="5" spans="1:19" s="11" customFormat="1" ht="20.100000000000001" customHeight="1" x14ac:dyDescent="0.25">
      <c r="A5" s="11">
        <v>2100</v>
      </c>
      <c r="B5" s="17">
        <v>-11766788.189999999</v>
      </c>
      <c r="C5" s="13"/>
      <c r="D5" s="47"/>
      <c r="E5" s="72"/>
      <c r="H5" s="88"/>
      <c r="M5" s="89"/>
    </row>
    <row r="6" spans="1:19" s="11" customFormat="1" ht="20.100000000000001" customHeight="1" x14ac:dyDescent="0.25">
      <c r="A6" s="11" t="s">
        <v>5</v>
      </c>
      <c r="B6" s="17">
        <f>SUM(B5)</f>
        <v>-11766788.189999999</v>
      </c>
      <c r="C6" s="13"/>
      <c r="D6" s="47"/>
      <c r="E6" s="72"/>
      <c r="H6" s="88"/>
      <c r="M6" s="89"/>
      <c r="O6" s="62"/>
      <c r="P6" s="62"/>
      <c r="Q6" s="62"/>
      <c r="R6" s="62"/>
      <c r="S6" s="62"/>
    </row>
    <row r="7" spans="1:19" s="11" customFormat="1" ht="20.100000000000001" customHeight="1" x14ac:dyDescent="0.25">
      <c r="A7" s="11" t="s">
        <v>4</v>
      </c>
      <c r="B7" s="17">
        <f>B6+B3</f>
        <v>-133352.77999999933</v>
      </c>
      <c r="C7" s="13"/>
      <c r="D7" s="47"/>
      <c r="E7" s="72"/>
      <c r="H7" s="88"/>
      <c r="M7" s="88"/>
    </row>
    <row r="8" spans="1:19" s="11" customFormat="1" ht="15.95" customHeight="1" x14ac:dyDescent="0.25">
      <c r="A8" s="11" t="s">
        <v>3</v>
      </c>
      <c r="B8" s="17"/>
      <c r="C8" s="44" t="s">
        <v>628</v>
      </c>
      <c r="D8" s="114" t="s">
        <v>626</v>
      </c>
      <c r="E8" s="72"/>
      <c r="H8" s="88"/>
      <c r="M8" s="88"/>
    </row>
    <row r="9" spans="1:19" s="11" customFormat="1" ht="15.75" x14ac:dyDescent="0.25">
      <c r="A9" s="77" t="s">
        <v>1979</v>
      </c>
      <c r="B9" s="98">
        <v>-29008</v>
      </c>
      <c r="C9" s="31" t="s">
        <v>1995</v>
      </c>
      <c r="D9" s="28"/>
      <c r="E9" s="71"/>
      <c r="F9" s="55"/>
      <c r="G9" s="55"/>
      <c r="M9" s="88"/>
    </row>
    <row r="10" spans="1:19" s="11" customFormat="1" ht="15.75" x14ac:dyDescent="0.25">
      <c r="A10" s="77" t="s">
        <v>1980</v>
      </c>
      <c r="B10" s="98">
        <v>-56295.6</v>
      </c>
      <c r="C10" s="31">
        <v>45322</v>
      </c>
      <c r="D10" s="28">
        <v>45324</v>
      </c>
      <c r="E10" s="71"/>
      <c r="F10" s="55"/>
      <c r="G10" s="55"/>
      <c r="M10" s="88"/>
    </row>
    <row r="11" spans="1:19" s="11" customFormat="1" ht="15.75" x14ac:dyDescent="0.25">
      <c r="A11" s="77" t="s">
        <v>1981</v>
      </c>
      <c r="B11" s="98">
        <v>-56295.6</v>
      </c>
      <c r="C11" s="31">
        <v>45322</v>
      </c>
      <c r="D11" s="28">
        <v>45324</v>
      </c>
      <c r="E11" s="71"/>
      <c r="F11" s="55"/>
      <c r="G11" s="55"/>
      <c r="L11" s="11" t="s">
        <v>1437</v>
      </c>
      <c r="M11" s="88"/>
    </row>
    <row r="12" spans="1:19" s="11" customFormat="1" ht="15.75" x14ac:dyDescent="0.25">
      <c r="A12" s="77" t="s">
        <v>1982</v>
      </c>
      <c r="B12" s="98">
        <v>-56295.6</v>
      </c>
      <c r="C12" s="31">
        <v>45322</v>
      </c>
      <c r="D12" s="28">
        <v>45324</v>
      </c>
      <c r="E12" s="71"/>
      <c r="F12" s="55"/>
      <c r="G12" s="55"/>
      <c r="L12" s="11" t="s">
        <v>1438</v>
      </c>
      <c r="M12" s="88"/>
    </row>
    <row r="13" spans="1:19" s="11" customFormat="1" ht="15.75" x14ac:dyDescent="0.25">
      <c r="A13" s="77" t="s">
        <v>1983</v>
      </c>
      <c r="B13" s="98">
        <v>-56755.95</v>
      </c>
      <c r="C13" s="31">
        <v>45322</v>
      </c>
      <c r="D13" s="28">
        <v>45323</v>
      </c>
      <c r="E13" s="71"/>
      <c r="F13" s="55"/>
      <c r="G13" s="55"/>
      <c r="L13" s="11" t="s">
        <v>1439</v>
      </c>
      <c r="M13" s="88"/>
    </row>
    <row r="14" spans="1:19" s="11" customFormat="1" ht="15.75" x14ac:dyDescent="0.25">
      <c r="A14" s="77" t="s">
        <v>1984</v>
      </c>
      <c r="B14" s="98">
        <v>-56755.95</v>
      </c>
      <c r="C14" s="31">
        <v>45322</v>
      </c>
      <c r="D14" s="28">
        <v>45324</v>
      </c>
      <c r="E14" s="71"/>
      <c r="F14" s="55"/>
      <c r="G14" s="55"/>
      <c r="L14" s="11" t="s">
        <v>1440</v>
      </c>
      <c r="M14" s="88"/>
    </row>
    <row r="15" spans="1:19" s="11" customFormat="1" ht="16.5" customHeight="1" x14ac:dyDescent="0.25">
      <c r="A15" s="77" t="s">
        <v>1985</v>
      </c>
      <c r="B15" s="98">
        <v>-56755.95</v>
      </c>
      <c r="C15" s="31">
        <v>45322</v>
      </c>
      <c r="D15" s="28">
        <v>45324</v>
      </c>
      <c r="E15" s="71"/>
      <c r="F15" s="55"/>
      <c r="G15" s="55"/>
      <c r="L15" s="11" t="s">
        <v>1441</v>
      </c>
      <c r="M15" s="88"/>
    </row>
    <row r="16" spans="1:19" s="11" customFormat="1" ht="15.75" x14ac:dyDescent="0.25">
      <c r="A16" s="77" t="s">
        <v>1986</v>
      </c>
      <c r="B16" s="98">
        <v>-56755.95</v>
      </c>
      <c r="C16" s="31">
        <v>45322</v>
      </c>
      <c r="D16" s="28">
        <v>45324</v>
      </c>
      <c r="E16" s="71"/>
      <c r="F16" s="55"/>
      <c r="G16" s="55"/>
      <c r="L16" s="11" t="s">
        <v>1442</v>
      </c>
      <c r="M16" s="88"/>
    </row>
    <row r="17" spans="1:13" s="11" customFormat="1" ht="15.75" x14ac:dyDescent="0.25">
      <c r="A17" s="77" t="s">
        <v>1987</v>
      </c>
      <c r="B17" s="98">
        <v>-56755.95</v>
      </c>
      <c r="C17" s="31">
        <v>45322</v>
      </c>
      <c r="D17" s="28">
        <v>45324</v>
      </c>
      <c r="E17" s="71"/>
      <c r="F17" s="55"/>
      <c r="G17" s="55"/>
      <c r="L17" s="11" t="s">
        <v>1443</v>
      </c>
      <c r="M17" s="88"/>
    </row>
    <row r="18" spans="1:13" s="11" customFormat="1" ht="15.75" x14ac:dyDescent="0.25">
      <c r="A18" s="77" t="s">
        <v>1988</v>
      </c>
      <c r="B18" s="98">
        <v>-56755.95</v>
      </c>
      <c r="C18" s="31">
        <v>45322</v>
      </c>
      <c r="D18" s="28">
        <v>45324</v>
      </c>
      <c r="E18" s="71"/>
      <c r="F18" s="55"/>
      <c r="G18" s="55"/>
      <c r="L18" s="11" t="s">
        <v>1444</v>
      </c>
      <c r="M18" s="88"/>
    </row>
    <row r="19" spans="1:13" s="11" customFormat="1" ht="15.75" x14ac:dyDescent="0.25">
      <c r="A19" s="77" t="s">
        <v>1989</v>
      </c>
      <c r="B19" s="98">
        <v>-56895.45</v>
      </c>
      <c r="C19" s="31">
        <v>45322</v>
      </c>
      <c r="D19" s="28">
        <v>45324</v>
      </c>
      <c r="E19" s="71"/>
      <c r="F19" s="55"/>
      <c r="G19" s="55"/>
      <c r="L19" s="11" t="s">
        <v>1445</v>
      </c>
      <c r="M19" s="88"/>
    </row>
    <row r="20" spans="1:13" s="11" customFormat="1" ht="15.75" x14ac:dyDescent="0.25">
      <c r="A20" s="77" t="s">
        <v>1991</v>
      </c>
      <c r="B20" s="98">
        <v>-82140.100000000006</v>
      </c>
      <c r="C20" s="31">
        <v>45322</v>
      </c>
      <c r="D20" s="28">
        <v>45329</v>
      </c>
      <c r="E20" s="71"/>
      <c r="F20" s="55"/>
      <c r="G20" s="55"/>
      <c r="L20" s="11" t="s">
        <v>1446</v>
      </c>
      <c r="M20" s="88"/>
    </row>
    <row r="21" spans="1:13" s="11" customFormat="1" ht="15.75" x14ac:dyDescent="0.25">
      <c r="A21" s="77"/>
      <c r="B21" s="98"/>
      <c r="C21" s="31"/>
      <c r="D21" s="28"/>
      <c r="E21" s="71"/>
      <c r="F21" s="55"/>
      <c r="G21" s="55"/>
      <c r="L21" s="11" t="s">
        <v>1447</v>
      </c>
    </row>
    <row r="22" spans="1:13" s="11" customFormat="1" ht="15.95" customHeight="1" x14ac:dyDescent="0.25">
      <c r="B22" s="25">
        <f>SUM(B9:B21)</f>
        <v>-677466.04999999993</v>
      </c>
      <c r="C22" s="28"/>
      <c r="D22" s="28"/>
      <c r="E22" s="127"/>
      <c r="F22" s="19"/>
      <c r="G22" s="19"/>
      <c r="L22" s="11" t="s">
        <v>1448</v>
      </c>
    </row>
    <row r="23" spans="1:13" s="11" customFormat="1" ht="15.95" customHeight="1" x14ac:dyDescent="0.25">
      <c r="A23" s="11" t="s">
        <v>2</v>
      </c>
      <c r="B23" s="25"/>
      <c r="C23" s="30" t="s">
        <v>626</v>
      </c>
      <c r="D23" s="114" t="s">
        <v>628</v>
      </c>
      <c r="E23" s="72"/>
      <c r="L23" s="11" t="s">
        <v>1449</v>
      </c>
    </row>
    <row r="24" spans="1:13" s="11" customFormat="1" ht="15.95" customHeight="1" x14ac:dyDescent="0.25">
      <c r="A24" s="11" t="s">
        <v>1996</v>
      </c>
      <c r="B24" s="119">
        <v>29283</v>
      </c>
      <c r="C24" s="97" t="s">
        <v>687</v>
      </c>
      <c r="D24" s="13"/>
      <c r="E24" s="72"/>
      <c r="L24" s="11" t="s">
        <v>1450</v>
      </c>
      <c r="M24" s="88"/>
    </row>
    <row r="25" spans="1:13" s="11" customFormat="1" ht="15.95" customHeight="1" x14ac:dyDescent="0.25">
      <c r="A25" s="11" t="s">
        <v>1990</v>
      </c>
      <c r="B25" s="119">
        <v>74258.55</v>
      </c>
      <c r="C25" s="95">
        <v>45321</v>
      </c>
      <c r="D25" s="96" t="s">
        <v>1998</v>
      </c>
      <c r="E25" s="72"/>
      <c r="L25" s="11" t="s">
        <v>1451</v>
      </c>
    </row>
    <row r="26" spans="1:13" s="11" customFormat="1" ht="15.95" customHeight="1" x14ac:dyDescent="0.25">
      <c r="A26" s="11" t="s">
        <v>1997</v>
      </c>
      <c r="B26" s="119">
        <v>82303.98</v>
      </c>
      <c r="C26" s="95">
        <v>45286</v>
      </c>
      <c r="D26" s="96">
        <v>45328</v>
      </c>
      <c r="E26" s="72"/>
      <c r="L26" s="11" t="s">
        <v>1452</v>
      </c>
    </row>
    <row r="27" spans="1:13" s="11" customFormat="1" ht="15.95" customHeight="1" x14ac:dyDescent="0.25">
      <c r="A27" s="11" t="s">
        <v>1992</v>
      </c>
      <c r="B27" s="119">
        <v>83907.3</v>
      </c>
      <c r="C27" s="95">
        <v>45320</v>
      </c>
      <c r="D27" s="13" t="s">
        <v>1998</v>
      </c>
      <c r="E27" s="72"/>
      <c r="L27" s="11" t="s">
        <v>1453</v>
      </c>
    </row>
    <row r="28" spans="1:13" s="11" customFormat="1" ht="15.95" customHeight="1" x14ac:dyDescent="0.25">
      <c r="A28" s="11" t="s">
        <v>1993</v>
      </c>
      <c r="B28" s="119">
        <v>84465.3</v>
      </c>
      <c r="C28" s="95">
        <v>45322</v>
      </c>
      <c r="D28" s="13" t="s">
        <v>1998</v>
      </c>
      <c r="E28" s="72"/>
      <c r="L28" s="11" t="s">
        <v>1436</v>
      </c>
    </row>
    <row r="29" spans="1:13" s="11" customFormat="1" ht="15.95" customHeight="1" x14ac:dyDescent="0.25">
      <c r="A29" s="11" t="s">
        <v>1941</v>
      </c>
      <c r="B29" s="119">
        <v>92025.95</v>
      </c>
      <c r="C29" s="95">
        <v>45233</v>
      </c>
      <c r="D29" s="13" t="s">
        <v>1999</v>
      </c>
      <c r="E29" s="72"/>
      <c r="L29" s="11" t="s">
        <v>1454</v>
      </c>
    </row>
    <row r="30" spans="1:13" s="11" customFormat="1" ht="15.95" customHeight="1" x14ac:dyDescent="0.25">
      <c r="A30" s="11" t="s">
        <v>1994</v>
      </c>
      <c r="B30" s="119">
        <v>97869.19</v>
      </c>
      <c r="C30" s="95">
        <v>45320</v>
      </c>
      <c r="D30" s="13" t="s">
        <v>1999</v>
      </c>
      <c r="E30" s="72"/>
      <c r="L30" s="11" t="s">
        <v>1455</v>
      </c>
    </row>
    <row r="31" spans="1:13" s="11" customFormat="1" ht="15.95" customHeight="1" x14ac:dyDescent="0.25">
      <c r="B31" s="25"/>
      <c r="E31" s="72"/>
      <c r="L31" s="11" t="s">
        <v>1456</v>
      </c>
    </row>
    <row r="32" spans="1:13" s="11" customFormat="1" ht="15.95" customHeight="1" x14ac:dyDescent="0.25">
      <c r="B32" s="25">
        <f>SUM(B24:B31)</f>
        <v>544113.27</v>
      </c>
      <c r="E32" s="72"/>
      <c r="H32" s="88"/>
      <c r="L32" s="11" t="s">
        <v>1457</v>
      </c>
    </row>
    <row r="33" spans="1:19" s="11" customFormat="1" ht="15.95" customHeight="1" x14ac:dyDescent="0.25">
      <c r="A33" s="11" t="s">
        <v>1</v>
      </c>
      <c r="B33" s="17">
        <f>B32+B22</f>
        <v>-133352.77999999991</v>
      </c>
      <c r="E33" s="72"/>
      <c r="H33" s="88"/>
      <c r="L33" s="11" t="s">
        <v>1458</v>
      </c>
    </row>
    <row r="34" spans="1:19" s="11" customFormat="1" ht="15.95" customHeight="1" x14ac:dyDescent="0.25">
      <c r="A34" s="11" t="s">
        <v>0</v>
      </c>
      <c r="B34" s="17">
        <f>B33-B7</f>
        <v>-5.8207660913467407E-10</v>
      </c>
      <c r="E34" s="72"/>
      <c r="G34" s="126"/>
      <c r="H34" s="88"/>
      <c r="L34" s="11" t="s">
        <v>1368</v>
      </c>
    </row>
    <row r="35" spans="1:19" s="11" customFormat="1" ht="15.95" customHeight="1" x14ac:dyDescent="0.25">
      <c r="B35" s="17"/>
      <c r="E35" s="72"/>
      <c r="H35" s="88"/>
      <c r="L35" s="11" t="s">
        <v>1459</v>
      </c>
    </row>
    <row r="36" spans="1:19" s="11" customFormat="1" ht="20.100000000000001" customHeight="1" x14ac:dyDescent="0.25">
      <c r="A36" s="39"/>
      <c r="B36" s="93"/>
      <c r="C36" s="18"/>
      <c r="D36" s="18"/>
      <c r="E36" s="72"/>
      <c r="H36" s="88"/>
      <c r="L36" s="11" t="s">
        <v>1369</v>
      </c>
    </row>
    <row r="37" spans="1:19" s="11" customFormat="1" ht="20.100000000000001" customHeight="1" x14ac:dyDescent="0.3">
      <c r="A37" s="1"/>
      <c r="B37" s="10"/>
      <c r="C37" s="13"/>
      <c r="D37" s="47"/>
      <c r="E37" s="72"/>
      <c r="H37" s="88"/>
      <c r="L37" s="11" t="s">
        <v>1460</v>
      </c>
    </row>
    <row r="38" spans="1:19" s="11" customFormat="1" ht="20.100000000000001" customHeight="1" x14ac:dyDescent="0.3">
      <c r="A38" s="1"/>
      <c r="B38" s="10"/>
      <c r="C38" s="13"/>
      <c r="D38" s="47"/>
      <c r="E38" s="72"/>
      <c r="G38" s="126"/>
      <c r="H38" s="88"/>
    </row>
    <row r="39" spans="1:19" s="11" customFormat="1" ht="20.100000000000001" customHeight="1" x14ac:dyDescent="0.3">
      <c r="A39" s="1"/>
      <c r="B39" s="10"/>
      <c r="C39" s="13"/>
      <c r="D39" s="47"/>
      <c r="E39" s="72"/>
      <c r="H39" s="88"/>
    </row>
    <row r="40" spans="1:19" s="13" customFormat="1" ht="20.100000000000001" customHeight="1" x14ac:dyDescent="0.3">
      <c r="A40" s="1"/>
      <c r="B40" s="10"/>
      <c r="D40" s="47"/>
      <c r="E40" s="72"/>
      <c r="F40" s="11"/>
      <c r="H40" s="88"/>
      <c r="I40" s="11"/>
    </row>
    <row r="41" spans="1:19" s="13" customFormat="1" ht="20.100000000000001" customHeight="1" x14ac:dyDescent="0.3">
      <c r="A41" s="1"/>
      <c r="B41" s="10"/>
      <c r="D41" s="47"/>
      <c r="E41" s="72"/>
      <c r="F41" s="11"/>
      <c r="H41" s="88"/>
      <c r="I41" s="11"/>
    </row>
    <row r="42" spans="1:19" s="13" customFormat="1" ht="20.100000000000001" customHeight="1" x14ac:dyDescent="0.3">
      <c r="A42" s="1"/>
      <c r="B42" s="10"/>
      <c r="D42" s="47"/>
      <c r="E42" s="72"/>
      <c r="F42" s="11"/>
      <c r="H42" s="88"/>
      <c r="I42" s="11"/>
    </row>
    <row r="43" spans="1:19" s="90" customFormat="1" ht="20.100000000000001" customHeight="1" x14ac:dyDescent="0.3">
      <c r="A43" s="1"/>
      <c r="B43" s="10"/>
      <c r="C43" s="6"/>
      <c r="D43" s="116"/>
      <c r="E43" s="128"/>
      <c r="F43" s="1"/>
      <c r="G43" s="1"/>
      <c r="I43" s="1"/>
      <c r="J43" s="1"/>
      <c r="K43" s="1"/>
      <c r="M43" s="1"/>
      <c r="N43" s="1"/>
      <c r="O43" s="1"/>
      <c r="P43" s="1"/>
      <c r="Q43" s="1"/>
      <c r="R43" s="1"/>
      <c r="S43" s="1"/>
    </row>
    <row r="44" spans="1:19" s="90" customFormat="1" ht="20.100000000000001" customHeight="1" x14ac:dyDescent="0.3">
      <c r="A44" s="1"/>
      <c r="B44" s="10"/>
      <c r="C44" s="6"/>
      <c r="D44" s="116"/>
      <c r="E44" s="128"/>
      <c r="F44" s="1"/>
      <c r="G44" s="1"/>
      <c r="I44" s="1"/>
      <c r="J44" s="1"/>
      <c r="K44" s="1"/>
      <c r="M44" s="1"/>
      <c r="N44" s="1"/>
      <c r="O44" s="1"/>
      <c r="P44" s="1"/>
      <c r="Q44" s="1"/>
      <c r="R44" s="1"/>
      <c r="S44" s="1"/>
    </row>
    <row r="45" spans="1:19" s="90" customFormat="1" ht="20.100000000000001" customHeight="1" x14ac:dyDescent="0.3">
      <c r="A45" s="1"/>
      <c r="B45" s="10"/>
      <c r="C45" s="6"/>
      <c r="D45" s="116"/>
      <c r="E45" s="128"/>
      <c r="F45" s="1"/>
      <c r="G45" s="1"/>
      <c r="I45" s="1"/>
      <c r="J45" s="1"/>
      <c r="K45" s="1"/>
      <c r="M45" s="1"/>
      <c r="N45" s="1"/>
      <c r="O45" s="1"/>
      <c r="P45" s="1"/>
      <c r="Q45" s="1"/>
      <c r="R45" s="1"/>
      <c r="S45" s="1"/>
    </row>
    <row r="46" spans="1:19" s="90" customFormat="1" ht="20.100000000000001" customHeight="1" x14ac:dyDescent="0.3">
      <c r="A46" s="1"/>
      <c r="B46" s="10"/>
      <c r="C46" s="6"/>
      <c r="D46" s="116"/>
      <c r="E46" s="128"/>
      <c r="F46" s="1"/>
      <c r="G46" s="11"/>
      <c r="I46" s="1"/>
      <c r="J46" s="1"/>
      <c r="K46" s="1"/>
      <c r="M46" s="1"/>
      <c r="N46" s="1"/>
      <c r="O46" s="1"/>
      <c r="P46" s="1"/>
      <c r="Q46" s="1"/>
      <c r="R46" s="1"/>
      <c r="S46" s="1"/>
    </row>
  </sheetData>
  <pageMargins left="0.7" right="0.7" top="0.75" bottom="0.75" header="0.3" footer="0.3"/>
  <pageSetup scale="98" fitToHeight="0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B81A7-98FA-4A02-A3A7-4AB05A9BF3BD}">
  <sheetPr>
    <pageSetUpPr fitToPage="1"/>
  </sheetPr>
  <dimension ref="A1:S98"/>
  <sheetViews>
    <sheetView workbookViewId="0">
      <selection activeCell="D89" sqref="D89"/>
    </sheetView>
  </sheetViews>
  <sheetFormatPr defaultRowHeight="18.75" x14ac:dyDescent="0.3"/>
  <cols>
    <col min="1" max="1" width="20.7109375" style="1" customWidth="1"/>
    <col min="2" max="2" width="16.85546875" style="10" customWidth="1"/>
    <col min="3" max="3" width="28" style="6" bestFit="1" customWidth="1"/>
    <col min="4" max="4" width="26" style="116" bestFit="1" customWidth="1"/>
    <col min="5" max="5" width="36.28515625" style="128" customWidth="1"/>
    <col min="6" max="6" width="16.5703125" style="1" customWidth="1"/>
    <col min="7" max="7" width="35" style="1" bestFit="1" customWidth="1"/>
    <col min="8" max="8" width="5.5703125" style="90" bestFit="1" customWidth="1"/>
    <col min="9" max="11" width="9.140625" style="1"/>
    <col min="12" max="12" width="57.5703125" style="1" bestFit="1" customWidth="1"/>
    <col min="13" max="16384" width="9.140625" style="1"/>
  </cols>
  <sheetData>
    <row r="1" spans="1:19" s="11" customFormat="1" ht="20.100000000000001" customHeight="1" x14ac:dyDescent="0.25">
      <c r="A1" s="11" t="s">
        <v>1203</v>
      </c>
      <c r="B1" s="17"/>
      <c r="C1" s="13"/>
      <c r="D1" s="47"/>
      <c r="E1" s="72"/>
      <c r="H1" s="88"/>
      <c r="L1" s="11" t="s">
        <v>1437</v>
      </c>
    </row>
    <row r="2" spans="1:19" s="11" customFormat="1" ht="20.100000000000001" customHeight="1" x14ac:dyDescent="0.25">
      <c r="A2" s="14">
        <v>45351</v>
      </c>
      <c r="B2" s="17"/>
      <c r="C2" s="13"/>
      <c r="D2" s="47"/>
      <c r="E2" s="72"/>
      <c r="H2" s="88"/>
      <c r="L2" s="11" t="s">
        <v>1438</v>
      </c>
    </row>
    <row r="3" spans="1:19" s="11" customFormat="1" ht="20.100000000000001" customHeight="1" x14ac:dyDescent="0.25">
      <c r="A3" s="11" t="s">
        <v>311</v>
      </c>
      <c r="B3" s="17">
        <v>18675720.25</v>
      </c>
      <c r="C3" s="13"/>
      <c r="D3" s="47"/>
      <c r="E3" s="72"/>
      <c r="H3" s="88"/>
      <c r="L3" s="11" t="s">
        <v>1439</v>
      </c>
      <c r="M3" s="89"/>
    </row>
    <row r="4" spans="1:19" s="11" customFormat="1" ht="20.100000000000001" customHeight="1" x14ac:dyDescent="0.25">
      <c r="A4" s="11" t="s">
        <v>6</v>
      </c>
      <c r="B4" s="17"/>
      <c r="C4" s="13"/>
      <c r="D4" s="47"/>
      <c r="E4" s="72"/>
      <c r="H4" s="88"/>
      <c r="L4" s="11" t="s">
        <v>1440</v>
      </c>
      <c r="M4" s="89"/>
    </row>
    <row r="5" spans="1:19" s="11" customFormat="1" ht="20.100000000000001" customHeight="1" x14ac:dyDescent="0.25">
      <c r="A5" s="11">
        <v>2100</v>
      </c>
      <c r="B5" s="17">
        <v>-15677941.050000001</v>
      </c>
      <c r="C5" s="13"/>
      <c r="D5" s="47"/>
      <c r="E5" s="72"/>
      <c r="H5" s="88"/>
      <c r="L5" s="11" t="s">
        <v>1441</v>
      </c>
      <c r="M5" s="89"/>
    </row>
    <row r="6" spans="1:19" s="11" customFormat="1" ht="20.100000000000001" customHeight="1" x14ac:dyDescent="0.25">
      <c r="A6" s="11" t="s">
        <v>5</v>
      </c>
      <c r="B6" s="17">
        <f>SUM(B5)</f>
        <v>-15677941.050000001</v>
      </c>
      <c r="C6" s="13"/>
      <c r="D6" s="47"/>
      <c r="E6" s="72"/>
      <c r="H6" s="88"/>
      <c r="L6" s="11" t="s">
        <v>1442</v>
      </c>
      <c r="M6" s="89"/>
      <c r="O6" s="62"/>
      <c r="P6" s="62"/>
      <c r="Q6" s="62"/>
      <c r="R6" s="62"/>
      <c r="S6" s="62"/>
    </row>
    <row r="7" spans="1:19" s="11" customFormat="1" ht="20.100000000000001" customHeight="1" x14ac:dyDescent="0.25">
      <c r="A7" s="11" t="s">
        <v>4</v>
      </c>
      <c r="B7" s="17">
        <f>B6+B3</f>
        <v>2997779.1999999993</v>
      </c>
      <c r="C7" s="13"/>
      <c r="D7" s="47"/>
      <c r="E7" s="72"/>
      <c r="H7" s="88"/>
      <c r="L7" s="11" t="s">
        <v>1443</v>
      </c>
      <c r="M7" s="88"/>
    </row>
    <row r="8" spans="1:19" s="11" customFormat="1" ht="15.95" customHeight="1" x14ac:dyDescent="0.25">
      <c r="A8" s="11" t="s">
        <v>3</v>
      </c>
      <c r="B8" s="17"/>
      <c r="C8" s="44" t="s">
        <v>628</v>
      </c>
      <c r="D8" s="114" t="s">
        <v>626</v>
      </c>
      <c r="E8" s="72"/>
      <c r="H8" s="88"/>
      <c r="L8" s="11" t="s">
        <v>1444</v>
      </c>
      <c r="M8" s="88"/>
    </row>
    <row r="9" spans="1:19" s="11" customFormat="1" ht="15.75" x14ac:dyDescent="0.25">
      <c r="A9" s="77" t="s">
        <v>2000</v>
      </c>
      <c r="B9" s="98">
        <v>-25821</v>
      </c>
      <c r="C9" s="31">
        <v>45350</v>
      </c>
      <c r="D9" s="28">
        <v>45352</v>
      </c>
      <c r="E9" s="71"/>
      <c r="F9" s="55"/>
      <c r="G9" s="55"/>
      <c r="L9" s="11" t="s">
        <v>1445</v>
      </c>
      <c r="M9" s="88"/>
    </row>
    <row r="10" spans="1:19" s="11" customFormat="1" ht="15.75" x14ac:dyDescent="0.25">
      <c r="A10" s="77" t="s">
        <v>2002</v>
      </c>
      <c r="B10" s="98">
        <v>-30116</v>
      </c>
      <c r="C10" s="31">
        <v>45350</v>
      </c>
      <c r="D10" s="28">
        <v>45352</v>
      </c>
      <c r="E10" s="71"/>
      <c r="F10" s="55"/>
      <c r="G10" s="55"/>
      <c r="L10" s="11" t="s">
        <v>1446</v>
      </c>
      <c r="M10" s="88"/>
    </row>
    <row r="11" spans="1:19" s="11" customFormat="1" ht="15.75" x14ac:dyDescent="0.25">
      <c r="A11" s="77" t="s">
        <v>2003</v>
      </c>
      <c r="B11" s="98">
        <v>-31087</v>
      </c>
      <c r="C11" s="31">
        <v>45350</v>
      </c>
      <c r="D11" s="28">
        <v>45352</v>
      </c>
      <c r="E11" s="71"/>
      <c r="F11" s="55"/>
      <c r="G11" s="55"/>
      <c r="L11" s="11" t="s">
        <v>1447</v>
      </c>
      <c r="M11" s="88"/>
    </row>
    <row r="12" spans="1:19" s="11" customFormat="1" ht="15.75" x14ac:dyDescent="0.25">
      <c r="A12" s="77" t="s">
        <v>2004</v>
      </c>
      <c r="B12" s="98">
        <v>-33355</v>
      </c>
      <c r="C12" s="31">
        <v>45350</v>
      </c>
      <c r="D12" s="28">
        <v>45352</v>
      </c>
      <c r="E12" s="71"/>
      <c r="F12" s="55"/>
      <c r="G12" s="55"/>
      <c r="L12" s="11" t="s">
        <v>1448</v>
      </c>
      <c r="M12" s="88"/>
    </row>
    <row r="13" spans="1:19" s="11" customFormat="1" ht="15.75" x14ac:dyDescent="0.25">
      <c r="A13" s="77" t="s">
        <v>2005</v>
      </c>
      <c r="B13" s="98">
        <v>-33695</v>
      </c>
      <c r="C13" s="31">
        <v>45350</v>
      </c>
      <c r="D13" s="28">
        <v>45352</v>
      </c>
      <c r="E13" s="71"/>
      <c r="F13" s="55"/>
      <c r="G13" s="55"/>
      <c r="L13" s="11" t="s">
        <v>1449</v>
      </c>
      <c r="M13" s="88"/>
    </row>
    <row r="14" spans="1:19" s="11" customFormat="1" ht="15.75" x14ac:dyDescent="0.25">
      <c r="A14" s="77" t="s">
        <v>2006</v>
      </c>
      <c r="B14" s="98">
        <v>-37324</v>
      </c>
      <c r="C14" s="31">
        <v>45350</v>
      </c>
      <c r="D14" s="28">
        <v>45352</v>
      </c>
      <c r="E14" s="71"/>
      <c r="F14" s="55"/>
      <c r="G14" s="55"/>
      <c r="L14" s="11" t="s">
        <v>1450</v>
      </c>
      <c r="M14" s="88"/>
    </row>
    <row r="15" spans="1:19" s="11" customFormat="1" ht="15.75" x14ac:dyDescent="0.25">
      <c r="A15" s="77" t="s">
        <v>2007</v>
      </c>
      <c r="B15" s="98">
        <v>-37324</v>
      </c>
      <c r="C15" s="31">
        <v>45350</v>
      </c>
      <c r="D15" s="28">
        <v>45352</v>
      </c>
      <c r="E15" s="71"/>
      <c r="F15" s="55"/>
      <c r="G15" s="55"/>
      <c r="L15" s="11" t="s">
        <v>1451</v>
      </c>
      <c r="M15" s="88"/>
    </row>
    <row r="16" spans="1:19" s="11" customFormat="1" ht="15.75" x14ac:dyDescent="0.25">
      <c r="A16" s="77" t="s">
        <v>2010</v>
      </c>
      <c r="B16" s="98">
        <v>-41566</v>
      </c>
      <c r="C16" s="31">
        <v>45350</v>
      </c>
      <c r="D16" s="28">
        <v>45352</v>
      </c>
      <c r="E16" s="71"/>
      <c r="F16" s="55"/>
      <c r="G16" s="55"/>
      <c r="L16" s="11" t="s">
        <v>1452</v>
      </c>
      <c r="M16" s="88"/>
    </row>
    <row r="17" spans="1:13" s="11" customFormat="1" ht="16.5" customHeight="1" x14ac:dyDescent="0.25">
      <c r="A17" s="77" t="s">
        <v>2020</v>
      </c>
      <c r="B17" s="98">
        <v>-85664.8</v>
      </c>
      <c r="C17" s="31">
        <v>45348</v>
      </c>
      <c r="D17" s="28">
        <v>45352</v>
      </c>
      <c r="E17" s="71"/>
      <c r="F17" s="55"/>
      <c r="G17" s="55"/>
      <c r="L17" s="11" t="s">
        <v>1453</v>
      </c>
      <c r="M17" s="88"/>
    </row>
    <row r="18" spans="1:13" s="11" customFormat="1" ht="16.5" customHeight="1" x14ac:dyDescent="0.25">
      <c r="A18" s="77" t="s">
        <v>2021</v>
      </c>
      <c r="B18" s="98">
        <v>-87775.55</v>
      </c>
      <c r="C18" s="31">
        <v>45348</v>
      </c>
      <c r="D18" s="28">
        <v>45355</v>
      </c>
      <c r="E18" s="71"/>
      <c r="F18" s="55"/>
      <c r="G18" s="55"/>
      <c r="L18" s="11" t="s">
        <v>1436</v>
      </c>
      <c r="M18" s="88"/>
    </row>
    <row r="19" spans="1:13" s="11" customFormat="1" ht="16.5" customHeight="1" x14ac:dyDescent="0.25">
      <c r="A19" s="77" t="s">
        <v>2022</v>
      </c>
      <c r="B19" s="98">
        <v>-88478.3</v>
      </c>
      <c r="C19" s="31">
        <v>45350</v>
      </c>
      <c r="D19" s="28">
        <v>45356</v>
      </c>
      <c r="E19" s="71"/>
      <c r="F19" s="55"/>
      <c r="G19" s="55"/>
      <c r="L19" s="11" t="s">
        <v>1454</v>
      </c>
      <c r="M19" s="88"/>
    </row>
    <row r="20" spans="1:13" s="11" customFormat="1" ht="16.5" customHeight="1" x14ac:dyDescent="0.25">
      <c r="A20" s="77" t="s">
        <v>2023</v>
      </c>
      <c r="B20" s="98">
        <v>-88478.3</v>
      </c>
      <c r="C20" s="31">
        <v>45349</v>
      </c>
      <c r="D20" s="28">
        <v>45355</v>
      </c>
      <c r="E20" s="71"/>
      <c r="F20" s="55"/>
      <c r="G20" s="55"/>
      <c r="L20" s="11" t="s">
        <v>1455</v>
      </c>
      <c r="M20" s="88"/>
    </row>
    <row r="21" spans="1:13" s="11" customFormat="1" ht="15.75" x14ac:dyDescent="0.25">
      <c r="A21" s="77" t="s">
        <v>2024</v>
      </c>
      <c r="B21" s="98">
        <v>-88617.8</v>
      </c>
      <c r="C21" s="31">
        <v>45348</v>
      </c>
      <c r="D21" s="28">
        <v>45352</v>
      </c>
      <c r="E21" s="71"/>
      <c r="F21" s="55"/>
      <c r="G21" s="55"/>
      <c r="L21" s="11" t="s">
        <v>1456</v>
      </c>
      <c r="M21" s="88"/>
    </row>
    <row r="22" spans="1:13" s="11" customFormat="1" ht="15.75" x14ac:dyDescent="0.25">
      <c r="A22" s="77" t="s">
        <v>2025</v>
      </c>
      <c r="B22" s="98">
        <v>-94715.95</v>
      </c>
      <c r="C22" s="31">
        <v>45350</v>
      </c>
      <c r="D22" s="28">
        <v>45356</v>
      </c>
      <c r="E22" s="71"/>
      <c r="F22" s="55"/>
      <c r="G22" s="55"/>
      <c r="L22" s="11" t="s">
        <v>1457</v>
      </c>
      <c r="M22" s="88"/>
    </row>
    <row r="23" spans="1:13" s="11" customFormat="1" ht="15.75" x14ac:dyDescent="0.25">
      <c r="A23" s="77"/>
      <c r="B23" s="98"/>
      <c r="C23" s="31"/>
      <c r="D23" s="28"/>
      <c r="E23" s="71"/>
      <c r="F23" s="55"/>
      <c r="G23" s="55"/>
      <c r="L23" s="11" t="s">
        <v>1458</v>
      </c>
      <c r="M23" s="88"/>
    </row>
    <row r="24" spans="1:13" s="11" customFormat="1" ht="15.75" x14ac:dyDescent="0.25">
      <c r="A24" s="77"/>
      <c r="B24" s="98"/>
      <c r="C24" s="31"/>
      <c r="D24" s="28"/>
      <c r="E24" s="71"/>
      <c r="F24" s="55"/>
      <c r="G24" s="55"/>
      <c r="L24" s="11" t="s">
        <v>1368</v>
      </c>
    </row>
    <row r="25" spans="1:13" s="11" customFormat="1" ht="15.95" customHeight="1" x14ac:dyDescent="0.25">
      <c r="B25" s="25">
        <f>SUM(B9:B24)</f>
        <v>-804018.70000000007</v>
      </c>
      <c r="C25" s="28"/>
      <c r="D25" s="28"/>
      <c r="E25" s="127"/>
      <c r="F25" s="19"/>
      <c r="G25" s="19"/>
      <c r="L25" s="11" t="s">
        <v>1459</v>
      </c>
    </row>
    <row r="26" spans="1:13" s="11" customFormat="1" ht="15.95" customHeight="1" x14ac:dyDescent="0.25">
      <c r="A26" s="11" t="s">
        <v>2</v>
      </c>
      <c r="B26" s="25"/>
      <c r="C26" s="30" t="s">
        <v>626</v>
      </c>
      <c r="D26" s="114" t="s">
        <v>628</v>
      </c>
      <c r="E26" s="72"/>
      <c r="L26" s="11" t="s">
        <v>1369</v>
      </c>
    </row>
    <row r="27" spans="1:13" s="11" customFormat="1" ht="15.95" customHeight="1" x14ac:dyDescent="0.25">
      <c r="A27" s="11" t="s">
        <v>2027</v>
      </c>
      <c r="B27" s="119">
        <v>26954.45</v>
      </c>
      <c r="C27" s="95">
        <v>45351</v>
      </c>
      <c r="D27" s="13">
        <v>45355</v>
      </c>
      <c r="E27" s="72"/>
      <c r="L27" s="11" t="s">
        <v>1460</v>
      </c>
      <c r="M27" s="88"/>
    </row>
    <row r="28" spans="1:13" s="11" customFormat="1" ht="15.95" customHeight="1" x14ac:dyDescent="0.25">
      <c r="A28" s="11" t="s">
        <v>2001</v>
      </c>
      <c r="B28" s="119">
        <v>27244.75</v>
      </c>
      <c r="C28" s="95">
        <v>45329</v>
      </c>
      <c r="D28" s="92">
        <v>4800</v>
      </c>
      <c r="E28" s="72"/>
      <c r="M28" s="88"/>
    </row>
    <row r="29" spans="1:13" s="11" customFormat="1" ht="15.95" customHeight="1" x14ac:dyDescent="0.25">
      <c r="A29" s="11" t="s">
        <v>2028</v>
      </c>
      <c r="B29" s="119">
        <v>27244.75</v>
      </c>
      <c r="C29" s="95">
        <v>45351</v>
      </c>
      <c r="D29" s="13">
        <v>45356</v>
      </c>
      <c r="E29" s="72"/>
      <c r="M29" s="88"/>
    </row>
    <row r="30" spans="1:13" s="11" customFormat="1" ht="15.95" customHeight="1" x14ac:dyDescent="0.25">
      <c r="A30" s="11" t="s">
        <v>2029</v>
      </c>
      <c r="B30" s="119">
        <v>27512.45</v>
      </c>
      <c r="C30" s="95">
        <v>45351</v>
      </c>
      <c r="D30" s="13">
        <v>45356</v>
      </c>
      <c r="E30" s="72"/>
      <c r="M30" s="88"/>
    </row>
    <row r="31" spans="1:13" s="11" customFormat="1" ht="15.95" customHeight="1" thickBot="1" x14ac:dyDescent="0.3">
      <c r="A31" s="11" t="s">
        <v>2008</v>
      </c>
      <c r="B31" s="119">
        <v>39177.199999999997</v>
      </c>
      <c r="C31" s="95">
        <v>45348</v>
      </c>
      <c r="D31" s="92">
        <v>4300</v>
      </c>
      <c r="E31" s="72"/>
      <c r="M31" s="88"/>
    </row>
    <row r="32" spans="1:13" s="11" customFormat="1" ht="15.95" customHeight="1" x14ac:dyDescent="0.25">
      <c r="A32" s="11" t="s">
        <v>2009</v>
      </c>
      <c r="B32" s="119">
        <v>40474.550000000003</v>
      </c>
      <c r="C32" s="95">
        <v>45348</v>
      </c>
      <c r="D32" s="92">
        <v>4150</v>
      </c>
      <c r="E32" s="72"/>
      <c r="L32" s="129" t="s">
        <v>1457</v>
      </c>
      <c r="M32" s="88"/>
    </row>
    <row r="33" spans="1:13" s="11" customFormat="1" ht="15.95" customHeight="1" x14ac:dyDescent="0.25">
      <c r="A33" s="11" t="s">
        <v>2011</v>
      </c>
      <c r="B33" s="119">
        <v>55476.2</v>
      </c>
      <c r="C33" s="95">
        <v>45348</v>
      </c>
      <c r="D33" s="92">
        <v>4150</v>
      </c>
      <c r="E33" s="72"/>
      <c r="L33" s="130" t="s">
        <v>1459</v>
      </c>
      <c r="M33" s="88"/>
    </row>
    <row r="34" spans="1:13" s="11" customFormat="1" ht="15.95" customHeight="1" thickBot="1" x14ac:dyDescent="0.3">
      <c r="A34" s="11" t="s">
        <v>2030</v>
      </c>
      <c r="B34" s="119">
        <v>60272.9</v>
      </c>
      <c r="C34" s="95">
        <v>45344</v>
      </c>
      <c r="D34" s="13">
        <v>45356</v>
      </c>
      <c r="E34" s="72"/>
      <c r="L34" s="131" t="s">
        <v>1369</v>
      </c>
    </row>
    <row r="35" spans="1:13" s="11" customFormat="1" ht="15.95" customHeight="1" x14ac:dyDescent="0.25">
      <c r="A35" s="11" t="s">
        <v>2031</v>
      </c>
      <c r="B35" s="119">
        <v>61680.3</v>
      </c>
      <c r="C35" s="95">
        <v>45344</v>
      </c>
      <c r="D35" s="13">
        <v>45358</v>
      </c>
      <c r="E35" s="72"/>
    </row>
    <row r="36" spans="1:13" s="11" customFormat="1" ht="15.95" customHeight="1" x14ac:dyDescent="0.25">
      <c r="A36" s="11" t="s">
        <v>2032</v>
      </c>
      <c r="B36" s="119">
        <v>62791.65</v>
      </c>
      <c r="C36" s="95">
        <v>45348</v>
      </c>
      <c r="D36" s="13">
        <v>45356</v>
      </c>
      <c r="E36" s="72"/>
    </row>
    <row r="37" spans="1:13" s="11" customFormat="1" ht="15.95" customHeight="1" x14ac:dyDescent="0.25">
      <c r="A37" s="11" t="s">
        <v>2033</v>
      </c>
      <c r="B37" s="119">
        <v>63252</v>
      </c>
      <c r="C37" s="95">
        <v>45349</v>
      </c>
      <c r="D37" s="13">
        <v>45356</v>
      </c>
      <c r="E37" s="72"/>
    </row>
    <row r="38" spans="1:13" s="11" customFormat="1" ht="15.95" customHeight="1" x14ac:dyDescent="0.25">
      <c r="A38" s="11" t="s">
        <v>2034</v>
      </c>
      <c r="B38" s="119">
        <v>63252</v>
      </c>
      <c r="C38" s="95">
        <v>45348</v>
      </c>
      <c r="D38" s="13">
        <v>45356</v>
      </c>
      <c r="E38" s="72"/>
    </row>
    <row r="39" spans="1:13" s="11" customFormat="1" ht="15.95" customHeight="1" x14ac:dyDescent="0.25">
      <c r="A39" s="11" t="s">
        <v>2035</v>
      </c>
      <c r="B39" s="119">
        <v>63252</v>
      </c>
      <c r="C39" s="95">
        <v>45348</v>
      </c>
      <c r="D39" s="13">
        <v>45356</v>
      </c>
      <c r="E39" s="72"/>
    </row>
    <row r="40" spans="1:13" s="11" customFormat="1" ht="15.95" customHeight="1" x14ac:dyDescent="0.25">
      <c r="A40" s="11" t="s">
        <v>2036</v>
      </c>
      <c r="B40" s="119">
        <v>63252</v>
      </c>
      <c r="C40" s="95">
        <v>45349</v>
      </c>
      <c r="D40" s="13">
        <v>45357</v>
      </c>
      <c r="E40" s="72"/>
    </row>
    <row r="41" spans="1:13" s="11" customFormat="1" ht="15.95" customHeight="1" x14ac:dyDescent="0.25">
      <c r="A41" s="11" t="s">
        <v>2037</v>
      </c>
      <c r="B41" s="119">
        <v>63252</v>
      </c>
      <c r="C41" s="95">
        <v>45348</v>
      </c>
      <c r="D41" s="13">
        <v>45356</v>
      </c>
      <c r="E41" s="72"/>
    </row>
    <row r="42" spans="1:13" s="11" customFormat="1" ht="15.95" customHeight="1" x14ac:dyDescent="0.25">
      <c r="A42" s="11" t="s">
        <v>2038</v>
      </c>
      <c r="B42" s="119">
        <v>63252</v>
      </c>
      <c r="C42" s="95">
        <v>45348</v>
      </c>
      <c r="D42" s="13">
        <v>45356</v>
      </c>
      <c r="E42" s="72"/>
    </row>
    <row r="43" spans="1:13" s="11" customFormat="1" ht="15.95" customHeight="1" x14ac:dyDescent="0.25">
      <c r="A43" s="11" t="s">
        <v>2039</v>
      </c>
      <c r="B43" s="119">
        <v>63252</v>
      </c>
      <c r="C43" s="95">
        <v>45348</v>
      </c>
      <c r="D43" s="13">
        <v>45356</v>
      </c>
      <c r="E43" s="72"/>
    </row>
    <row r="44" spans="1:13" s="11" customFormat="1" ht="15.95" customHeight="1" x14ac:dyDescent="0.25">
      <c r="A44" s="11" t="s">
        <v>2040</v>
      </c>
      <c r="B44" s="119">
        <v>63252</v>
      </c>
      <c r="C44" s="95">
        <v>45351</v>
      </c>
      <c r="D44" s="13">
        <v>45356</v>
      </c>
      <c r="E44" s="72"/>
    </row>
    <row r="45" spans="1:13" s="11" customFormat="1" ht="15.95" customHeight="1" x14ac:dyDescent="0.25">
      <c r="A45" s="11" t="s">
        <v>2041</v>
      </c>
      <c r="B45" s="119">
        <v>63810</v>
      </c>
      <c r="C45" s="95">
        <v>45348</v>
      </c>
      <c r="D45" s="13">
        <v>45356</v>
      </c>
      <c r="E45" s="72"/>
    </row>
    <row r="46" spans="1:13" s="11" customFormat="1" ht="15.95" customHeight="1" x14ac:dyDescent="0.25">
      <c r="A46" s="11" t="s">
        <v>2042</v>
      </c>
      <c r="B46" s="119">
        <v>63810</v>
      </c>
      <c r="C46" s="95">
        <v>45348</v>
      </c>
      <c r="D46" s="13">
        <v>45357</v>
      </c>
      <c r="E46" s="72"/>
    </row>
    <row r="47" spans="1:13" s="11" customFormat="1" ht="15.95" customHeight="1" x14ac:dyDescent="0.25">
      <c r="A47" s="11" t="s">
        <v>2043</v>
      </c>
      <c r="B47" s="119">
        <v>63810</v>
      </c>
      <c r="C47" s="95">
        <v>45348</v>
      </c>
      <c r="D47" s="13">
        <v>45356</v>
      </c>
      <c r="E47" s="72"/>
    </row>
    <row r="48" spans="1:13" s="11" customFormat="1" ht="15.95" customHeight="1" x14ac:dyDescent="0.25">
      <c r="A48" s="11" t="s">
        <v>2044</v>
      </c>
      <c r="B48" s="119">
        <v>66939.45</v>
      </c>
      <c r="C48" s="95">
        <v>45349</v>
      </c>
      <c r="D48" s="13">
        <v>45356</v>
      </c>
      <c r="E48" s="72"/>
    </row>
    <row r="49" spans="1:5" s="11" customFormat="1" ht="15.95" customHeight="1" x14ac:dyDescent="0.25">
      <c r="A49" s="11" t="s">
        <v>2045</v>
      </c>
      <c r="B49" s="119">
        <v>66939.45</v>
      </c>
      <c r="C49" s="95">
        <v>45344</v>
      </c>
      <c r="D49" s="13">
        <v>45356</v>
      </c>
      <c r="E49" s="72"/>
    </row>
    <row r="50" spans="1:5" s="11" customFormat="1" ht="15.95" customHeight="1" x14ac:dyDescent="0.25">
      <c r="A50" s="11" t="s">
        <v>2046</v>
      </c>
      <c r="B50" s="119">
        <v>67399.8</v>
      </c>
      <c r="C50" s="95">
        <v>45344</v>
      </c>
      <c r="D50" s="13">
        <v>45356</v>
      </c>
      <c r="E50" s="72"/>
    </row>
    <row r="51" spans="1:5" s="11" customFormat="1" ht="15.95" customHeight="1" x14ac:dyDescent="0.25">
      <c r="A51" s="11" t="s">
        <v>2047</v>
      </c>
      <c r="B51" s="119">
        <v>67399.8</v>
      </c>
      <c r="C51" s="95">
        <v>45349</v>
      </c>
      <c r="D51" s="13">
        <v>45357</v>
      </c>
      <c r="E51" s="72"/>
    </row>
    <row r="52" spans="1:5" s="11" customFormat="1" ht="15.95" customHeight="1" x14ac:dyDescent="0.25">
      <c r="A52" s="11" t="s">
        <v>2026</v>
      </c>
      <c r="B52" s="119">
        <v>67399.8</v>
      </c>
      <c r="C52" s="95">
        <v>45351</v>
      </c>
      <c r="D52" s="92">
        <v>4800</v>
      </c>
      <c r="E52" s="72"/>
    </row>
    <row r="53" spans="1:5" s="11" customFormat="1" ht="15.95" customHeight="1" x14ac:dyDescent="0.25">
      <c r="A53" s="11" t="s">
        <v>2048</v>
      </c>
      <c r="B53" s="119">
        <v>67399.8</v>
      </c>
      <c r="C53" s="95">
        <v>45345</v>
      </c>
      <c r="D53" s="13">
        <v>45356</v>
      </c>
      <c r="E53" s="72"/>
    </row>
    <row r="54" spans="1:5" s="11" customFormat="1" ht="15.95" customHeight="1" x14ac:dyDescent="0.25">
      <c r="A54" s="11" t="s">
        <v>2049</v>
      </c>
      <c r="B54" s="119">
        <v>67399.8</v>
      </c>
      <c r="C54" s="95">
        <v>45345</v>
      </c>
      <c r="D54" s="13">
        <v>45356</v>
      </c>
      <c r="E54" s="72"/>
    </row>
    <row r="55" spans="1:5" s="11" customFormat="1" ht="15.95" customHeight="1" x14ac:dyDescent="0.25">
      <c r="A55" s="11" t="s">
        <v>2050</v>
      </c>
      <c r="B55" s="119">
        <v>67539.3</v>
      </c>
      <c r="C55" s="95">
        <v>45345</v>
      </c>
      <c r="D55" s="13">
        <v>45355</v>
      </c>
      <c r="E55" s="72"/>
    </row>
    <row r="56" spans="1:5" s="11" customFormat="1" ht="15.95" customHeight="1" x14ac:dyDescent="0.25">
      <c r="A56" s="11" t="s">
        <v>2051</v>
      </c>
      <c r="B56" s="119">
        <v>67539.3</v>
      </c>
      <c r="C56" s="95">
        <v>45345</v>
      </c>
      <c r="D56" s="13">
        <v>45355</v>
      </c>
      <c r="E56" s="72"/>
    </row>
    <row r="57" spans="1:5" s="11" customFormat="1" ht="15.95" customHeight="1" x14ac:dyDescent="0.25">
      <c r="A57" s="11" t="s">
        <v>2052</v>
      </c>
      <c r="B57" s="119">
        <v>67539.3</v>
      </c>
      <c r="C57" s="95">
        <v>45345</v>
      </c>
      <c r="D57" s="13">
        <v>45355</v>
      </c>
      <c r="E57" s="72"/>
    </row>
    <row r="58" spans="1:5" s="11" customFormat="1" ht="15.95" customHeight="1" x14ac:dyDescent="0.25">
      <c r="A58" s="11" t="s">
        <v>2053</v>
      </c>
      <c r="B58" s="119">
        <v>69794.55</v>
      </c>
      <c r="C58" s="95">
        <v>45344</v>
      </c>
      <c r="D58" s="13">
        <v>45356</v>
      </c>
      <c r="E58" s="72"/>
    </row>
    <row r="59" spans="1:5" s="11" customFormat="1" ht="15.95" customHeight="1" x14ac:dyDescent="0.25">
      <c r="A59" s="11" t="s">
        <v>2054</v>
      </c>
      <c r="B59" s="119">
        <v>69794.55</v>
      </c>
      <c r="C59" s="95">
        <v>45344</v>
      </c>
      <c r="D59" s="13">
        <v>45358</v>
      </c>
      <c r="E59" s="72"/>
    </row>
    <row r="60" spans="1:5" s="11" customFormat="1" ht="15.95" customHeight="1" x14ac:dyDescent="0.25">
      <c r="A60" s="11" t="s">
        <v>2055</v>
      </c>
      <c r="B60" s="119">
        <v>70254.899999999994</v>
      </c>
      <c r="C60" s="95">
        <v>45344</v>
      </c>
      <c r="D60" s="13">
        <v>45356</v>
      </c>
      <c r="E60" s="72"/>
    </row>
    <row r="61" spans="1:5" s="11" customFormat="1" ht="15.95" customHeight="1" x14ac:dyDescent="0.25">
      <c r="A61" s="11" t="s">
        <v>2056</v>
      </c>
      <c r="B61" s="119">
        <v>70254.899999999994</v>
      </c>
      <c r="C61" s="95">
        <v>45344</v>
      </c>
      <c r="D61" s="13">
        <v>45356</v>
      </c>
      <c r="E61" s="72"/>
    </row>
    <row r="62" spans="1:5" s="11" customFormat="1" ht="15.95" customHeight="1" x14ac:dyDescent="0.25">
      <c r="A62" s="11" t="s">
        <v>2057</v>
      </c>
      <c r="B62" s="119">
        <v>77048.55</v>
      </c>
      <c r="C62" s="95">
        <v>45343</v>
      </c>
      <c r="D62" s="13">
        <v>45355</v>
      </c>
      <c r="E62" s="72"/>
    </row>
    <row r="63" spans="1:5" s="11" customFormat="1" ht="15.95" customHeight="1" x14ac:dyDescent="0.25">
      <c r="A63" s="11" t="s">
        <v>2058</v>
      </c>
      <c r="B63" s="119">
        <v>77048.55</v>
      </c>
      <c r="C63" s="95">
        <v>45344</v>
      </c>
      <c r="D63" s="13">
        <v>45356</v>
      </c>
      <c r="E63" s="72"/>
    </row>
    <row r="64" spans="1:5" s="11" customFormat="1" ht="15.95" customHeight="1" x14ac:dyDescent="0.25">
      <c r="A64" s="11" t="s">
        <v>2059</v>
      </c>
      <c r="B64" s="119">
        <v>77048.55</v>
      </c>
      <c r="C64" s="95">
        <v>45343</v>
      </c>
      <c r="D64" s="13">
        <v>45355</v>
      </c>
      <c r="E64" s="72"/>
    </row>
    <row r="65" spans="1:5" s="11" customFormat="1" ht="15.95" customHeight="1" x14ac:dyDescent="0.25">
      <c r="A65" s="11" t="s">
        <v>2012</v>
      </c>
      <c r="B65" s="119">
        <v>77508.899999999994</v>
      </c>
      <c r="C65" s="95">
        <v>45342</v>
      </c>
      <c r="D65" s="92">
        <v>4800</v>
      </c>
      <c r="E65" s="72"/>
    </row>
    <row r="66" spans="1:5" s="11" customFormat="1" ht="15.95" customHeight="1" x14ac:dyDescent="0.25">
      <c r="A66" s="11" t="s">
        <v>2013</v>
      </c>
      <c r="B66" s="119">
        <v>77508.899999999994</v>
      </c>
      <c r="C66" s="95">
        <v>45344</v>
      </c>
      <c r="D66" s="92">
        <v>4800</v>
      </c>
      <c r="E66" s="72"/>
    </row>
    <row r="67" spans="1:5" s="11" customFormat="1" ht="15.95" customHeight="1" x14ac:dyDescent="0.25">
      <c r="A67" s="11" t="s">
        <v>2060</v>
      </c>
      <c r="B67" s="119">
        <v>77508.899999999994</v>
      </c>
      <c r="C67" s="95">
        <v>45343</v>
      </c>
      <c r="D67" s="13">
        <v>45355</v>
      </c>
      <c r="E67" s="72"/>
    </row>
    <row r="68" spans="1:5" s="11" customFormat="1" ht="15.95" customHeight="1" x14ac:dyDescent="0.25">
      <c r="A68" s="11" t="s">
        <v>2014</v>
      </c>
      <c r="B68" s="119">
        <v>78066.899999999994</v>
      </c>
      <c r="C68" s="95">
        <v>45342</v>
      </c>
      <c r="D68" s="92">
        <v>4800</v>
      </c>
      <c r="E68" s="72"/>
    </row>
    <row r="69" spans="1:5" s="11" customFormat="1" ht="15.95" customHeight="1" x14ac:dyDescent="0.25">
      <c r="A69" s="11" t="s">
        <v>2061</v>
      </c>
      <c r="B69" s="119">
        <v>78066.899999999994</v>
      </c>
      <c r="C69" s="95">
        <v>45342</v>
      </c>
      <c r="D69" s="13">
        <v>45355</v>
      </c>
      <c r="E69" s="72"/>
    </row>
    <row r="70" spans="1:5" s="11" customFormat="1" ht="15.95" customHeight="1" x14ac:dyDescent="0.25">
      <c r="A70" s="11" t="s">
        <v>2062</v>
      </c>
      <c r="B70" s="119">
        <v>83800.350000000006</v>
      </c>
      <c r="C70" s="95">
        <v>45343</v>
      </c>
      <c r="D70" s="13">
        <v>45355</v>
      </c>
      <c r="E70" s="72"/>
    </row>
    <row r="71" spans="1:5" s="11" customFormat="1" ht="15.95" customHeight="1" x14ac:dyDescent="0.25">
      <c r="A71" s="11" t="s">
        <v>2063</v>
      </c>
      <c r="B71" s="119">
        <v>83800.350000000006</v>
      </c>
      <c r="C71" s="95">
        <v>45344</v>
      </c>
      <c r="D71" s="13">
        <v>45356</v>
      </c>
      <c r="E71" s="72"/>
    </row>
    <row r="72" spans="1:5" s="11" customFormat="1" ht="15.95" customHeight="1" x14ac:dyDescent="0.25">
      <c r="A72" s="11" t="s">
        <v>2015</v>
      </c>
      <c r="B72" s="119">
        <v>83800.350000000006</v>
      </c>
      <c r="C72" s="95">
        <v>45348</v>
      </c>
      <c r="D72" s="92">
        <v>4800</v>
      </c>
      <c r="E72" s="72"/>
    </row>
    <row r="73" spans="1:5" s="11" customFormat="1" ht="15.95" customHeight="1" x14ac:dyDescent="0.25">
      <c r="A73" s="11" t="s">
        <v>2064</v>
      </c>
      <c r="B73" s="119">
        <v>83800.350000000006</v>
      </c>
      <c r="C73" s="95">
        <v>45351</v>
      </c>
      <c r="D73" s="13">
        <v>45358</v>
      </c>
      <c r="E73" s="72"/>
    </row>
    <row r="74" spans="1:5" s="11" customFormat="1" ht="15.95" customHeight="1" x14ac:dyDescent="0.25">
      <c r="A74" s="11" t="s">
        <v>2016</v>
      </c>
      <c r="B74" s="119">
        <v>83907.3</v>
      </c>
      <c r="C74" s="95">
        <v>45343</v>
      </c>
      <c r="D74" s="92">
        <v>4800</v>
      </c>
      <c r="E74" s="72"/>
    </row>
    <row r="75" spans="1:5" s="11" customFormat="1" ht="15.95" customHeight="1" x14ac:dyDescent="0.25">
      <c r="A75" s="11" t="s">
        <v>2017</v>
      </c>
      <c r="B75" s="119">
        <v>83907.3</v>
      </c>
      <c r="C75" s="95">
        <v>45348</v>
      </c>
      <c r="D75" s="92">
        <v>4800</v>
      </c>
      <c r="E75" s="72"/>
    </row>
    <row r="76" spans="1:5" s="11" customFormat="1" ht="15.95" customHeight="1" x14ac:dyDescent="0.25">
      <c r="A76" s="11" t="s">
        <v>2065</v>
      </c>
      <c r="B76" s="119">
        <v>83907.3</v>
      </c>
      <c r="C76" s="95">
        <v>45348</v>
      </c>
      <c r="D76" s="13">
        <v>45356</v>
      </c>
      <c r="E76" s="72"/>
    </row>
    <row r="77" spans="1:5" s="11" customFormat="1" ht="15.95" customHeight="1" x14ac:dyDescent="0.25">
      <c r="A77" s="11" t="s">
        <v>2018</v>
      </c>
      <c r="B77" s="119">
        <v>84358.35</v>
      </c>
      <c r="C77" s="95">
        <v>45349</v>
      </c>
      <c r="D77" s="92">
        <v>4800</v>
      </c>
      <c r="E77" s="72"/>
    </row>
    <row r="78" spans="1:5" s="11" customFormat="1" ht="15.95" customHeight="1" x14ac:dyDescent="0.25">
      <c r="A78" s="11" t="s">
        <v>2066</v>
      </c>
      <c r="B78" s="119">
        <v>84358.35</v>
      </c>
      <c r="C78" s="95">
        <v>45349</v>
      </c>
      <c r="D78" s="13">
        <v>45356</v>
      </c>
      <c r="E78" s="72"/>
    </row>
    <row r="79" spans="1:5" s="11" customFormat="1" ht="15.95" customHeight="1" x14ac:dyDescent="0.25">
      <c r="A79" s="11" t="s">
        <v>2067</v>
      </c>
      <c r="B79" s="119">
        <v>84465.3</v>
      </c>
      <c r="C79" s="95">
        <v>45348</v>
      </c>
      <c r="D79" s="13">
        <v>45358</v>
      </c>
      <c r="E79" s="72"/>
    </row>
    <row r="80" spans="1:5" s="11" customFormat="1" ht="15.95" customHeight="1" x14ac:dyDescent="0.25">
      <c r="A80" s="11" t="s">
        <v>2019</v>
      </c>
      <c r="B80" s="119">
        <v>84465.3</v>
      </c>
      <c r="C80" s="95">
        <v>45348</v>
      </c>
      <c r="D80" s="92">
        <v>4800</v>
      </c>
      <c r="E80" s="72"/>
    </row>
    <row r="81" spans="1:19" s="11" customFormat="1" ht="15.95" customHeight="1" x14ac:dyDescent="0.25">
      <c r="A81" s="11" t="s">
        <v>2068</v>
      </c>
      <c r="B81" s="119">
        <v>85525.3</v>
      </c>
      <c r="C81" s="95">
        <v>45349</v>
      </c>
      <c r="D81" s="13">
        <v>45356</v>
      </c>
      <c r="E81" s="72"/>
    </row>
    <row r="82" spans="1:19" s="11" customFormat="1" ht="15.95" customHeight="1" x14ac:dyDescent="0.25">
      <c r="A82" s="11" t="s">
        <v>1941</v>
      </c>
      <c r="B82" s="119">
        <v>92025.95</v>
      </c>
      <c r="C82" s="95">
        <v>45233</v>
      </c>
      <c r="D82" s="92">
        <v>4300</v>
      </c>
      <c r="E82" s="72"/>
    </row>
    <row r="83" spans="1:19" s="11" customFormat="1" ht="15.95" customHeight="1" thickBot="1" x14ac:dyDescent="0.3">
      <c r="B83" s="25"/>
      <c r="E83" s="72"/>
    </row>
    <row r="84" spans="1:19" s="11" customFormat="1" ht="15.95" customHeight="1" x14ac:dyDescent="0.25">
      <c r="B84" s="25">
        <f>SUM(B27:B83)</f>
        <v>3801797.899999999</v>
      </c>
      <c r="C84" s="246" t="s">
        <v>1457</v>
      </c>
      <c r="D84" s="247"/>
      <c r="E84" s="72"/>
      <c r="H84" s="88"/>
    </row>
    <row r="85" spans="1:19" s="11" customFormat="1" ht="15.95" customHeight="1" x14ac:dyDescent="0.25">
      <c r="A85" s="11" t="s">
        <v>1</v>
      </c>
      <c r="B85" s="17">
        <f>B84+B25</f>
        <v>2997779.1999999988</v>
      </c>
      <c r="C85" s="248" t="s">
        <v>1459</v>
      </c>
      <c r="D85" s="249"/>
      <c r="E85" s="72"/>
      <c r="H85" s="88"/>
    </row>
    <row r="86" spans="1:19" s="11" customFormat="1" ht="15.95" customHeight="1" thickBot="1" x14ac:dyDescent="0.3">
      <c r="A86" s="11" t="s">
        <v>0</v>
      </c>
      <c r="B86" s="17">
        <f>B85-B7</f>
        <v>0</v>
      </c>
      <c r="C86" s="250" t="s">
        <v>1369</v>
      </c>
      <c r="D86" s="251"/>
      <c r="E86" s="72"/>
      <c r="G86" s="126"/>
      <c r="H86" s="88"/>
    </row>
    <row r="87" spans="1:19" s="11" customFormat="1" ht="15.95" customHeight="1" x14ac:dyDescent="0.25">
      <c r="B87" s="17"/>
      <c r="E87" s="72"/>
      <c r="H87" s="88"/>
    </row>
    <row r="88" spans="1:19" s="11" customFormat="1" ht="20.100000000000001" customHeight="1" x14ac:dyDescent="0.25">
      <c r="A88" s="39"/>
      <c r="B88" s="93"/>
      <c r="C88" s="18"/>
      <c r="D88" s="18"/>
      <c r="E88" s="72"/>
      <c r="H88" s="88"/>
    </row>
    <row r="89" spans="1:19" s="11" customFormat="1" ht="20.100000000000001" customHeight="1" x14ac:dyDescent="0.3">
      <c r="A89" s="1"/>
      <c r="B89" s="10"/>
      <c r="C89" s="13"/>
      <c r="D89" s="47"/>
      <c r="E89" s="72"/>
      <c r="H89" s="88"/>
    </row>
    <row r="90" spans="1:19" s="11" customFormat="1" ht="20.100000000000001" customHeight="1" x14ac:dyDescent="0.3">
      <c r="A90" s="1"/>
      <c r="B90" s="10"/>
      <c r="C90" s="13"/>
      <c r="D90" s="47"/>
      <c r="E90" s="72"/>
      <c r="G90" s="126"/>
      <c r="H90" s="88"/>
    </row>
    <row r="91" spans="1:19" s="11" customFormat="1" ht="20.100000000000001" customHeight="1" x14ac:dyDescent="0.3">
      <c r="A91" s="1"/>
      <c r="B91" s="10"/>
      <c r="C91" s="13"/>
      <c r="D91" s="47"/>
      <c r="E91" s="72"/>
      <c r="H91" s="88"/>
    </row>
    <row r="92" spans="1:19" s="13" customFormat="1" ht="20.100000000000001" customHeight="1" x14ac:dyDescent="0.3">
      <c r="A92" s="1"/>
      <c r="B92" s="10"/>
      <c r="D92" s="47"/>
      <c r="E92" s="72"/>
      <c r="F92" s="11"/>
      <c r="H92" s="88"/>
      <c r="I92" s="11"/>
    </row>
    <row r="93" spans="1:19" s="13" customFormat="1" ht="20.100000000000001" customHeight="1" x14ac:dyDescent="0.3">
      <c r="A93" s="1"/>
      <c r="B93" s="10"/>
      <c r="D93" s="47"/>
      <c r="E93" s="72"/>
      <c r="F93" s="11"/>
      <c r="H93" s="88"/>
      <c r="I93" s="11"/>
    </row>
    <row r="94" spans="1:19" s="13" customFormat="1" ht="20.100000000000001" customHeight="1" x14ac:dyDescent="0.3">
      <c r="A94" s="1"/>
      <c r="B94" s="10"/>
      <c r="D94" s="47"/>
      <c r="E94" s="72"/>
      <c r="F94" s="11"/>
      <c r="H94" s="88"/>
      <c r="I94" s="11"/>
    </row>
    <row r="95" spans="1:19" s="90" customFormat="1" ht="20.100000000000001" customHeight="1" x14ac:dyDescent="0.3">
      <c r="A95" s="1"/>
      <c r="B95" s="10"/>
      <c r="C95" s="6"/>
      <c r="D95" s="116"/>
      <c r="E95" s="128"/>
      <c r="F95" s="1"/>
      <c r="G95" s="1"/>
      <c r="I95" s="1"/>
      <c r="J95" s="1"/>
      <c r="K95" s="1"/>
      <c r="M95" s="1"/>
      <c r="N95" s="1"/>
      <c r="O95" s="1"/>
      <c r="P95" s="1"/>
      <c r="Q95" s="1"/>
      <c r="R95" s="1"/>
      <c r="S95" s="1"/>
    </row>
    <row r="96" spans="1:19" s="90" customFormat="1" ht="20.100000000000001" customHeight="1" x14ac:dyDescent="0.3">
      <c r="A96" s="1"/>
      <c r="B96" s="10"/>
      <c r="C96" s="6"/>
      <c r="D96" s="116"/>
      <c r="E96" s="128"/>
      <c r="F96" s="1"/>
      <c r="G96" s="1"/>
      <c r="I96" s="1"/>
      <c r="J96" s="1"/>
      <c r="K96" s="1"/>
      <c r="M96" s="1"/>
      <c r="N96" s="1"/>
      <c r="O96" s="1"/>
      <c r="P96" s="1"/>
      <c r="Q96" s="1"/>
      <c r="R96" s="1"/>
      <c r="S96" s="1"/>
    </row>
    <row r="97" spans="1:19" s="90" customFormat="1" ht="20.100000000000001" customHeight="1" x14ac:dyDescent="0.3">
      <c r="A97" s="1"/>
      <c r="B97" s="10"/>
      <c r="C97" s="6"/>
      <c r="D97" s="116"/>
      <c r="E97" s="128"/>
      <c r="F97" s="1"/>
      <c r="G97" s="1"/>
      <c r="I97" s="1"/>
      <c r="J97" s="1"/>
      <c r="K97" s="1"/>
      <c r="M97" s="1"/>
      <c r="N97" s="1"/>
      <c r="O97" s="1"/>
      <c r="P97" s="1"/>
      <c r="Q97" s="1"/>
      <c r="R97" s="1"/>
      <c r="S97" s="1"/>
    </row>
    <row r="98" spans="1:19" s="90" customFormat="1" ht="20.100000000000001" customHeight="1" x14ac:dyDescent="0.3">
      <c r="A98" s="1"/>
      <c r="B98" s="10"/>
      <c r="C98" s="6"/>
      <c r="D98" s="116"/>
      <c r="E98" s="128"/>
      <c r="F98" s="1"/>
      <c r="G98" s="11"/>
      <c r="I98" s="1"/>
      <c r="J98" s="1"/>
      <c r="K98" s="1"/>
      <c r="M98" s="1"/>
      <c r="N98" s="1"/>
      <c r="O98" s="1"/>
      <c r="P98" s="1"/>
      <c r="Q98" s="1"/>
      <c r="R98" s="1"/>
      <c r="S98" s="1"/>
    </row>
  </sheetData>
  <mergeCells count="3">
    <mergeCell ref="C84:D84"/>
    <mergeCell ref="C85:D85"/>
    <mergeCell ref="C86:D86"/>
  </mergeCells>
  <pageMargins left="0.7" right="0.7" top="0.75" bottom="0.75" header="0.3" footer="0.3"/>
  <pageSetup scale="98" fitToHeight="0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C6B0E-0A3F-430A-B0E8-31999FEBC873}">
  <sheetPr>
    <pageSetUpPr fitToPage="1"/>
  </sheetPr>
  <dimension ref="A1:S57"/>
  <sheetViews>
    <sheetView workbookViewId="0">
      <selection activeCell="D9" sqref="D9"/>
    </sheetView>
  </sheetViews>
  <sheetFormatPr defaultRowHeight="18.75" x14ac:dyDescent="0.3"/>
  <cols>
    <col min="1" max="1" width="20.7109375" style="1" customWidth="1"/>
    <col min="2" max="2" width="16.85546875" style="10" customWidth="1"/>
    <col min="3" max="3" width="28" style="6" bestFit="1" customWidth="1"/>
    <col min="4" max="4" width="30.42578125" style="116" customWidth="1"/>
    <col min="5" max="5" width="36.28515625" style="128" customWidth="1"/>
    <col min="6" max="6" width="16.5703125" style="1" customWidth="1"/>
    <col min="7" max="7" width="35" style="1" bestFit="1" customWidth="1"/>
    <col min="8" max="8" width="5.5703125" style="90" bestFit="1" customWidth="1"/>
    <col min="9" max="11" width="9.140625" style="1"/>
    <col min="12" max="12" width="57.5703125" style="1" bestFit="1" customWidth="1"/>
    <col min="13" max="16384" width="9.140625" style="1"/>
  </cols>
  <sheetData>
    <row r="1" spans="1:19" s="11" customFormat="1" ht="20.100000000000001" customHeight="1" x14ac:dyDescent="0.25">
      <c r="A1" s="11" t="s">
        <v>1203</v>
      </c>
      <c r="B1" s="17"/>
      <c r="C1" s="13"/>
      <c r="D1" s="47"/>
      <c r="E1" s="72"/>
      <c r="H1" s="88"/>
      <c r="L1" s="11" t="s">
        <v>1437</v>
      </c>
    </row>
    <row r="2" spans="1:19" s="11" customFormat="1" ht="20.100000000000001" customHeight="1" x14ac:dyDescent="0.25">
      <c r="A2" s="14">
        <v>45382</v>
      </c>
      <c r="B2" s="17"/>
      <c r="C2" s="13"/>
      <c r="D2" s="47"/>
      <c r="E2" s="72"/>
      <c r="H2" s="88"/>
      <c r="L2" s="11" t="s">
        <v>1438</v>
      </c>
    </row>
    <row r="3" spans="1:19" s="11" customFormat="1" ht="20.100000000000001" customHeight="1" x14ac:dyDescent="0.25">
      <c r="A3" s="11" t="s">
        <v>311</v>
      </c>
      <c r="B3" s="17">
        <v>20831650.239999998</v>
      </c>
      <c r="C3" s="13"/>
      <c r="D3" s="47"/>
      <c r="E3" s="72"/>
      <c r="H3" s="88"/>
      <c r="L3" s="11" t="s">
        <v>1439</v>
      </c>
      <c r="M3" s="89"/>
    </row>
    <row r="4" spans="1:19" s="11" customFormat="1" ht="20.100000000000001" customHeight="1" x14ac:dyDescent="0.25">
      <c r="A4" s="11" t="s">
        <v>6</v>
      </c>
      <c r="B4" s="17"/>
      <c r="C4" s="13"/>
      <c r="D4" s="47"/>
      <c r="E4" s="72"/>
      <c r="H4" s="88"/>
      <c r="L4" s="11" t="s">
        <v>1440</v>
      </c>
      <c r="M4" s="89"/>
    </row>
    <row r="5" spans="1:19" s="11" customFormat="1" ht="20.100000000000001" customHeight="1" x14ac:dyDescent="0.25">
      <c r="A5" s="11">
        <v>2100</v>
      </c>
      <c r="B5" s="17">
        <v>-21083868.890000001</v>
      </c>
      <c r="C5" s="13"/>
      <c r="D5" s="47"/>
      <c r="E5" s="72"/>
      <c r="H5" s="88"/>
      <c r="L5" s="11" t="s">
        <v>1441</v>
      </c>
      <c r="M5" s="89"/>
    </row>
    <row r="6" spans="1:19" s="11" customFormat="1" ht="20.100000000000001" customHeight="1" x14ac:dyDescent="0.25">
      <c r="A6" s="11" t="s">
        <v>5</v>
      </c>
      <c r="B6" s="17">
        <f>SUM(B5)</f>
        <v>-21083868.890000001</v>
      </c>
      <c r="C6" s="13"/>
      <c r="D6" s="47"/>
      <c r="E6" s="72"/>
      <c r="H6" s="88"/>
      <c r="L6" s="11" t="s">
        <v>1442</v>
      </c>
      <c r="M6" s="89"/>
      <c r="O6" s="62"/>
      <c r="P6" s="62"/>
      <c r="Q6" s="62"/>
      <c r="R6" s="62"/>
      <c r="S6" s="62"/>
    </row>
    <row r="7" spans="1:19" s="11" customFormat="1" ht="20.100000000000001" customHeight="1" x14ac:dyDescent="0.25">
      <c r="A7" s="11" t="s">
        <v>4</v>
      </c>
      <c r="B7" s="17">
        <f>B6+B3</f>
        <v>-252218.65000000224</v>
      </c>
      <c r="C7" s="13"/>
      <c r="D7" s="47"/>
      <c r="E7" s="72"/>
      <c r="H7" s="88"/>
      <c r="L7" s="11" t="s">
        <v>1443</v>
      </c>
      <c r="M7" s="88"/>
    </row>
    <row r="8" spans="1:19" s="11" customFormat="1" ht="15.95" customHeight="1" x14ac:dyDescent="0.25">
      <c r="A8" s="11" t="s">
        <v>3</v>
      </c>
      <c r="B8" s="17"/>
      <c r="C8" s="44" t="s">
        <v>628</v>
      </c>
      <c r="D8" s="114" t="s">
        <v>626</v>
      </c>
      <c r="E8" s="72"/>
      <c r="H8" s="88"/>
      <c r="L8" s="11" t="s">
        <v>1444</v>
      </c>
      <c r="M8" s="88"/>
    </row>
    <row r="9" spans="1:19" s="11" customFormat="1" ht="15.75" x14ac:dyDescent="0.25">
      <c r="A9" s="77" t="s">
        <v>2073</v>
      </c>
      <c r="B9" s="98">
        <v>-47685</v>
      </c>
      <c r="C9" s="31">
        <v>45372</v>
      </c>
      <c r="D9" s="28"/>
      <c r="E9" s="71"/>
      <c r="F9" s="55"/>
      <c r="G9" s="55"/>
      <c r="L9" s="11" t="s">
        <v>1445</v>
      </c>
      <c r="M9" s="88"/>
    </row>
    <row r="10" spans="1:19" s="11" customFormat="1" ht="15.75" x14ac:dyDescent="0.25">
      <c r="A10" s="77" t="s">
        <v>2074</v>
      </c>
      <c r="B10" s="98">
        <v>-48524.800000000003</v>
      </c>
      <c r="C10" s="31">
        <v>45380</v>
      </c>
      <c r="D10" s="28">
        <v>45383</v>
      </c>
      <c r="E10" s="71"/>
      <c r="F10" s="55"/>
      <c r="G10" s="55"/>
      <c r="L10" s="11" t="s">
        <v>1446</v>
      </c>
      <c r="M10" s="88"/>
    </row>
    <row r="11" spans="1:19" s="11" customFormat="1" ht="15.75" x14ac:dyDescent="0.25">
      <c r="A11" s="77" t="s">
        <v>2079</v>
      </c>
      <c r="B11" s="98">
        <v>-59812.55</v>
      </c>
      <c r="C11" s="31">
        <v>45381</v>
      </c>
      <c r="D11" s="28">
        <v>45384</v>
      </c>
      <c r="E11" s="71"/>
      <c r="F11" s="55"/>
      <c r="G11" s="55"/>
      <c r="L11" s="11" t="s">
        <v>1447</v>
      </c>
      <c r="M11" s="88"/>
    </row>
    <row r="12" spans="1:19" s="11" customFormat="1" ht="15.75" x14ac:dyDescent="0.25">
      <c r="A12" s="77" t="s">
        <v>2080</v>
      </c>
      <c r="B12" s="98">
        <v>-60272.9</v>
      </c>
      <c r="C12" s="31">
        <v>45381</v>
      </c>
      <c r="D12" s="28">
        <v>45384</v>
      </c>
      <c r="E12" s="71"/>
      <c r="F12" s="55"/>
      <c r="G12" s="55"/>
      <c r="L12" s="11" t="s">
        <v>1448</v>
      </c>
      <c r="M12" s="88"/>
    </row>
    <row r="13" spans="1:19" s="11" customFormat="1" ht="15.75" x14ac:dyDescent="0.25">
      <c r="A13" s="77" t="s">
        <v>2081</v>
      </c>
      <c r="B13" s="98">
        <v>-60272.9</v>
      </c>
      <c r="C13" s="31">
        <v>45380</v>
      </c>
      <c r="D13" s="28">
        <v>45383</v>
      </c>
      <c r="E13" s="71"/>
      <c r="F13" s="55"/>
      <c r="G13" s="55"/>
      <c r="L13" s="11" t="s">
        <v>1449</v>
      </c>
      <c r="M13" s="88"/>
    </row>
    <row r="14" spans="1:19" s="11" customFormat="1" ht="15.75" x14ac:dyDescent="0.25">
      <c r="A14" s="77" t="s">
        <v>2082</v>
      </c>
      <c r="B14" s="98">
        <v>-60272.9</v>
      </c>
      <c r="C14" s="31">
        <v>45381</v>
      </c>
      <c r="D14" s="28">
        <v>45385</v>
      </c>
      <c r="E14" s="71"/>
      <c r="F14" s="55"/>
      <c r="G14" s="55"/>
      <c r="L14" s="11" t="s">
        <v>1450</v>
      </c>
      <c r="M14" s="88"/>
    </row>
    <row r="15" spans="1:19" s="11" customFormat="1" ht="15.75" x14ac:dyDescent="0.25">
      <c r="A15" s="77" t="s">
        <v>2083</v>
      </c>
      <c r="B15" s="98">
        <v>-60412.4</v>
      </c>
      <c r="C15" s="31">
        <v>45381</v>
      </c>
      <c r="D15" s="28">
        <v>45384</v>
      </c>
      <c r="E15" s="71"/>
      <c r="F15" s="55"/>
      <c r="G15" s="55"/>
      <c r="L15" s="11" t="s">
        <v>1451</v>
      </c>
      <c r="M15" s="88"/>
    </row>
    <row r="16" spans="1:19" s="11" customFormat="1" ht="15.75" x14ac:dyDescent="0.25">
      <c r="A16" s="77" t="s">
        <v>2084</v>
      </c>
      <c r="B16" s="98">
        <v>-60412.4</v>
      </c>
      <c r="C16" s="31">
        <v>45380</v>
      </c>
      <c r="D16" s="28">
        <v>45383</v>
      </c>
      <c r="E16" s="71"/>
      <c r="F16" s="55"/>
      <c r="G16" s="55"/>
      <c r="L16" s="11" t="s">
        <v>1452</v>
      </c>
      <c r="M16" s="88"/>
    </row>
    <row r="17" spans="1:13" s="11" customFormat="1" ht="16.5" customHeight="1" x14ac:dyDescent="0.25">
      <c r="A17" s="77" t="s">
        <v>2085</v>
      </c>
      <c r="B17" s="98">
        <v>-61818.9</v>
      </c>
      <c r="C17" s="31">
        <v>45379</v>
      </c>
      <c r="D17" s="28">
        <v>45383</v>
      </c>
      <c r="E17" s="71"/>
      <c r="F17" s="55"/>
      <c r="G17" s="55"/>
      <c r="L17" s="11" t="s">
        <v>1453</v>
      </c>
      <c r="M17" s="88"/>
    </row>
    <row r="18" spans="1:13" s="11" customFormat="1" ht="16.5" customHeight="1" x14ac:dyDescent="0.25">
      <c r="A18" s="77" t="s">
        <v>2086</v>
      </c>
      <c r="B18" s="98">
        <v>-63675.15</v>
      </c>
      <c r="C18" s="31">
        <v>45381</v>
      </c>
      <c r="D18" s="28">
        <v>45385</v>
      </c>
      <c r="E18" s="71"/>
      <c r="F18" s="55"/>
      <c r="G18" s="55"/>
      <c r="L18" s="11" t="s">
        <v>1436</v>
      </c>
      <c r="M18" s="88"/>
    </row>
    <row r="19" spans="1:13" s="11" customFormat="1" ht="16.5" customHeight="1" x14ac:dyDescent="0.25">
      <c r="A19" s="77" t="s">
        <v>2087</v>
      </c>
      <c r="B19" s="98">
        <v>-64135.5</v>
      </c>
      <c r="C19" s="31">
        <v>45381</v>
      </c>
      <c r="D19" s="28">
        <v>45386</v>
      </c>
      <c r="E19" s="71"/>
      <c r="F19" s="55"/>
      <c r="G19" s="55"/>
      <c r="L19" s="11" t="s">
        <v>1454</v>
      </c>
      <c r="M19" s="88"/>
    </row>
    <row r="20" spans="1:13" s="11" customFormat="1" ht="16.5" customHeight="1" x14ac:dyDescent="0.25">
      <c r="A20" s="77" t="s">
        <v>2088</v>
      </c>
      <c r="B20" s="98">
        <v>-64135.5</v>
      </c>
      <c r="C20" s="31">
        <v>45381</v>
      </c>
      <c r="D20" s="28">
        <v>45385</v>
      </c>
      <c r="E20" s="71"/>
      <c r="F20" s="55"/>
      <c r="G20" s="55"/>
      <c r="L20" s="11" t="s">
        <v>1455</v>
      </c>
      <c r="M20" s="88"/>
    </row>
    <row r="21" spans="1:13" s="11" customFormat="1" ht="16.5" customHeight="1" x14ac:dyDescent="0.25">
      <c r="A21" s="77" t="s">
        <v>2090</v>
      </c>
      <c r="B21" s="98">
        <v>-76444.05</v>
      </c>
      <c r="C21" s="31">
        <v>45380</v>
      </c>
      <c r="D21" s="28">
        <v>45384</v>
      </c>
      <c r="E21" s="71"/>
      <c r="F21" s="55"/>
      <c r="G21" s="55"/>
      <c r="L21" s="11" t="s">
        <v>1456</v>
      </c>
      <c r="M21" s="88"/>
    </row>
    <row r="22" spans="1:13" s="11" customFormat="1" ht="16.5" customHeight="1" x14ac:dyDescent="0.25">
      <c r="A22" s="77" t="s">
        <v>2091</v>
      </c>
      <c r="B22" s="98">
        <v>-76444.05</v>
      </c>
      <c r="C22" s="31">
        <v>45380</v>
      </c>
      <c r="D22" s="28">
        <v>45384</v>
      </c>
      <c r="E22" s="71"/>
      <c r="F22" s="55"/>
      <c r="G22" s="55"/>
      <c r="L22" s="11" t="s">
        <v>1457</v>
      </c>
      <c r="M22" s="88"/>
    </row>
    <row r="23" spans="1:13" s="11" customFormat="1" ht="16.5" customHeight="1" x14ac:dyDescent="0.25">
      <c r="A23" s="77" t="s">
        <v>2092</v>
      </c>
      <c r="B23" s="98">
        <v>-76862.55</v>
      </c>
      <c r="C23" s="31">
        <v>45380</v>
      </c>
      <c r="D23" s="28">
        <v>45383</v>
      </c>
      <c r="E23" s="71"/>
      <c r="F23" s="55"/>
      <c r="G23" s="55"/>
      <c r="L23" s="11" t="s">
        <v>1458</v>
      </c>
      <c r="M23" s="88"/>
    </row>
    <row r="24" spans="1:13" s="11" customFormat="1" ht="15.75" x14ac:dyDescent="0.25">
      <c r="A24" s="77" t="s">
        <v>2094</v>
      </c>
      <c r="B24" s="98">
        <v>-94715.95</v>
      </c>
      <c r="C24" s="31">
        <v>45380</v>
      </c>
      <c r="D24" s="28">
        <v>45383</v>
      </c>
      <c r="E24" s="71"/>
      <c r="F24" s="55"/>
      <c r="G24" s="55"/>
      <c r="L24" s="11" t="s">
        <v>1368</v>
      </c>
      <c r="M24" s="88"/>
    </row>
    <row r="25" spans="1:13" s="11" customFormat="1" ht="15.75" x14ac:dyDescent="0.25">
      <c r="A25" s="77"/>
      <c r="B25" s="98"/>
      <c r="C25" s="31"/>
      <c r="D25" s="28"/>
      <c r="E25" s="71"/>
      <c r="F25" s="55"/>
      <c r="G25" s="55"/>
      <c r="L25" s="11" t="s">
        <v>1459</v>
      </c>
    </row>
    <row r="26" spans="1:13" s="11" customFormat="1" ht="15.95" customHeight="1" x14ac:dyDescent="0.25">
      <c r="B26" s="25">
        <f>SUM(B9:B25)</f>
        <v>-1035897.5000000002</v>
      </c>
      <c r="C26" s="28"/>
      <c r="D26" s="28"/>
      <c r="E26" s="127"/>
      <c r="F26" s="19"/>
      <c r="G26" s="19"/>
      <c r="L26" s="11" t="s">
        <v>1369</v>
      </c>
    </row>
    <row r="27" spans="1:13" s="11" customFormat="1" ht="15.95" customHeight="1" x14ac:dyDescent="0.25">
      <c r="A27" s="11" t="s">
        <v>2</v>
      </c>
      <c r="B27" s="25"/>
      <c r="C27" s="30" t="s">
        <v>626</v>
      </c>
      <c r="D27" s="114" t="s">
        <v>628</v>
      </c>
      <c r="E27" s="72"/>
      <c r="L27" s="11" t="s">
        <v>1460</v>
      </c>
    </row>
    <row r="28" spans="1:13" s="11" customFormat="1" ht="15.95" customHeight="1" x14ac:dyDescent="0.25">
      <c r="A28" s="11" t="s">
        <v>2069</v>
      </c>
      <c r="B28" s="119">
        <v>26965.75</v>
      </c>
      <c r="C28" s="95">
        <v>45365</v>
      </c>
      <c r="D28" s="92">
        <v>4150</v>
      </c>
      <c r="E28" s="72"/>
      <c r="M28" s="88"/>
    </row>
    <row r="29" spans="1:13" s="11" customFormat="1" ht="15.95" customHeight="1" x14ac:dyDescent="0.25">
      <c r="A29" s="11" t="s">
        <v>2070</v>
      </c>
      <c r="B29" s="119">
        <v>29402.05</v>
      </c>
      <c r="C29" s="95">
        <v>45365</v>
      </c>
      <c r="D29" s="92">
        <v>4150</v>
      </c>
      <c r="E29" s="72"/>
      <c r="M29" s="88"/>
    </row>
    <row r="30" spans="1:13" s="11" customFormat="1" ht="15.95" customHeight="1" x14ac:dyDescent="0.25">
      <c r="A30" s="11" t="s">
        <v>2008</v>
      </c>
      <c r="B30" s="119">
        <v>39177.199999999997</v>
      </c>
      <c r="C30" s="95">
        <v>45348</v>
      </c>
      <c r="D30" s="92">
        <v>4300</v>
      </c>
      <c r="E30" s="72"/>
      <c r="M30" s="88"/>
    </row>
    <row r="31" spans="1:13" s="11" customFormat="1" ht="15.95" customHeight="1" x14ac:dyDescent="0.25">
      <c r="A31" s="11" t="s">
        <v>2071</v>
      </c>
      <c r="B31" s="119">
        <v>39781.699999999997</v>
      </c>
      <c r="C31" s="95">
        <v>45359</v>
      </c>
      <c r="D31" s="92">
        <v>4300</v>
      </c>
      <c r="E31" s="72"/>
      <c r="M31" s="88"/>
    </row>
    <row r="32" spans="1:13" s="11" customFormat="1" ht="15.95" customHeight="1" thickBot="1" x14ac:dyDescent="0.3">
      <c r="A32" s="11" t="s">
        <v>2072</v>
      </c>
      <c r="B32" s="119">
        <v>40474.550000000003</v>
      </c>
      <c r="C32" s="95">
        <v>45348</v>
      </c>
      <c r="D32" s="14">
        <v>45385</v>
      </c>
      <c r="E32" s="72"/>
      <c r="M32" s="88"/>
    </row>
    <row r="33" spans="1:12" s="11" customFormat="1" ht="15.95" customHeight="1" x14ac:dyDescent="0.25">
      <c r="A33" s="11" t="s">
        <v>2075</v>
      </c>
      <c r="B33" s="119">
        <v>50035.15</v>
      </c>
      <c r="C33" s="95">
        <v>45379</v>
      </c>
      <c r="D33" s="14">
        <v>45387</v>
      </c>
      <c r="E33" s="72"/>
      <c r="L33" s="129" t="s">
        <v>1457</v>
      </c>
    </row>
    <row r="34" spans="1:12" s="11" customFormat="1" ht="15.95" customHeight="1" x14ac:dyDescent="0.25">
      <c r="A34" s="11" t="s">
        <v>2076</v>
      </c>
      <c r="B34" s="119">
        <v>52160</v>
      </c>
      <c r="C34" s="95">
        <v>45358</v>
      </c>
      <c r="D34" s="100" t="s">
        <v>2096</v>
      </c>
      <c r="E34" s="72"/>
      <c r="L34" s="130" t="s">
        <v>1459</v>
      </c>
    </row>
    <row r="35" spans="1:12" s="11" customFormat="1" ht="15.95" customHeight="1" thickBot="1" x14ac:dyDescent="0.3">
      <c r="A35" s="11" t="s">
        <v>2077</v>
      </c>
      <c r="B35" s="119">
        <v>55476.2</v>
      </c>
      <c r="C35" s="95">
        <v>45348</v>
      </c>
      <c r="D35" s="14">
        <v>45385</v>
      </c>
      <c r="E35" s="72"/>
      <c r="L35" s="131" t="s">
        <v>1369</v>
      </c>
    </row>
    <row r="36" spans="1:12" s="11" customFormat="1" ht="15.95" customHeight="1" x14ac:dyDescent="0.25">
      <c r="A36" s="11" t="s">
        <v>2078</v>
      </c>
      <c r="B36" s="119">
        <v>55509.75</v>
      </c>
      <c r="C36" s="95">
        <v>45380</v>
      </c>
      <c r="D36" s="14">
        <v>45384</v>
      </c>
      <c r="E36" s="72"/>
    </row>
    <row r="37" spans="1:12" s="11" customFormat="1" ht="15.95" customHeight="1" x14ac:dyDescent="0.25">
      <c r="A37" s="11" t="s">
        <v>2089</v>
      </c>
      <c r="B37" s="119">
        <v>65283.05</v>
      </c>
      <c r="C37" s="95">
        <v>45379</v>
      </c>
      <c r="D37" s="92">
        <v>4150</v>
      </c>
      <c r="E37" s="72"/>
    </row>
    <row r="38" spans="1:12" s="11" customFormat="1" ht="15.95" customHeight="1" x14ac:dyDescent="0.25">
      <c r="A38" s="11" t="s">
        <v>2095</v>
      </c>
      <c r="B38" s="119">
        <v>72186.75</v>
      </c>
      <c r="C38" s="95">
        <v>45380</v>
      </c>
      <c r="D38" s="14">
        <v>45390</v>
      </c>
      <c r="E38" s="72"/>
    </row>
    <row r="39" spans="1:12" s="11" customFormat="1" ht="15.95" customHeight="1" x14ac:dyDescent="0.25">
      <c r="A39" s="11" t="s">
        <v>2014</v>
      </c>
      <c r="B39" s="119">
        <v>78066.899999999994</v>
      </c>
      <c r="C39" s="95">
        <v>45342</v>
      </c>
      <c r="D39" s="92">
        <v>4800</v>
      </c>
      <c r="E39" s="72"/>
    </row>
    <row r="40" spans="1:12" s="11" customFormat="1" ht="15.95" customHeight="1" x14ac:dyDescent="0.25">
      <c r="A40" s="11" t="s">
        <v>2093</v>
      </c>
      <c r="B40" s="119">
        <v>87133.85</v>
      </c>
      <c r="C40" s="95">
        <v>45373</v>
      </c>
      <c r="D40" s="14">
        <v>45383</v>
      </c>
      <c r="E40" s="72"/>
    </row>
    <row r="41" spans="1:12" s="11" customFormat="1" ht="15.95" customHeight="1" x14ac:dyDescent="0.25">
      <c r="A41" s="11" t="s">
        <v>1941</v>
      </c>
      <c r="B41" s="119">
        <v>92025.95</v>
      </c>
      <c r="C41" s="95">
        <v>45233</v>
      </c>
      <c r="D41" s="92">
        <v>4300</v>
      </c>
      <c r="E41" s="72"/>
    </row>
    <row r="42" spans="1:12" s="11" customFormat="1" ht="15.95" customHeight="1" thickBot="1" x14ac:dyDescent="0.3">
      <c r="B42" s="25"/>
      <c r="E42" s="72"/>
    </row>
    <row r="43" spans="1:12" s="11" customFormat="1" ht="15.95" customHeight="1" x14ac:dyDescent="0.25">
      <c r="B43" s="25">
        <f>SUM(B28:B42)</f>
        <v>783678.85</v>
      </c>
      <c r="D43" s="129" t="s">
        <v>1457</v>
      </c>
      <c r="E43" s="72"/>
      <c r="H43" s="88"/>
    </row>
    <row r="44" spans="1:12" s="11" customFormat="1" ht="15.95" customHeight="1" x14ac:dyDescent="0.25">
      <c r="A44" s="11" t="s">
        <v>1</v>
      </c>
      <c r="B44" s="17">
        <f>B43+B26</f>
        <v>-252218.65000000026</v>
      </c>
      <c r="D44" s="130" t="s">
        <v>1459</v>
      </c>
      <c r="E44" s="72"/>
      <c r="H44" s="88"/>
    </row>
    <row r="45" spans="1:12" s="11" customFormat="1" ht="15.95" customHeight="1" thickBot="1" x14ac:dyDescent="0.3">
      <c r="A45" s="11" t="s">
        <v>0</v>
      </c>
      <c r="B45" s="17">
        <f>B44-B7</f>
        <v>1.9790604710578918E-9</v>
      </c>
      <c r="D45" s="131" t="s">
        <v>1369</v>
      </c>
      <c r="E45" s="72"/>
      <c r="G45" s="126"/>
      <c r="H45" s="88"/>
    </row>
    <row r="46" spans="1:12" s="11" customFormat="1" ht="15.95" customHeight="1" x14ac:dyDescent="0.25">
      <c r="B46" s="17"/>
      <c r="E46" s="72"/>
      <c r="H46" s="88"/>
    </row>
    <row r="47" spans="1:12" s="11" customFormat="1" ht="20.100000000000001" customHeight="1" x14ac:dyDescent="0.25">
      <c r="A47" s="39"/>
      <c r="B47" s="93"/>
      <c r="C47" s="18"/>
      <c r="D47" s="18"/>
      <c r="E47" s="72"/>
      <c r="H47" s="88"/>
    </row>
    <row r="48" spans="1:12" s="11" customFormat="1" ht="20.100000000000001" customHeight="1" x14ac:dyDescent="0.3">
      <c r="A48" s="1"/>
      <c r="B48" s="10"/>
      <c r="C48" s="13"/>
      <c r="D48" s="47"/>
      <c r="E48" s="72"/>
      <c r="H48" s="88"/>
    </row>
    <row r="49" spans="1:19" s="11" customFormat="1" ht="20.100000000000001" customHeight="1" x14ac:dyDescent="0.3">
      <c r="A49" s="1"/>
      <c r="B49" s="10"/>
      <c r="C49" s="13"/>
      <c r="D49" s="47"/>
      <c r="E49" s="72"/>
      <c r="G49" s="126"/>
      <c r="H49" s="88"/>
    </row>
    <row r="50" spans="1:19" s="11" customFormat="1" ht="20.100000000000001" customHeight="1" x14ac:dyDescent="0.3">
      <c r="A50" s="1"/>
      <c r="B50" s="10"/>
      <c r="C50" s="13"/>
      <c r="D50" s="47"/>
      <c r="E50" s="72"/>
      <c r="H50" s="88"/>
    </row>
    <row r="51" spans="1:19" s="13" customFormat="1" ht="20.100000000000001" customHeight="1" x14ac:dyDescent="0.3">
      <c r="A51" s="1"/>
      <c r="B51" s="10"/>
      <c r="D51" s="47"/>
      <c r="E51" s="72"/>
      <c r="F51" s="11"/>
      <c r="H51" s="88"/>
      <c r="I51" s="11"/>
    </row>
    <row r="52" spans="1:19" s="13" customFormat="1" ht="20.100000000000001" customHeight="1" x14ac:dyDescent="0.3">
      <c r="A52" s="1"/>
      <c r="B52" s="10"/>
      <c r="D52" s="47"/>
      <c r="E52" s="72"/>
      <c r="F52" s="11"/>
      <c r="H52" s="88"/>
      <c r="I52" s="11"/>
    </row>
    <row r="53" spans="1:19" s="13" customFormat="1" ht="20.100000000000001" customHeight="1" x14ac:dyDescent="0.3">
      <c r="A53" s="1"/>
      <c r="B53" s="10"/>
      <c r="D53" s="47"/>
      <c r="E53" s="72"/>
      <c r="F53" s="11"/>
      <c r="H53" s="88"/>
      <c r="I53" s="11"/>
    </row>
    <row r="54" spans="1:19" s="90" customFormat="1" ht="20.100000000000001" customHeight="1" x14ac:dyDescent="0.3">
      <c r="A54" s="1"/>
      <c r="B54" s="10"/>
      <c r="C54" s="6"/>
      <c r="D54" s="116"/>
      <c r="E54" s="128"/>
      <c r="F54" s="1"/>
      <c r="G54" s="1"/>
      <c r="I54" s="1"/>
      <c r="J54" s="1"/>
      <c r="K54" s="1"/>
      <c r="M54" s="1"/>
      <c r="N54" s="1"/>
      <c r="O54" s="1"/>
      <c r="P54" s="1"/>
      <c r="Q54" s="1"/>
      <c r="R54" s="1"/>
      <c r="S54" s="1"/>
    </row>
    <row r="55" spans="1:19" s="90" customFormat="1" ht="20.100000000000001" customHeight="1" x14ac:dyDescent="0.3">
      <c r="A55" s="1"/>
      <c r="B55" s="10"/>
      <c r="C55" s="6"/>
      <c r="D55" s="116"/>
      <c r="E55" s="128"/>
      <c r="F55" s="1"/>
      <c r="G55" s="1"/>
      <c r="I55" s="1"/>
      <c r="J55" s="1"/>
      <c r="K55" s="1"/>
      <c r="M55" s="1"/>
      <c r="N55" s="1"/>
      <c r="O55" s="1"/>
      <c r="P55" s="1"/>
      <c r="Q55" s="1"/>
      <c r="R55" s="1"/>
      <c r="S55" s="1"/>
    </row>
    <row r="56" spans="1:19" s="90" customFormat="1" ht="20.100000000000001" customHeight="1" x14ac:dyDescent="0.3">
      <c r="A56" s="1"/>
      <c r="B56" s="10"/>
      <c r="C56" s="6"/>
      <c r="D56" s="116"/>
      <c r="E56" s="128"/>
      <c r="F56" s="1"/>
      <c r="G56" s="1"/>
      <c r="I56" s="1"/>
      <c r="J56" s="1"/>
      <c r="K56" s="1"/>
      <c r="M56" s="1"/>
      <c r="N56" s="1"/>
      <c r="O56" s="1"/>
      <c r="P56" s="1"/>
      <c r="Q56" s="1"/>
      <c r="R56" s="1"/>
      <c r="S56" s="1"/>
    </row>
    <row r="57" spans="1:19" s="90" customFormat="1" ht="20.100000000000001" customHeight="1" x14ac:dyDescent="0.3">
      <c r="A57" s="1"/>
      <c r="B57" s="10"/>
      <c r="C57" s="6"/>
      <c r="D57" s="116"/>
      <c r="E57" s="128"/>
      <c r="F57" s="1"/>
      <c r="G57" s="11"/>
      <c r="I57" s="1"/>
      <c r="J57" s="1"/>
      <c r="K57" s="1"/>
      <c r="M57" s="1"/>
      <c r="N57" s="1"/>
      <c r="O57" s="1"/>
      <c r="P57" s="1"/>
      <c r="Q57" s="1"/>
      <c r="R57" s="1"/>
      <c r="S57" s="1"/>
    </row>
  </sheetData>
  <pageMargins left="0.7" right="0.7" top="0.75" bottom="0.75" header="0.3" footer="0.3"/>
  <pageSetup scale="87"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92B5D-C564-44B6-B02C-09C4CE610962}">
  <sheetPr>
    <pageSetUpPr fitToPage="1"/>
  </sheetPr>
  <dimension ref="A1:S116"/>
  <sheetViews>
    <sheetView topLeftCell="A20" zoomScaleNormal="100" workbookViewId="0">
      <selection activeCell="C44" sqref="C44"/>
    </sheetView>
  </sheetViews>
  <sheetFormatPr defaultRowHeight="18.75" x14ac:dyDescent="0.3"/>
  <cols>
    <col min="1" max="1" width="20.7109375" style="1" customWidth="1"/>
    <col min="2" max="2" width="16.85546875" style="10" customWidth="1"/>
    <col min="3" max="3" width="28" style="6" bestFit="1" customWidth="1"/>
    <col min="4" max="4" width="30.42578125" style="116" customWidth="1"/>
    <col min="5" max="5" width="36.28515625" style="128" customWidth="1"/>
    <col min="6" max="6" width="16.5703125" style="1" customWidth="1"/>
    <col min="7" max="7" width="35" style="1" bestFit="1" customWidth="1"/>
    <col min="8" max="8" width="5.5703125" style="90" bestFit="1" customWidth="1"/>
    <col min="9" max="11" width="9.140625" style="1"/>
    <col min="12" max="12" width="57.5703125" style="1" bestFit="1" customWidth="1"/>
    <col min="13" max="16384" width="9.140625" style="1"/>
  </cols>
  <sheetData>
    <row r="1" spans="1:19" s="11" customFormat="1" ht="20.100000000000001" customHeight="1" x14ac:dyDescent="0.25">
      <c r="A1" s="11" t="s">
        <v>1203</v>
      </c>
      <c r="B1" s="17"/>
      <c r="C1" s="13"/>
      <c r="D1" s="47"/>
      <c r="E1" s="72"/>
      <c r="H1" s="88"/>
      <c r="L1" s="11" t="s">
        <v>1437</v>
      </c>
    </row>
    <row r="2" spans="1:19" s="11" customFormat="1" ht="20.100000000000001" customHeight="1" x14ac:dyDescent="0.25">
      <c r="A2" s="14">
        <v>45412</v>
      </c>
      <c r="B2" s="17"/>
      <c r="C2" s="13"/>
      <c r="D2" s="47"/>
      <c r="E2" s="72"/>
      <c r="H2" s="88"/>
      <c r="L2" s="11" t="s">
        <v>1438</v>
      </c>
    </row>
    <row r="3" spans="1:19" s="11" customFormat="1" ht="20.100000000000001" customHeight="1" x14ac:dyDescent="0.25">
      <c r="A3" s="11" t="s">
        <v>311</v>
      </c>
      <c r="B3" s="17">
        <v>22122746</v>
      </c>
      <c r="C3" s="13"/>
      <c r="D3" s="47"/>
      <c r="E3" s="72"/>
      <c r="H3" s="88"/>
      <c r="L3" s="11" t="s">
        <v>1439</v>
      </c>
      <c r="M3" s="89"/>
    </row>
    <row r="4" spans="1:19" s="11" customFormat="1" ht="20.100000000000001" customHeight="1" x14ac:dyDescent="0.25">
      <c r="A4" s="11" t="s">
        <v>6</v>
      </c>
      <c r="B4" s="17"/>
      <c r="C4" s="13"/>
      <c r="D4" s="47"/>
      <c r="E4" s="72"/>
      <c r="H4" s="88"/>
      <c r="L4" s="11" t="s">
        <v>1440</v>
      </c>
      <c r="M4" s="89"/>
    </row>
    <row r="5" spans="1:19" s="11" customFormat="1" ht="20.100000000000001" customHeight="1" x14ac:dyDescent="0.25">
      <c r="A5" s="11">
        <v>2100</v>
      </c>
      <c r="B5" s="17">
        <v>-21036628.120000001</v>
      </c>
      <c r="C5" s="13"/>
      <c r="D5" s="47"/>
      <c r="E5" s="72"/>
      <c r="H5" s="88"/>
      <c r="L5" s="11" t="s">
        <v>1441</v>
      </c>
      <c r="M5" s="89"/>
    </row>
    <row r="6" spans="1:19" s="11" customFormat="1" ht="20.100000000000001" customHeight="1" x14ac:dyDescent="0.25">
      <c r="A6" s="11" t="s">
        <v>5</v>
      </c>
      <c r="B6" s="17">
        <f>SUM(B5)</f>
        <v>-21036628.120000001</v>
      </c>
      <c r="C6" s="13"/>
      <c r="D6" s="47"/>
      <c r="E6" s="72"/>
      <c r="H6" s="88"/>
      <c r="L6" s="11" t="s">
        <v>1442</v>
      </c>
      <c r="M6" s="89"/>
      <c r="O6" s="62"/>
      <c r="P6" s="62"/>
      <c r="Q6" s="62"/>
      <c r="R6" s="62"/>
      <c r="S6" s="62"/>
    </row>
    <row r="7" spans="1:19" s="11" customFormat="1" ht="20.100000000000001" customHeight="1" x14ac:dyDescent="0.25">
      <c r="A7" s="11" t="s">
        <v>4</v>
      </c>
      <c r="B7" s="17">
        <f>B6+B3</f>
        <v>1086117.879999999</v>
      </c>
      <c r="C7" s="13"/>
      <c r="D7" s="47"/>
      <c r="E7" s="72"/>
      <c r="H7" s="88"/>
      <c r="L7" s="11" t="s">
        <v>1443</v>
      </c>
      <c r="M7" s="88"/>
    </row>
    <row r="8" spans="1:19" s="11" customFormat="1" ht="15.95" customHeight="1" x14ac:dyDescent="0.25">
      <c r="A8" s="11" t="s">
        <v>3</v>
      </c>
      <c r="B8" s="17"/>
      <c r="C8" s="44" t="s">
        <v>628</v>
      </c>
      <c r="D8" s="114" t="s">
        <v>626</v>
      </c>
      <c r="E8" s="72"/>
      <c r="H8" s="88"/>
      <c r="L8" s="11" t="s">
        <v>1444</v>
      </c>
      <c r="M8" s="88"/>
    </row>
    <row r="9" spans="1:19" s="11" customFormat="1" ht="15.75" x14ac:dyDescent="0.25">
      <c r="A9" s="77" t="s">
        <v>2134</v>
      </c>
      <c r="B9" s="98">
        <v>-25086</v>
      </c>
      <c r="C9" s="31">
        <v>45411</v>
      </c>
      <c r="D9" s="28">
        <v>45413</v>
      </c>
      <c r="E9" s="71"/>
      <c r="F9" s="55"/>
      <c r="G9" s="55"/>
      <c r="L9" s="11" t="s">
        <v>1445</v>
      </c>
      <c r="M9" s="88"/>
    </row>
    <row r="10" spans="1:19" s="11" customFormat="1" ht="15.75" x14ac:dyDescent="0.25">
      <c r="A10" s="77" t="s">
        <v>2097</v>
      </c>
      <c r="B10" s="98">
        <v>-25522</v>
      </c>
      <c r="C10" s="31">
        <v>45411</v>
      </c>
      <c r="D10" s="28">
        <v>45413</v>
      </c>
      <c r="E10" s="71"/>
      <c r="F10" s="55"/>
      <c r="G10" s="55"/>
      <c r="L10" s="11" t="s">
        <v>1446</v>
      </c>
      <c r="M10" s="88"/>
    </row>
    <row r="11" spans="1:19" s="11" customFormat="1" ht="15.75" x14ac:dyDescent="0.25">
      <c r="A11" s="77" t="s">
        <v>2100</v>
      </c>
      <c r="B11" s="98">
        <v>-30054</v>
      </c>
      <c r="C11" s="31">
        <v>45411</v>
      </c>
      <c r="D11" s="28">
        <v>45413</v>
      </c>
      <c r="E11" s="71"/>
      <c r="F11" s="55"/>
      <c r="G11" s="55"/>
      <c r="L11" s="11" t="s">
        <v>1447</v>
      </c>
      <c r="M11" s="88"/>
    </row>
    <row r="12" spans="1:19" s="11" customFormat="1" ht="15.75" x14ac:dyDescent="0.25">
      <c r="A12" s="77" t="s">
        <v>2101</v>
      </c>
      <c r="B12" s="98">
        <v>-30711</v>
      </c>
      <c r="C12" s="31">
        <v>45411</v>
      </c>
      <c r="D12" s="28">
        <v>45413</v>
      </c>
      <c r="E12" s="71"/>
      <c r="F12" s="55"/>
      <c r="G12" s="55"/>
      <c r="L12" s="11" t="s">
        <v>1448</v>
      </c>
      <c r="M12" s="88"/>
    </row>
    <row r="13" spans="1:19" s="11" customFormat="1" ht="15.75" x14ac:dyDescent="0.25">
      <c r="A13" s="77" t="s">
        <v>2102</v>
      </c>
      <c r="B13" s="98">
        <v>-31332</v>
      </c>
      <c r="C13" s="31">
        <v>45412</v>
      </c>
      <c r="D13" s="28">
        <v>45413</v>
      </c>
      <c r="E13" s="71"/>
      <c r="F13" s="55"/>
      <c r="G13" s="55"/>
      <c r="L13" s="11" t="s">
        <v>1449</v>
      </c>
      <c r="M13" s="88"/>
    </row>
    <row r="14" spans="1:19" s="11" customFormat="1" ht="15.75" x14ac:dyDescent="0.25">
      <c r="A14" s="77" t="s">
        <v>2103</v>
      </c>
      <c r="B14" s="98">
        <v>-32306</v>
      </c>
      <c r="C14" s="31">
        <v>45411</v>
      </c>
      <c r="D14" s="28">
        <v>45413</v>
      </c>
      <c r="E14" s="71"/>
      <c r="F14" s="55"/>
      <c r="G14" s="55"/>
      <c r="L14" s="11" t="s">
        <v>1450</v>
      </c>
      <c r="M14" s="88"/>
    </row>
    <row r="15" spans="1:19" s="11" customFormat="1" ht="15.75" x14ac:dyDescent="0.25">
      <c r="A15" s="77" t="s">
        <v>2104</v>
      </c>
      <c r="B15" s="98">
        <v>-32555</v>
      </c>
      <c r="C15" s="31">
        <v>45411</v>
      </c>
      <c r="D15" s="28">
        <v>45413</v>
      </c>
      <c r="E15" s="71"/>
      <c r="F15" s="55"/>
      <c r="G15" s="55"/>
      <c r="L15" s="11" t="s">
        <v>1451</v>
      </c>
      <c r="M15" s="88"/>
    </row>
    <row r="16" spans="1:19" s="11" customFormat="1" ht="15.75" x14ac:dyDescent="0.25">
      <c r="A16" s="77" t="s">
        <v>2105</v>
      </c>
      <c r="B16" s="98">
        <v>-32681</v>
      </c>
      <c r="C16" s="31">
        <v>45412</v>
      </c>
      <c r="D16" s="28">
        <v>45413</v>
      </c>
      <c r="E16" s="71"/>
      <c r="F16" s="55"/>
      <c r="G16" s="55"/>
      <c r="L16" s="11" t="s">
        <v>1452</v>
      </c>
      <c r="M16" s="88"/>
    </row>
    <row r="17" spans="1:13" s="11" customFormat="1" ht="16.5" customHeight="1" x14ac:dyDescent="0.25">
      <c r="A17" s="77" t="s">
        <v>2106</v>
      </c>
      <c r="B17" s="98">
        <v>-32959</v>
      </c>
      <c r="C17" s="31">
        <v>45411</v>
      </c>
      <c r="D17" s="28">
        <v>45413</v>
      </c>
      <c r="E17" s="71"/>
      <c r="F17" s="55"/>
      <c r="G17" s="55"/>
      <c r="L17" s="11" t="s">
        <v>1453</v>
      </c>
      <c r="M17" s="88"/>
    </row>
    <row r="18" spans="1:13" s="11" customFormat="1" ht="16.5" customHeight="1" x14ac:dyDescent="0.25">
      <c r="A18" s="77" t="s">
        <v>2107</v>
      </c>
      <c r="B18" s="98">
        <v>-34277</v>
      </c>
      <c r="C18" s="31" t="s">
        <v>2182</v>
      </c>
      <c r="D18" s="14" t="s">
        <v>2181</v>
      </c>
      <c r="E18" s="71"/>
      <c r="F18" s="55"/>
      <c r="G18" s="55"/>
      <c r="L18" s="11" t="s">
        <v>1436</v>
      </c>
      <c r="M18" s="88"/>
    </row>
    <row r="19" spans="1:13" s="11" customFormat="1" ht="16.5" customHeight="1" x14ac:dyDescent="0.25">
      <c r="A19" s="77" t="s">
        <v>2108</v>
      </c>
      <c r="B19" s="98">
        <v>-34342</v>
      </c>
      <c r="C19" s="31">
        <v>45411</v>
      </c>
      <c r="D19" s="28">
        <v>45413</v>
      </c>
      <c r="E19" s="71"/>
      <c r="F19" s="55"/>
      <c r="G19" s="55"/>
      <c r="L19" s="11" t="s">
        <v>1454</v>
      </c>
      <c r="M19" s="88"/>
    </row>
    <row r="20" spans="1:13" s="11" customFormat="1" ht="16.5" customHeight="1" x14ac:dyDescent="0.25">
      <c r="A20" s="77" t="s">
        <v>2109</v>
      </c>
      <c r="B20" s="98">
        <v>-35181</v>
      </c>
      <c r="C20" s="31">
        <v>45412</v>
      </c>
      <c r="D20" s="28">
        <v>45413</v>
      </c>
      <c r="E20" s="71"/>
      <c r="F20" s="55"/>
      <c r="G20" s="55"/>
      <c r="L20" s="11" t="s">
        <v>1455</v>
      </c>
      <c r="M20" s="88"/>
    </row>
    <row r="21" spans="1:13" s="11" customFormat="1" ht="16.5" customHeight="1" x14ac:dyDescent="0.25">
      <c r="A21" s="77" t="s">
        <v>2110</v>
      </c>
      <c r="B21" s="98">
        <v>-35313</v>
      </c>
      <c r="C21" s="31" t="s">
        <v>2182</v>
      </c>
      <c r="D21" s="14" t="s">
        <v>2181</v>
      </c>
      <c r="E21" s="71"/>
      <c r="F21" s="55"/>
      <c r="G21" s="55"/>
      <c r="L21" s="11" t="s">
        <v>1456</v>
      </c>
      <c r="M21" s="88"/>
    </row>
    <row r="22" spans="1:13" s="11" customFormat="1" ht="16.5" customHeight="1" x14ac:dyDescent="0.25">
      <c r="A22" s="77" t="s">
        <v>2111</v>
      </c>
      <c r="B22" s="98">
        <v>-35313</v>
      </c>
      <c r="C22" s="31" t="s">
        <v>2182</v>
      </c>
      <c r="D22" s="14" t="s">
        <v>2181</v>
      </c>
      <c r="E22" s="71"/>
      <c r="F22" s="55"/>
      <c r="G22" s="55"/>
      <c r="L22" s="11" t="s">
        <v>1457</v>
      </c>
      <c r="M22" s="88"/>
    </row>
    <row r="23" spans="1:13" s="11" customFormat="1" ht="16.5" customHeight="1" x14ac:dyDescent="0.25">
      <c r="A23" s="77" t="s">
        <v>2112</v>
      </c>
      <c r="B23" s="98">
        <v>-35487</v>
      </c>
      <c r="C23" s="31" t="s">
        <v>2182</v>
      </c>
      <c r="D23" s="14" t="s">
        <v>2181</v>
      </c>
      <c r="E23" s="71"/>
      <c r="F23" s="55"/>
      <c r="G23" s="55"/>
      <c r="L23" s="11" t="s">
        <v>1458</v>
      </c>
      <c r="M23" s="88"/>
    </row>
    <row r="24" spans="1:13" s="11" customFormat="1" ht="16.5" customHeight="1" x14ac:dyDescent="0.25">
      <c r="A24" s="77" t="s">
        <v>2113</v>
      </c>
      <c r="B24" s="98">
        <v>-35639</v>
      </c>
      <c r="C24" s="31" t="s">
        <v>2182</v>
      </c>
      <c r="D24" s="14" t="s">
        <v>2181</v>
      </c>
      <c r="E24" s="71"/>
      <c r="F24" s="55"/>
      <c r="G24" s="55"/>
      <c r="L24" s="11" t="s">
        <v>1368</v>
      </c>
      <c r="M24" s="88"/>
    </row>
    <row r="25" spans="1:13" s="11" customFormat="1" ht="16.5" customHeight="1" x14ac:dyDescent="0.25">
      <c r="A25" s="77" t="s">
        <v>2114</v>
      </c>
      <c r="B25" s="98">
        <v>-36155</v>
      </c>
      <c r="C25" s="31">
        <v>45411</v>
      </c>
      <c r="D25" s="14">
        <v>45413</v>
      </c>
      <c r="E25" s="71"/>
      <c r="F25" s="55"/>
      <c r="G25" s="55"/>
      <c r="L25" s="11" t="s">
        <v>1459</v>
      </c>
      <c r="M25" s="88"/>
    </row>
    <row r="26" spans="1:13" s="11" customFormat="1" ht="16.5" customHeight="1" x14ac:dyDescent="0.25">
      <c r="A26" s="77" t="s">
        <v>2115</v>
      </c>
      <c r="B26" s="98">
        <v>-36723</v>
      </c>
      <c r="C26" s="31">
        <v>45412</v>
      </c>
      <c r="D26" s="14">
        <v>45413</v>
      </c>
      <c r="E26" s="71"/>
      <c r="F26" s="55"/>
      <c r="G26" s="55"/>
      <c r="L26" s="11" t="s">
        <v>1369</v>
      </c>
      <c r="M26" s="88"/>
    </row>
    <row r="27" spans="1:13" s="11" customFormat="1" ht="16.5" customHeight="1" x14ac:dyDescent="0.25">
      <c r="A27" s="77" t="s">
        <v>2116</v>
      </c>
      <c r="B27" s="98">
        <v>-36723</v>
      </c>
      <c r="C27" s="31">
        <v>45412</v>
      </c>
      <c r="D27" s="14">
        <v>45413</v>
      </c>
      <c r="E27" s="71"/>
      <c r="F27" s="55"/>
      <c r="G27" s="55"/>
      <c r="L27" s="11" t="s">
        <v>1460</v>
      </c>
      <c r="M27" s="88"/>
    </row>
    <row r="28" spans="1:13" s="11" customFormat="1" ht="16.5" customHeight="1" x14ac:dyDescent="0.25">
      <c r="A28" s="77" t="s">
        <v>2117</v>
      </c>
      <c r="B28" s="98">
        <v>-36903</v>
      </c>
      <c r="C28" s="31" t="s">
        <v>2182</v>
      </c>
      <c r="D28" s="14" t="s">
        <v>2181</v>
      </c>
      <c r="E28" s="71"/>
      <c r="F28" s="55"/>
      <c r="G28" s="55"/>
      <c r="M28" s="88"/>
    </row>
    <row r="29" spans="1:13" s="11" customFormat="1" ht="16.5" customHeight="1" x14ac:dyDescent="0.25">
      <c r="A29" s="77" t="s">
        <v>2179</v>
      </c>
      <c r="B29" s="98">
        <v>-37096</v>
      </c>
      <c r="C29" s="31" t="s">
        <v>2182</v>
      </c>
      <c r="D29" s="14" t="s">
        <v>2181</v>
      </c>
      <c r="E29" s="71"/>
      <c r="F29" s="55"/>
      <c r="G29" s="55"/>
      <c r="M29" s="88"/>
    </row>
    <row r="30" spans="1:13" s="11" customFormat="1" ht="16.5" customHeight="1" x14ac:dyDescent="0.25">
      <c r="A30" s="77" t="s">
        <v>2118</v>
      </c>
      <c r="B30" s="98">
        <v>-37730</v>
      </c>
      <c r="C30" s="31">
        <v>45412</v>
      </c>
      <c r="D30" s="14">
        <v>45413</v>
      </c>
      <c r="E30" s="71"/>
      <c r="F30" s="55"/>
      <c r="G30" s="55"/>
      <c r="M30" s="88"/>
    </row>
    <row r="31" spans="1:13" s="11" customFormat="1" ht="16.5" customHeight="1" x14ac:dyDescent="0.25">
      <c r="A31" s="77" t="s">
        <v>2119</v>
      </c>
      <c r="B31" s="98">
        <v>-39554</v>
      </c>
      <c r="C31" s="31" t="s">
        <v>2182</v>
      </c>
      <c r="D31" s="14" t="s">
        <v>2181</v>
      </c>
      <c r="E31" s="71"/>
      <c r="F31" s="55"/>
      <c r="G31" s="55"/>
      <c r="M31" s="88"/>
    </row>
    <row r="32" spans="1:13" s="11" customFormat="1" ht="16.5" customHeight="1" x14ac:dyDescent="0.25">
      <c r="A32" s="77" t="s">
        <v>2120</v>
      </c>
      <c r="B32" s="98">
        <v>-39605</v>
      </c>
      <c r="C32" s="31" t="s">
        <v>2182</v>
      </c>
      <c r="D32" s="14" t="s">
        <v>2181</v>
      </c>
      <c r="E32" s="71"/>
      <c r="F32" s="55"/>
      <c r="G32" s="55"/>
      <c r="M32" s="88"/>
    </row>
    <row r="33" spans="1:13" s="11" customFormat="1" ht="16.5" customHeight="1" x14ac:dyDescent="0.25">
      <c r="A33" s="77" t="s">
        <v>2121</v>
      </c>
      <c r="B33" s="98">
        <v>-41061</v>
      </c>
      <c r="C33" s="31" t="s">
        <v>2182</v>
      </c>
      <c r="D33" s="14" t="s">
        <v>2181</v>
      </c>
      <c r="E33" s="71"/>
      <c r="F33" s="55"/>
      <c r="G33" s="55"/>
      <c r="L33" s="11" t="s">
        <v>1368</v>
      </c>
      <c r="M33" s="88"/>
    </row>
    <row r="34" spans="1:13" s="11" customFormat="1" ht="16.5" customHeight="1" x14ac:dyDescent="0.25">
      <c r="A34" s="77" t="s">
        <v>2123</v>
      </c>
      <c r="B34" s="98">
        <v>-41075</v>
      </c>
      <c r="C34" s="31">
        <v>45412</v>
      </c>
      <c r="D34" s="14">
        <v>45413</v>
      </c>
      <c r="E34" s="71"/>
      <c r="F34" s="55"/>
      <c r="G34" s="55"/>
      <c r="L34" s="130" t="s">
        <v>1459</v>
      </c>
      <c r="M34" s="88"/>
    </row>
    <row r="35" spans="1:13" s="11" customFormat="1" ht="16.5" customHeight="1" thickBot="1" x14ac:dyDescent="0.3">
      <c r="A35" s="77" t="s">
        <v>2122</v>
      </c>
      <c r="B35" s="98">
        <v>-41940</v>
      </c>
      <c r="C35" s="31" t="s">
        <v>2182</v>
      </c>
      <c r="D35" s="14" t="s">
        <v>2181</v>
      </c>
      <c r="E35" s="71"/>
      <c r="F35" s="55"/>
      <c r="G35" s="55"/>
      <c r="L35" s="131" t="s">
        <v>1369</v>
      </c>
      <c r="M35" s="88"/>
    </row>
    <row r="36" spans="1:13" s="11" customFormat="1" ht="16.5" customHeight="1" x14ac:dyDescent="0.25">
      <c r="A36" s="77" t="s">
        <v>2124</v>
      </c>
      <c r="B36" s="98">
        <v>-44526</v>
      </c>
      <c r="C36" s="31" t="s">
        <v>2182</v>
      </c>
      <c r="D36" s="14" t="s">
        <v>2181</v>
      </c>
      <c r="E36" s="71"/>
      <c r="F36" s="55"/>
      <c r="G36" s="55"/>
      <c r="M36" s="88"/>
    </row>
    <row r="37" spans="1:13" s="11" customFormat="1" ht="16.5" customHeight="1" x14ac:dyDescent="0.25">
      <c r="A37" s="77" t="s">
        <v>2125</v>
      </c>
      <c r="B37" s="98">
        <v>-44526</v>
      </c>
      <c r="C37" s="31" t="s">
        <v>2182</v>
      </c>
      <c r="D37" s="14" t="s">
        <v>2181</v>
      </c>
      <c r="E37" s="71"/>
      <c r="F37" s="55"/>
      <c r="G37" s="55"/>
      <c r="M37" s="88"/>
    </row>
    <row r="38" spans="1:13" s="11" customFormat="1" ht="16.5" customHeight="1" x14ac:dyDescent="0.25">
      <c r="A38" s="77" t="s">
        <v>2126</v>
      </c>
      <c r="B38" s="98">
        <v>-45358</v>
      </c>
      <c r="C38" s="31" t="s">
        <v>2182</v>
      </c>
      <c r="D38" s="14" t="s">
        <v>2181</v>
      </c>
      <c r="E38" s="71"/>
      <c r="F38" s="55"/>
      <c r="G38" s="55"/>
      <c r="M38" s="88"/>
    </row>
    <row r="39" spans="1:13" s="11" customFormat="1" ht="16.5" customHeight="1" thickBot="1" x14ac:dyDescent="0.3">
      <c r="A39" s="77" t="s">
        <v>2127</v>
      </c>
      <c r="B39" s="98">
        <v>-45886</v>
      </c>
      <c r="C39" s="31">
        <v>45412</v>
      </c>
      <c r="D39" s="28">
        <v>45413</v>
      </c>
      <c r="E39" s="71"/>
      <c r="F39" s="55"/>
      <c r="G39" s="55"/>
      <c r="M39" s="88"/>
    </row>
    <row r="40" spans="1:13" s="11" customFormat="1" ht="16.5" customHeight="1" x14ac:dyDescent="0.25">
      <c r="A40" s="134" t="s">
        <v>2073</v>
      </c>
      <c r="B40" s="135">
        <v>-47685</v>
      </c>
      <c r="C40" s="136">
        <v>45372</v>
      </c>
      <c r="D40" s="252" t="s">
        <v>2183</v>
      </c>
      <c r="E40" s="71"/>
      <c r="F40" s="55"/>
      <c r="G40" s="55"/>
      <c r="M40" s="88"/>
    </row>
    <row r="41" spans="1:13" s="11" customFormat="1" ht="16.5" customHeight="1" thickBot="1" x14ac:dyDescent="0.3">
      <c r="A41" s="137"/>
      <c r="B41" s="138"/>
      <c r="C41" s="139"/>
      <c r="D41" s="253"/>
      <c r="E41" s="71"/>
      <c r="F41" s="55"/>
      <c r="G41" s="55"/>
      <c r="M41" s="88"/>
    </row>
    <row r="42" spans="1:13" s="11" customFormat="1" ht="16.5" customHeight="1" x14ac:dyDescent="0.25">
      <c r="A42" s="77" t="s">
        <v>2128</v>
      </c>
      <c r="B42" s="98">
        <v>-52376</v>
      </c>
      <c r="C42" s="31">
        <v>45412</v>
      </c>
      <c r="D42" s="14">
        <v>45414</v>
      </c>
      <c r="E42" s="71"/>
      <c r="F42" s="55"/>
      <c r="G42" s="55"/>
      <c r="M42" s="88"/>
    </row>
    <row r="43" spans="1:13" s="11" customFormat="1" ht="16.5" customHeight="1" x14ac:dyDescent="0.25">
      <c r="A43" s="77" t="s">
        <v>2129</v>
      </c>
      <c r="B43" s="98">
        <v>-53556.75</v>
      </c>
      <c r="C43" s="31">
        <v>45412</v>
      </c>
      <c r="D43" s="14">
        <v>45414</v>
      </c>
      <c r="E43" s="71"/>
      <c r="F43" s="55"/>
      <c r="G43" s="55"/>
      <c r="M43" s="88"/>
    </row>
    <row r="44" spans="1:13" s="11" customFormat="1" ht="16.5" customHeight="1" x14ac:dyDescent="0.25">
      <c r="A44" s="77" t="s">
        <v>2130</v>
      </c>
      <c r="B44" s="98">
        <v>-54017.1</v>
      </c>
      <c r="C44" s="31">
        <v>45412</v>
      </c>
      <c r="D44" s="14">
        <v>45414</v>
      </c>
      <c r="E44" s="71"/>
      <c r="F44" s="55"/>
      <c r="G44" s="55"/>
      <c r="M44" s="88"/>
    </row>
    <row r="45" spans="1:13" s="11" customFormat="1" ht="16.5" customHeight="1" x14ac:dyDescent="0.25">
      <c r="A45" s="77" t="s">
        <v>2131</v>
      </c>
      <c r="B45" s="98">
        <v>-54017.1</v>
      </c>
      <c r="C45" s="31">
        <v>45412</v>
      </c>
      <c r="D45" s="14">
        <v>45415</v>
      </c>
      <c r="E45" s="71"/>
      <c r="F45" s="55"/>
      <c r="G45" s="55"/>
      <c r="M45" s="88"/>
    </row>
    <row r="46" spans="1:13" s="11" customFormat="1" ht="16.5" customHeight="1" x14ac:dyDescent="0.25">
      <c r="A46" s="77" t="s">
        <v>2132</v>
      </c>
      <c r="B46" s="98">
        <v>-54017.1</v>
      </c>
      <c r="C46" s="31">
        <v>45412</v>
      </c>
      <c r="D46" s="14">
        <v>45415</v>
      </c>
      <c r="E46" s="71"/>
      <c r="F46" s="55"/>
      <c r="G46" s="55"/>
      <c r="M46" s="88"/>
    </row>
    <row r="47" spans="1:13" s="11" customFormat="1" ht="16.5" customHeight="1" x14ac:dyDescent="0.25">
      <c r="A47" s="77" t="s">
        <v>2133</v>
      </c>
      <c r="B47" s="98">
        <v>-91284.25</v>
      </c>
      <c r="C47" s="31">
        <v>45412</v>
      </c>
      <c r="D47" s="14">
        <v>45414</v>
      </c>
      <c r="E47" s="71"/>
      <c r="F47" s="55"/>
      <c r="G47" s="55"/>
      <c r="M47" s="88"/>
    </row>
    <row r="48" spans="1:13" s="11" customFormat="1" ht="15.75" x14ac:dyDescent="0.25">
      <c r="A48" s="77"/>
      <c r="B48" s="98"/>
      <c r="C48" s="31"/>
      <c r="D48" s="28"/>
      <c r="E48" s="71"/>
      <c r="F48" s="55"/>
      <c r="G48" s="55"/>
    </row>
    <row r="49" spans="1:13" s="11" customFormat="1" ht="15.95" customHeight="1" x14ac:dyDescent="0.25">
      <c r="B49" s="25">
        <f>SUM(B9:B48)</f>
        <v>-1530572.3000000003</v>
      </c>
      <c r="C49" s="28"/>
      <c r="D49" s="28"/>
      <c r="E49" s="127"/>
      <c r="F49" s="19"/>
      <c r="G49" s="19"/>
    </row>
    <row r="50" spans="1:13" s="11" customFormat="1" ht="15.95" customHeight="1" x14ac:dyDescent="0.25">
      <c r="A50" s="11" t="s">
        <v>2</v>
      </c>
      <c r="B50" s="25"/>
      <c r="C50" s="30" t="s">
        <v>626</v>
      </c>
      <c r="D50" s="114" t="s">
        <v>628</v>
      </c>
      <c r="E50" s="72"/>
    </row>
    <row r="51" spans="1:13" s="11" customFormat="1" ht="15.95" customHeight="1" x14ac:dyDescent="0.25">
      <c r="A51" s="11" t="s">
        <v>2135</v>
      </c>
      <c r="B51" s="119">
        <v>26954.45</v>
      </c>
      <c r="C51" s="95">
        <v>45407</v>
      </c>
      <c r="D51" s="14">
        <v>45421</v>
      </c>
      <c r="E51" s="72"/>
      <c r="M51" s="88"/>
    </row>
    <row r="52" spans="1:13" s="11" customFormat="1" ht="15.95" customHeight="1" x14ac:dyDescent="0.25">
      <c r="A52" s="11" t="s">
        <v>2136</v>
      </c>
      <c r="B52" s="119">
        <v>26954.45</v>
      </c>
      <c r="C52" s="95">
        <v>45401</v>
      </c>
      <c r="D52" s="14">
        <v>45413</v>
      </c>
      <c r="E52" s="72"/>
      <c r="M52" s="88"/>
    </row>
    <row r="53" spans="1:13" s="11" customFormat="1" ht="15.95" customHeight="1" x14ac:dyDescent="0.25">
      <c r="A53" s="11" t="s">
        <v>2069</v>
      </c>
      <c r="B53" s="119">
        <v>26965.75</v>
      </c>
      <c r="C53" s="95">
        <v>45365</v>
      </c>
      <c r="D53" s="100">
        <v>4200</v>
      </c>
      <c r="E53" s="72"/>
      <c r="M53" s="88"/>
    </row>
    <row r="54" spans="1:13" s="11" customFormat="1" ht="15.95" customHeight="1" x14ac:dyDescent="0.25">
      <c r="A54" s="11" t="s">
        <v>2098</v>
      </c>
      <c r="B54" s="119">
        <v>27512.45</v>
      </c>
      <c r="C54" s="95">
        <v>45408</v>
      </c>
      <c r="D54" s="100">
        <v>4800</v>
      </c>
      <c r="E54" s="72"/>
      <c r="M54" s="88"/>
    </row>
    <row r="55" spans="1:13" s="11" customFormat="1" ht="15.95" customHeight="1" x14ac:dyDescent="0.25">
      <c r="A55" s="11" t="s">
        <v>2137</v>
      </c>
      <c r="B55" s="119">
        <v>27709.75</v>
      </c>
      <c r="C55" s="95">
        <v>45408</v>
      </c>
      <c r="D55" s="14">
        <v>45420</v>
      </c>
      <c r="E55" s="72"/>
      <c r="M55" s="88"/>
    </row>
    <row r="56" spans="1:13" s="11" customFormat="1" ht="15.95" customHeight="1" x14ac:dyDescent="0.25">
      <c r="A56" s="11" t="s">
        <v>2138</v>
      </c>
      <c r="B56" s="119">
        <v>27879.8</v>
      </c>
      <c r="C56" s="95">
        <v>45405</v>
      </c>
      <c r="D56" s="14">
        <v>45416</v>
      </c>
      <c r="E56" s="72"/>
    </row>
    <row r="57" spans="1:13" s="11" customFormat="1" ht="15.95" customHeight="1" x14ac:dyDescent="0.25">
      <c r="A57" s="11" t="s">
        <v>2099</v>
      </c>
      <c r="B57" s="119">
        <v>28077.1</v>
      </c>
      <c r="C57" s="95">
        <v>45411</v>
      </c>
      <c r="D57" s="100">
        <v>4800</v>
      </c>
      <c r="E57" s="72"/>
    </row>
    <row r="58" spans="1:13" s="11" customFormat="1" ht="15.95" customHeight="1" x14ac:dyDescent="0.25">
      <c r="A58" s="11" t="s">
        <v>2180</v>
      </c>
      <c r="B58" s="119">
        <v>28170.1</v>
      </c>
      <c r="C58" s="95">
        <v>45408</v>
      </c>
      <c r="D58" s="14">
        <v>45421</v>
      </c>
      <c r="E58" s="72"/>
    </row>
    <row r="59" spans="1:13" s="11" customFormat="1" ht="15.95" customHeight="1" x14ac:dyDescent="0.25">
      <c r="A59" s="11" t="s">
        <v>2139</v>
      </c>
      <c r="B59" s="119">
        <v>28170.1</v>
      </c>
      <c r="C59" s="95">
        <v>45411</v>
      </c>
      <c r="D59" s="14">
        <v>45419</v>
      </c>
      <c r="E59" s="72"/>
    </row>
    <row r="60" spans="1:13" s="11" customFormat="1" ht="15.95" customHeight="1" x14ac:dyDescent="0.25">
      <c r="A60" s="11" t="s">
        <v>2140</v>
      </c>
      <c r="B60" s="119">
        <v>28170.1</v>
      </c>
      <c r="C60" s="95">
        <v>45411</v>
      </c>
      <c r="D60" s="14">
        <v>45418</v>
      </c>
      <c r="E60" s="72"/>
    </row>
    <row r="61" spans="1:13" s="11" customFormat="1" ht="15.95" customHeight="1" x14ac:dyDescent="0.25">
      <c r="A61" s="11" t="s">
        <v>2141</v>
      </c>
      <c r="B61" s="119">
        <v>28537.45</v>
      </c>
      <c r="C61" s="95">
        <v>45408</v>
      </c>
      <c r="D61" s="14">
        <v>45421</v>
      </c>
      <c r="E61" s="72"/>
    </row>
    <row r="62" spans="1:13" s="11" customFormat="1" ht="15.95" customHeight="1" x14ac:dyDescent="0.25">
      <c r="A62" s="11" t="s">
        <v>2142</v>
      </c>
      <c r="B62" s="119">
        <v>29402.05</v>
      </c>
      <c r="C62" s="95">
        <v>45365</v>
      </c>
      <c r="D62" s="14">
        <v>45426</v>
      </c>
      <c r="E62" s="72"/>
    </row>
    <row r="63" spans="1:13" s="11" customFormat="1" ht="15.95" customHeight="1" x14ac:dyDescent="0.25">
      <c r="A63" s="11" t="s">
        <v>2143</v>
      </c>
      <c r="B63" s="119">
        <v>31476.400000000001</v>
      </c>
      <c r="C63" s="95">
        <v>45405</v>
      </c>
      <c r="D63" s="14">
        <v>45414</v>
      </c>
      <c r="E63" s="72"/>
    </row>
    <row r="64" spans="1:13" s="11" customFormat="1" ht="15.95" customHeight="1" x14ac:dyDescent="0.25">
      <c r="A64" s="11" t="s">
        <v>2144</v>
      </c>
      <c r="B64" s="119">
        <v>32564</v>
      </c>
      <c r="C64" s="11" t="s">
        <v>2181</v>
      </c>
      <c r="D64" s="65" t="s">
        <v>2182</v>
      </c>
      <c r="E64" s="72"/>
    </row>
    <row r="65" spans="1:5" s="11" customFormat="1" ht="15.95" customHeight="1" x14ac:dyDescent="0.25">
      <c r="A65" s="11" t="s">
        <v>2145</v>
      </c>
      <c r="B65" s="119">
        <v>32634.25</v>
      </c>
      <c r="C65" s="13">
        <v>45408</v>
      </c>
      <c r="D65" s="132">
        <v>45415</v>
      </c>
      <c r="E65" s="72"/>
    </row>
    <row r="66" spans="1:5" s="11" customFormat="1" ht="15.95" customHeight="1" x14ac:dyDescent="0.25">
      <c r="A66" s="11" t="s">
        <v>2146</v>
      </c>
      <c r="B66" s="119">
        <v>33540</v>
      </c>
      <c r="C66" s="126" t="s">
        <v>2181</v>
      </c>
      <c r="D66" s="65" t="s">
        <v>2182</v>
      </c>
      <c r="E66" s="72"/>
    </row>
    <row r="67" spans="1:5" s="11" customFormat="1" ht="15.95" customHeight="1" x14ac:dyDescent="0.25">
      <c r="A67" s="11" t="s">
        <v>2147</v>
      </c>
      <c r="B67" s="119">
        <v>33540</v>
      </c>
      <c r="C67" s="126" t="s">
        <v>2181</v>
      </c>
      <c r="D67" s="65" t="s">
        <v>2182</v>
      </c>
      <c r="E67" s="72"/>
    </row>
    <row r="68" spans="1:5" s="11" customFormat="1" ht="15.95" customHeight="1" x14ac:dyDescent="0.25">
      <c r="A68" s="11" t="s">
        <v>2148</v>
      </c>
      <c r="B68" s="119">
        <v>33714</v>
      </c>
      <c r="C68" s="126" t="s">
        <v>2181</v>
      </c>
      <c r="D68" s="65" t="s">
        <v>2182</v>
      </c>
      <c r="E68" s="72"/>
    </row>
    <row r="69" spans="1:5" s="11" customFormat="1" ht="15.95" customHeight="1" x14ac:dyDescent="0.25">
      <c r="A69" s="11" t="s">
        <v>2149</v>
      </c>
      <c r="B69" s="119">
        <v>33866</v>
      </c>
      <c r="C69" s="126" t="s">
        <v>2181</v>
      </c>
      <c r="D69" s="65" t="s">
        <v>2182</v>
      </c>
      <c r="E69" s="72"/>
    </row>
    <row r="70" spans="1:5" s="11" customFormat="1" ht="15.95" customHeight="1" x14ac:dyDescent="0.25">
      <c r="A70" s="11" t="s">
        <v>2150</v>
      </c>
      <c r="B70" s="119">
        <v>35044</v>
      </c>
      <c r="C70" s="126" t="s">
        <v>2181</v>
      </c>
      <c r="D70" s="65" t="s">
        <v>2182</v>
      </c>
      <c r="E70" s="72"/>
    </row>
    <row r="71" spans="1:5" s="11" customFormat="1" ht="15.95" customHeight="1" x14ac:dyDescent="0.25">
      <c r="A71" s="11" t="s">
        <v>2151</v>
      </c>
      <c r="B71" s="119">
        <v>35237</v>
      </c>
      <c r="C71" s="126" t="s">
        <v>2181</v>
      </c>
      <c r="D71" s="65" t="s">
        <v>2182</v>
      </c>
      <c r="E71" s="72"/>
    </row>
    <row r="72" spans="1:5" s="11" customFormat="1" ht="15.95" customHeight="1" x14ac:dyDescent="0.25">
      <c r="A72" s="11" t="s">
        <v>2152</v>
      </c>
      <c r="B72" s="119">
        <v>37601</v>
      </c>
      <c r="C72" s="126" t="s">
        <v>2181</v>
      </c>
      <c r="D72" s="65" t="s">
        <v>2182</v>
      </c>
      <c r="E72" s="72"/>
    </row>
    <row r="73" spans="1:5" s="11" customFormat="1" ht="15.95" customHeight="1" x14ac:dyDescent="0.25">
      <c r="A73" s="11" t="s">
        <v>2153</v>
      </c>
      <c r="B73" s="119">
        <v>37652</v>
      </c>
      <c r="C73" s="126" t="s">
        <v>2181</v>
      </c>
      <c r="D73" s="65" t="s">
        <v>2182</v>
      </c>
      <c r="E73" s="72"/>
    </row>
    <row r="74" spans="1:5" s="11" customFormat="1" ht="15.95" customHeight="1" x14ac:dyDescent="0.25">
      <c r="A74" s="11" t="s">
        <v>2154</v>
      </c>
      <c r="B74" s="119">
        <v>39044</v>
      </c>
      <c r="C74" s="126" t="s">
        <v>2181</v>
      </c>
      <c r="D74" s="65" t="s">
        <v>2182</v>
      </c>
      <c r="E74" s="72"/>
    </row>
    <row r="75" spans="1:5" s="11" customFormat="1" ht="15.95" customHeight="1" x14ac:dyDescent="0.25">
      <c r="A75" s="11" t="s">
        <v>2008</v>
      </c>
      <c r="B75" s="119">
        <v>39177.199999999997</v>
      </c>
      <c r="C75" s="31">
        <v>45348</v>
      </c>
      <c r="D75" s="133">
        <v>4300</v>
      </c>
      <c r="E75" s="72"/>
    </row>
    <row r="76" spans="1:5" s="11" customFormat="1" ht="15.95" customHeight="1" x14ac:dyDescent="0.25">
      <c r="A76" s="11" t="s">
        <v>2071</v>
      </c>
      <c r="B76" s="119">
        <v>39781.699999999997</v>
      </c>
      <c r="C76" s="31">
        <v>45359</v>
      </c>
      <c r="D76" s="133">
        <v>4300</v>
      </c>
      <c r="E76" s="72"/>
    </row>
    <row r="77" spans="1:5" s="11" customFormat="1" ht="15.95" customHeight="1" x14ac:dyDescent="0.25">
      <c r="A77" s="11" t="s">
        <v>2155</v>
      </c>
      <c r="B77" s="119">
        <v>39883</v>
      </c>
      <c r="C77" s="126" t="s">
        <v>2181</v>
      </c>
      <c r="D77" s="65" t="s">
        <v>2182</v>
      </c>
      <c r="E77" s="72"/>
    </row>
    <row r="78" spans="1:5" s="11" customFormat="1" ht="15.95" customHeight="1" x14ac:dyDescent="0.25">
      <c r="A78" s="11" t="s">
        <v>2156</v>
      </c>
      <c r="B78" s="119">
        <v>42202.45</v>
      </c>
      <c r="C78" s="13">
        <v>45404</v>
      </c>
      <c r="D78" s="132">
        <v>45414</v>
      </c>
      <c r="E78" s="72"/>
    </row>
    <row r="79" spans="1:5" s="11" customFormat="1" ht="15.95" customHeight="1" x14ac:dyDescent="0.25">
      <c r="A79" s="11" t="s">
        <v>2157</v>
      </c>
      <c r="B79" s="119">
        <v>42355</v>
      </c>
      <c r="C79" s="126" t="s">
        <v>2181</v>
      </c>
      <c r="D79" s="65" t="s">
        <v>2182</v>
      </c>
      <c r="E79" s="72"/>
    </row>
    <row r="80" spans="1:5" s="11" customFormat="1" ht="15.95" customHeight="1" x14ac:dyDescent="0.25">
      <c r="A80" s="11" t="s">
        <v>2158</v>
      </c>
      <c r="B80" s="119">
        <v>42355</v>
      </c>
      <c r="C80" s="126" t="s">
        <v>2181</v>
      </c>
      <c r="D80" s="65" t="s">
        <v>2182</v>
      </c>
      <c r="E80" s="72"/>
    </row>
    <row r="81" spans="1:5" s="11" customFormat="1" ht="15.95" customHeight="1" x14ac:dyDescent="0.25">
      <c r="A81" s="11" t="s">
        <v>2159</v>
      </c>
      <c r="B81" s="119">
        <v>43141</v>
      </c>
      <c r="C81" s="126" t="s">
        <v>2181</v>
      </c>
      <c r="D81" s="65" t="s">
        <v>2182</v>
      </c>
      <c r="E81" s="72"/>
    </row>
    <row r="82" spans="1:5" s="11" customFormat="1" ht="15.95" customHeight="1" x14ac:dyDescent="0.25">
      <c r="A82" s="11" t="s">
        <v>2160</v>
      </c>
      <c r="B82" s="119">
        <v>55970.1</v>
      </c>
      <c r="C82" s="95">
        <v>45378</v>
      </c>
      <c r="D82" s="14">
        <v>45413</v>
      </c>
      <c r="E82" s="72"/>
    </row>
    <row r="83" spans="1:5" s="11" customFormat="1" ht="15.95" customHeight="1" x14ac:dyDescent="0.25">
      <c r="A83" s="11" t="s">
        <v>2161</v>
      </c>
      <c r="B83" s="119">
        <v>78066.899999999994</v>
      </c>
      <c r="C83" s="95">
        <v>45342</v>
      </c>
      <c r="D83" s="14">
        <v>45413</v>
      </c>
      <c r="E83" s="72"/>
    </row>
    <row r="84" spans="1:5" s="11" customFormat="1" ht="15.95" customHeight="1" x14ac:dyDescent="0.25">
      <c r="A84" s="11" t="s">
        <v>2162</v>
      </c>
      <c r="B84" s="119">
        <v>79563.490000000005</v>
      </c>
      <c r="C84" s="95">
        <v>45412</v>
      </c>
      <c r="D84" s="14">
        <v>45414</v>
      </c>
      <c r="E84" s="72"/>
    </row>
    <row r="85" spans="1:5" s="11" customFormat="1" ht="15.95" customHeight="1" x14ac:dyDescent="0.25">
      <c r="A85" s="11" t="s">
        <v>2163</v>
      </c>
      <c r="B85" s="119">
        <v>82003.69</v>
      </c>
      <c r="C85" s="95">
        <v>45412</v>
      </c>
      <c r="D85" s="14">
        <v>45414</v>
      </c>
      <c r="E85" s="72"/>
    </row>
    <row r="86" spans="1:5" s="11" customFormat="1" ht="15.95" customHeight="1" x14ac:dyDescent="0.25">
      <c r="A86" s="11" t="s">
        <v>2164</v>
      </c>
      <c r="B86" s="119">
        <v>82093.600000000006</v>
      </c>
      <c r="C86" s="95">
        <v>45404</v>
      </c>
      <c r="D86" s="14">
        <v>45420</v>
      </c>
      <c r="E86" s="72"/>
    </row>
    <row r="87" spans="1:5" s="11" customFormat="1" ht="15.95" customHeight="1" x14ac:dyDescent="0.25">
      <c r="A87" s="11" t="s">
        <v>2165</v>
      </c>
      <c r="B87" s="119">
        <v>82140.100000000006</v>
      </c>
      <c r="C87" s="95">
        <v>45411</v>
      </c>
      <c r="D87" s="14">
        <v>45420</v>
      </c>
      <c r="E87" s="72"/>
    </row>
    <row r="88" spans="1:5" s="11" customFormat="1" ht="15.95" customHeight="1" x14ac:dyDescent="0.25">
      <c r="A88" s="11" t="s">
        <v>2166</v>
      </c>
      <c r="B88" s="119">
        <v>82600.45</v>
      </c>
      <c r="C88" s="95">
        <v>45408</v>
      </c>
      <c r="D88" s="14">
        <v>45421</v>
      </c>
      <c r="E88" s="72"/>
    </row>
    <row r="89" spans="1:5" s="11" customFormat="1" ht="15.95" customHeight="1" x14ac:dyDescent="0.25">
      <c r="A89" s="11" t="s">
        <v>2167</v>
      </c>
      <c r="B89" s="119">
        <v>82600.45</v>
      </c>
      <c r="C89" s="95">
        <v>45408</v>
      </c>
      <c r="D89" s="14">
        <v>45421</v>
      </c>
      <c r="E89" s="72"/>
    </row>
    <row r="90" spans="1:5" s="11" customFormat="1" ht="15.95" customHeight="1" x14ac:dyDescent="0.25">
      <c r="A90" s="11" t="s">
        <v>2168</v>
      </c>
      <c r="B90" s="119">
        <v>82600.45</v>
      </c>
      <c r="C90" s="95">
        <v>45408</v>
      </c>
      <c r="D90" s="14">
        <v>45420</v>
      </c>
      <c r="E90" s="72"/>
    </row>
    <row r="91" spans="1:5" s="11" customFormat="1" ht="15.95" customHeight="1" x14ac:dyDescent="0.25">
      <c r="A91" s="11" t="s">
        <v>2169</v>
      </c>
      <c r="B91" s="119">
        <v>82600.45</v>
      </c>
      <c r="C91" s="95">
        <v>45408</v>
      </c>
      <c r="D91" s="14">
        <v>45420</v>
      </c>
      <c r="E91" s="72"/>
    </row>
    <row r="92" spans="1:5" s="11" customFormat="1" ht="15.95" customHeight="1" x14ac:dyDescent="0.25">
      <c r="A92" s="11" t="s">
        <v>2170</v>
      </c>
      <c r="B92" s="119">
        <v>82600.45</v>
      </c>
      <c r="C92" s="95">
        <v>45411</v>
      </c>
      <c r="D92" s="100">
        <v>4800</v>
      </c>
      <c r="E92" s="72"/>
    </row>
    <row r="93" spans="1:5" s="11" customFormat="1" ht="15.95" customHeight="1" x14ac:dyDescent="0.25">
      <c r="A93" s="11" t="s">
        <v>2171</v>
      </c>
      <c r="B93" s="119">
        <v>82600.45</v>
      </c>
      <c r="C93" s="95">
        <v>45408</v>
      </c>
      <c r="D93" s="14">
        <v>45421</v>
      </c>
      <c r="E93" s="72"/>
    </row>
    <row r="94" spans="1:5" s="11" customFormat="1" ht="15.95" customHeight="1" x14ac:dyDescent="0.25">
      <c r="A94" s="11" t="s">
        <v>2172</v>
      </c>
      <c r="B94" s="119">
        <v>84808.85</v>
      </c>
      <c r="C94" s="95">
        <v>45404</v>
      </c>
      <c r="D94" s="14">
        <v>45420</v>
      </c>
      <c r="E94" s="72"/>
    </row>
    <row r="95" spans="1:5" s="11" customFormat="1" ht="15.95" customHeight="1" x14ac:dyDescent="0.25">
      <c r="A95" s="11" t="s">
        <v>2173</v>
      </c>
      <c r="B95" s="119">
        <v>87594.2</v>
      </c>
      <c r="C95" s="95">
        <v>45411</v>
      </c>
      <c r="D95" s="14">
        <v>45421</v>
      </c>
      <c r="E95" s="72"/>
    </row>
    <row r="96" spans="1:5" s="11" customFormat="1" ht="15.95" customHeight="1" x14ac:dyDescent="0.25">
      <c r="A96" s="11" t="s">
        <v>2174</v>
      </c>
      <c r="B96" s="119">
        <v>87594.2</v>
      </c>
      <c r="C96" s="95">
        <v>45411</v>
      </c>
      <c r="D96" s="14">
        <v>45421</v>
      </c>
      <c r="E96" s="72"/>
    </row>
    <row r="97" spans="1:9" s="11" customFormat="1" ht="15.95" customHeight="1" x14ac:dyDescent="0.25">
      <c r="A97" s="11" t="s">
        <v>2175</v>
      </c>
      <c r="B97" s="119">
        <v>88757.3</v>
      </c>
      <c r="C97" s="95">
        <v>45405</v>
      </c>
      <c r="D97" s="14">
        <v>45420</v>
      </c>
      <c r="E97" s="72"/>
    </row>
    <row r="98" spans="1:9" s="11" customFormat="1" ht="15.95" customHeight="1" x14ac:dyDescent="0.25">
      <c r="A98" s="11" t="s">
        <v>2176</v>
      </c>
      <c r="B98" s="119">
        <v>89315.3</v>
      </c>
      <c r="C98" s="95">
        <v>45407</v>
      </c>
      <c r="D98" s="14">
        <v>45420</v>
      </c>
      <c r="E98" s="72"/>
    </row>
    <row r="99" spans="1:9" s="11" customFormat="1" ht="15.95" customHeight="1" x14ac:dyDescent="0.25">
      <c r="A99" s="11" t="s">
        <v>2177</v>
      </c>
      <c r="B99" s="119">
        <v>91842.25</v>
      </c>
      <c r="C99" s="95">
        <v>45407</v>
      </c>
      <c r="D99" s="14">
        <v>45422</v>
      </c>
      <c r="E99" s="72"/>
    </row>
    <row r="100" spans="1:9" s="11" customFormat="1" ht="15.95" customHeight="1" x14ac:dyDescent="0.25">
      <c r="A100" s="11" t="s">
        <v>2178</v>
      </c>
      <c r="B100" s="119">
        <v>92025.95</v>
      </c>
      <c r="C100" s="95">
        <v>45233</v>
      </c>
      <c r="D100" s="14">
        <v>45420</v>
      </c>
      <c r="E100" s="72"/>
    </row>
    <row r="101" spans="1:9" s="11" customFormat="1" ht="15.95" customHeight="1" thickBot="1" x14ac:dyDescent="0.3">
      <c r="B101" s="25"/>
      <c r="E101" s="72"/>
    </row>
    <row r="102" spans="1:9" s="11" customFormat="1" ht="15.95" customHeight="1" x14ac:dyDescent="0.25">
      <c r="B102" s="25">
        <f>SUM(B51:B101)</f>
        <v>2616690.1799999997</v>
      </c>
      <c r="C102" s="129" t="s">
        <v>1368</v>
      </c>
      <c r="E102" s="72"/>
      <c r="H102" s="88"/>
    </row>
    <row r="103" spans="1:9" s="11" customFormat="1" ht="15.95" customHeight="1" x14ac:dyDescent="0.25">
      <c r="A103" s="11" t="s">
        <v>1</v>
      </c>
      <c r="B103" s="17">
        <f>B102+B49</f>
        <v>1086117.8799999994</v>
      </c>
      <c r="C103" s="130" t="s">
        <v>1459</v>
      </c>
      <c r="E103" s="72"/>
      <c r="H103" s="88"/>
    </row>
    <row r="104" spans="1:9" s="11" customFormat="1" ht="15.95" customHeight="1" thickBot="1" x14ac:dyDescent="0.3">
      <c r="A104" s="11" t="s">
        <v>0</v>
      </c>
      <c r="B104" s="17">
        <f>B103-B7</f>
        <v>0</v>
      </c>
      <c r="C104" s="131" t="s">
        <v>1369</v>
      </c>
      <c r="E104" s="72"/>
      <c r="G104" s="126"/>
      <c r="H104" s="88"/>
    </row>
    <row r="105" spans="1:9" s="11" customFormat="1" ht="15.95" customHeight="1" x14ac:dyDescent="0.25">
      <c r="B105" s="17"/>
      <c r="E105" s="72"/>
      <c r="H105" s="88"/>
    </row>
    <row r="106" spans="1:9" s="11" customFormat="1" ht="20.100000000000001" customHeight="1" x14ac:dyDescent="0.25">
      <c r="A106" s="39"/>
      <c r="B106" s="93"/>
      <c r="C106" s="18"/>
      <c r="D106" s="18"/>
      <c r="E106" s="72"/>
      <c r="H106" s="88"/>
    </row>
    <row r="107" spans="1:9" s="11" customFormat="1" ht="20.100000000000001" customHeight="1" x14ac:dyDescent="0.3">
      <c r="A107" s="1"/>
      <c r="B107" s="10"/>
      <c r="C107" s="13"/>
      <c r="D107" s="47"/>
      <c r="E107" s="72"/>
      <c r="H107" s="88"/>
    </row>
    <row r="108" spans="1:9" s="11" customFormat="1" ht="20.100000000000001" customHeight="1" x14ac:dyDescent="0.3">
      <c r="A108" s="1"/>
      <c r="B108" s="10"/>
      <c r="C108" s="13"/>
      <c r="D108" s="47"/>
      <c r="E108" s="72"/>
      <c r="G108" s="126"/>
      <c r="H108" s="88"/>
    </row>
    <row r="109" spans="1:9" s="11" customFormat="1" ht="20.100000000000001" customHeight="1" x14ac:dyDescent="0.3">
      <c r="A109" s="1"/>
      <c r="B109" s="10"/>
      <c r="C109" s="13"/>
      <c r="D109" s="47"/>
      <c r="E109" s="72"/>
      <c r="H109" s="88"/>
    </row>
    <row r="110" spans="1:9" s="13" customFormat="1" ht="20.100000000000001" customHeight="1" x14ac:dyDescent="0.3">
      <c r="A110" s="1"/>
      <c r="B110" s="10"/>
      <c r="D110" s="47"/>
      <c r="E110" s="72"/>
      <c r="F110" s="11"/>
      <c r="H110" s="88"/>
      <c r="I110" s="11"/>
    </row>
    <row r="111" spans="1:9" s="13" customFormat="1" ht="20.100000000000001" customHeight="1" x14ac:dyDescent="0.3">
      <c r="A111" s="1"/>
      <c r="B111" s="10"/>
      <c r="D111" s="47"/>
      <c r="E111" s="72"/>
      <c r="F111" s="11"/>
      <c r="H111" s="88"/>
      <c r="I111" s="11"/>
    </row>
    <row r="112" spans="1:9" s="13" customFormat="1" ht="20.100000000000001" customHeight="1" x14ac:dyDescent="0.3">
      <c r="A112" s="1"/>
      <c r="B112" s="10"/>
      <c r="D112" s="47"/>
      <c r="E112" s="72"/>
      <c r="F112" s="11"/>
      <c r="H112" s="88"/>
      <c r="I112" s="11"/>
    </row>
    <row r="113" spans="1:19" s="90" customFormat="1" ht="20.100000000000001" customHeight="1" x14ac:dyDescent="0.3">
      <c r="A113" s="1"/>
      <c r="B113" s="10"/>
      <c r="C113" s="6"/>
      <c r="D113" s="116"/>
      <c r="E113" s="128"/>
      <c r="F113" s="1"/>
      <c r="G113" s="1"/>
      <c r="I113" s="1"/>
      <c r="J113" s="1"/>
      <c r="K113" s="1"/>
      <c r="M113" s="1"/>
      <c r="N113" s="1"/>
      <c r="O113" s="1"/>
      <c r="P113" s="1"/>
      <c r="Q113" s="1"/>
      <c r="R113" s="1"/>
      <c r="S113" s="1"/>
    </row>
    <row r="114" spans="1:19" s="90" customFormat="1" ht="20.100000000000001" customHeight="1" x14ac:dyDescent="0.3">
      <c r="A114" s="1"/>
      <c r="B114" s="10"/>
      <c r="C114" s="6"/>
      <c r="D114" s="116"/>
      <c r="E114" s="128"/>
      <c r="F114" s="1"/>
      <c r="G114" s="1"/>
      <c r="I114" s="1"/>
      <c r="J114" s="1"/>
      <c r="K114" s="1"/>
      <c r="M114" s="1"/>
      <c r="N114" s="1"/>
      <c r="O114" s="1"/>
      <c r="P114" s="1"/>
      <c r="Q114" s="1"/>
      <c r="R114" s="1"/>
      <c r="S114" s="1"/>
    </row>
    <row r="115" spans="1:19" s="90" customFormat="1" ht="20.100000000000001" customHeight="1" x14ac:dyDescent="0.3">
      <c r="A115" s="1"/>
      <c r="B115" s="10"/>
      <c r="C115" s="6"/>
      <c r="D115" s="116"/>
      <c r="E115" s="128"/>
      <c r="F115" s="1"/>
      <c r="G115" s="1"/>
      <c r="I115" s="1"/>
      <c r="J115" s="1"/>
      <c r="K115" s="1"/>
      <c r="M115" s="1"/>
      <c r="N115" s="1"/>
      <c r="O115" s="1"/>
      <c r="P115" s="1"/>
      <c r="Q115" s="1"/>
      <c r="R115" s="1"/>
      <c r="S115" s="1"/>
    </row>
    <row r="116" spans="1:19" s="90" customFormat="1" ht="20.100000000000001" customHeight="1" x14ac:dyDescent="0.3">
      <c r="A116" s="1"/>
      <c r="B116" s="10"/>
      <c r="C116" s="6"/>
      <c r="D116" s="116"/>
      <c r="E116" s="128"/>
      <c r="F116" s="1"/>
      <c r="G116" s="11"/>
      <c r="I116" s="1"/>
      <c r="J116" s="1"/>
      <c r="K116" s="1"/>
      <c r="M116" s="1"/>
      <c r="N116" s="1"/>
      <c r="O116" s="1"/>
      <c r="P116" s="1"/>
      <c r="Q116" s="1"/>
      <c r="R116" s="1"/>
      <c r="S116" s="1"/>
    </row>
  </sheetData>
  <mergeCells count="1">
    <mergeCell ref="D40:D41"/>
  </mergeCells>
  <pageMargins left="0.7" right="0.7" top="0.75" bottom="0.75" header="0.3" footer="0.3"/>
  <pageSetup scale="94" fitToHeight="0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5F109-6A05-4AB3-B45C-66C039724E40}">
  <sheetPr>
    <pageSetUpPr fitToPage="1"/>
  </sheetPr>
  <dimension ref="A1:S104"/>
  <sheetViews>
    <sheetView topLeftCell="A6" zoomScaleNormal="100" workbookViewId="0">
      <selection activeCell="A42" sqref="A42:XFD42"/>
    </sheetView>
  </sheetViews>
  <sheetFormatPr defaultRowHeight="18.75" x14ac:dyDescent="0.3"/>
  <cols>
    <col min="1" max="1" width="20.7109375" style="1" customWidth="1"/>
    <col min="2" max="2" width="16.85546875" style="10" customWidth="1"/>
    <col min="3" max="3" width="23.42578125" style="6" customWidth="1"/>
    <col min="4" max="4" width="25.140625" style="116" customWidth="1"/>
    <col min="5" max="5" width="27" style="128" customWidth="1"/>
    <col min="6" max="6" width="16.5703125" style="1" customWidth="1"/>
    <col min="7" max="7" width="35" style="1" bestFit="1" customWidth="1"/>
    <col min="8" max="8" width="5.5703125" style="90" bestFit="1" customWidth="1"/>
    <col min="9" max="11" width="9.140625" style="1"/>
    <col min="12" max="12" width="57.5703125" style="1" bestFit="1" customWidth="1"/>
    <col min="13" max="16384" width="9.140625" style="1"/>
  </cols>
  <sheetData>
    <row r="1" spans="1:19" s="11" customFormat="1" ht="20.100000000000001" customHeight="1" x14ac:dyDescent="0.25">
      <c r="A1" s="11" t="s">
        <v>1203</v>
      </c>
      <c r="B1" s="17"/>
      <c r="C1" s="13"/>
      <c r="D1" s="47"/>
      <c r="E1" s="72"/>
      <c r="H1" s="88"/>
      <c r="L1" s="11" t="s">
        <v>1437</v>
      </c>
    </row>
    <row r="2" spans="1:19" s="11" customFormat="1" ht="20.100000000000001" customHeight="1" x14ac:dyDescent="0.25">
      <c r="A2" s="14">
        <v>45473</v>
      </c>
      <c r="B2" s="17"/>
      <c r="C2" s="13"/>
      <c r="D2" s="47"/>
      <c r="E2" s="72"/>
      <c r="H2" s="88"/>
      <c r="L2" s="11" t="s">
        <v>1438</v>
      </c>
    </row>
    <row r="3" spans="1:19" s="11" customFormat="1" ht="20.100000000000001" customHeight="1" x14ac:dyDescent="0.25">
      <c r="A3" s="11" t="s">
        <v>311</v>
      </c>
      <c r="B3" s="17">
        <v>30212726.41</v>
      </c>
      <c r="C3" s="13"/>
      <c r="D3" s="47"/>
      <c r="E3" s="72"/>
      <c r="H3" s="88"/>
      <c r="L3" s="11" t="s">
        <v>1439</v>
      </c>
      <c r="M3" s="89"/>
    </row>
    <row r="4" spans="1:19" s="11" customFormat="1" ht="20.100000000000001" customHeight="1" x14ac:dyDescent="0.25">
      <c r="A4" s="11" t="s">
        <v>6</v>
      </c>
      <c r="B4" s="17"/>
      <c r="C4" s="13"/>
      <c r="D4" s="47"/>
      <c r="E4" s="72"/>
      <c r="H4" s="88"/>
      <c r="L4" s="11" t="s">
        <v>1440</v>
      </c>
      <c r="M4" s="89"/>
    </row>
    <row r="5" spans="1:19" s="11" customFormat="1" ht="20.100000000000001" customHeight="1" x14ac:dyDescent="0.25">
      <c r="A5" s="11">
        <v>2100</v>
      </c>
      <c r="B5" s="17">
        <v>-28644761.699999999</v>
      </c>
      <c r="C5" s="13"/>
      <c r="D5" s="47"/>
      <c r="E5" s="72"/>
      <c r="H5" s="88"/>
      <c r="L5" s="11" t="s">
        <v>1441</v>
      </c>
      <c r="M5" s="89"/>
    </row>
    <row r="6" spans="1:19" s="11" customFormat="1" ht="20.100000000000001" customHeight="1" x14ac:dyDescent="0.25">
      <c r="A6" s="11" t="s">
        <v>5</v>
      </c>
      <c r="B6" s="17">
        <f>SUM(B5)</f>
        <v>-28644761.699999999</v>
      </c>
      <c r="C6" s="13"/>
      <c r="D6" s="47"/>
      <c r="E6" s="72"/>
      <c r="H6" s="88"/>
      <c r="L6" s="11" t="s">
        <v>1442</v>
      </c>
      <c r="M6" s="89"/>
      <c r="O6" s="62"/>
      <c r="P6" s="62"/>
      <c r="Q6" s="62"/>
      <c r="R6" s="62"/>
      <c r="S6" s="62"/>
    </row>
    <row r="7" spans="1:19" s="11" customFormat="1" ht="20.100000000000001" customHeight="1" x14ac:dyDescent="0.25">
      <c r="A7" s="11" t="s">
        <v>4</v>
      </c>
      <c r="B7" s="17">
        <f>B6+B3</f>
        <v>1567964.7100000009</v>
      </c>
      <c r="C7" s="13"/>
      <c r="D7" s="47"/>
      <c r="E7" s="72"/>
      <c r="H7" s="88"/>
      <c r="L7" s="11" t="s">
        <v>1443</v>
      </c>
      <c r="M7" s="88"/>
    </row>
    <row r="8" spans="1:19" s="11" customFormat="1" ht="15.95" customHeight="1" x14ac:dyDescent="0.25">
      <c r="A8" s="11" t="s">
        <v>3</v>
      </c>
      <c r="B8" s="17"/>
      <c r="C8" s="44" t="s">
        <v>628</v>
      </c>
      <c r="D8" s="114" t="s">
        <v>626</v>
      </c>
      <c r="E8" s="72"/>
      <c r="H8" s="88"/>
      <c r="L8" s="11" t="s">
        <v>1444</v>
      </c>
      <c r="M8" s="88"/>
    </row>
    <row r="9" spans="1:19" s="11" customFormat="1" ht="15.75" x14ac:dyDescent="0.25">
      <c r="A9" s="77" t="s">
        <v>2192</v>
      </c>
      <c r="B9" s="98">
        <v>-31691</v>
      </c>
      <c r="C9" s="31">
        <v>45461</v>
      </c>
      <c r="D9" s="28" t="s">
        <v>2234</v>
      </c>
      <c r="E9" s="71"/>
      <c r="F9" s="55"/>
      <c r="G9" s="55"/>
      <c r="L9" s="11" t="s">
        <v>1445</v>
      </c>
      <c r="M9" s="88"/>
    </row>
    <row r="10" spans="1:19" s="11" customFormat="1" ht="15.75" x14ac:dyDescent="0.25">
      <c r="A10" s="77" t="s">
        <v>2193</v>
      </c>
      <c r="B10" s="98">
        <v>-44666.25</v>
      </c>
      <c r="C10" s="31">
        <v>45469</v>
      </c>
      <c r="D10" s="28">
        <v>45476</v>
      </c>
      <c r="E10" s="71"/>
      <c r="F10" s="55"/>
      <c r="G10" s="55"/>
      <c r="L10" s="11" t="s">
        <v>1446</v>
      </c>
      <c r="M10" s="88"/>
    </row>
    <row r="11" spans="1:19" s="11" customFormat="1" ht="15.75" x14ac:dyDescent="0.25">
      <c r="A11" s="77" t="s">
        <v>2195</v>
      </c>
      <c r="B11" s="98">
        <v>-54667.05</v>
      </c>
      <c r="C11" s="31">
        <v>45469</v>
      </c>
      <c r="D11" s="28">
        <v>45476</v>
      </c>
      <c r="E11" s="71"/>
      <c r="F11" s="55"/>
      <c r="G11" s="55"/>
      <c r="L11" s="11" t="s">
        <v>1447</v>
      </c>
      <c r="M11" s="88"/>
    </row>
    <row r="12" spans="1:19" s="11" customFormat="1" ht="15.75" x14ac:dyDescent="0.25">
      <c r="A12" s="77" t="s">
        <v>2196</v>
      </c>
      <c r="B12" s="98">
        <v>-54806.55</v>
      </c>
      <c r="C12" s="31">
        <v>45469</v>
      </c>
      <c r="D12" s="28">
        <v>45475</v>
      </c>
      <c r="E12" s="71"/>
      <c r="F12" s="55"/>
      <c r="G12" s="55"/>
      <c r="L12" s="11" t="s">
        <v>1448</v>
      </c>
      <c r="M12" s="88"/>
    </row>
    <row r="13" spans="1:19" s="11" customFormat="1" ht="15.75" x14ac:dyDescent="0.25">
      <c r="A13" s="77" t="s">
        <v>2197</v>
      </c>
      <c r="B13" s="98">
        <v>-87212.1</v>
      </c>
      <c r="C13" s="31">
        <v>45469</v>
      </c>
      <c r="D13" s="28">
        <v>45475</v>
      </c>
      <c r="E13" s="71"/>
      <c r="F13" s="55"/>
      <c r="G13" s="55"/>
      <c r="L13" s="11" t="s">
        <v>1449</v>
      </c>
      <c r="M13" s="88"/>
    </row>
    <row r="14" spans="1:19" s="11" customFormat="1" ht="15.75" x14ac:dyDescent="0.25">
      <c r="A14" s="77" t="s">
        <v>2198</v>
      </c>
      <c r="B14" s="98">
        <v>-88101.05</v>
      </c>
      <c r="C14" s="31">
        <v>45470</v>
      </c>
      <c r="D14" s="28">
        <v>45474</v>
      </c>
      <c r="E14" s="71"/>
      <c r="F14" s="55"/>
      <c r="G14" s="55"/>
      <c r="L14" s="11" t="s">
        <v>1450</v>
      </c>
      <c r="M14" s="88"/>
    </row>
    <row r="15" spans="1:19" s="11" customFormat="1" ht="15.75" x14ac:dyDescent="0.25">
      <c r="A15" s="77"/>
      <c r="B15" s="98"/>
      <c r="C15" s="31"/>
      <c r="D15" s="28"/>
      <c r="E15" s="71"/>
      <c r="F15" s="55"/>
      <c r="G15" s="55"/>
      <c r="L15" s="11" t="s">
        <v>1451</v>
      </c>
      <c r="M15" s="88"/>
    </row>
    <row r="16" spans="1:19" s="11" customFormat="1" ht="15.75" x14ac:dyDescent="0.25">
      <c r="B16" s="25">
        <f>SUM(B9:B15)</f>
        <v>-361144</v>
      </c>
      <c r="C16" s="28"/>
      <c r="D16" s="28"/>
      <c r="E16" s="71"/>
      <c r="F16" s="55"/>
      <c r="G16" s="55"/>
      <c r="L16" s="11" t="s">
        <v>1452</v>
      </c>
      <c r="M16" s="88"/>
    </row>
    <row r="17" spans="1:13" s="11" customFormat="1" ht="16.5" customHeight="1" x14ac:dyDescent="0.25">
      <c r="A17" s="11" t="s">
        <v>2</v>
      </c>
      <c r="B17" s="25"/>
      <c r="C17" s="30" t="s">
        <v>626</v>
      </c>
      <c r="D17" s="114" t="s">
        <v>628</v>
      </c>
      <c r="E17" s="71"/>
      <c r="F17" s="55"/>
      <c r="G17" s="55"/>
      <c r="L17" s="11" t="s">
        <v>1453</v>
      </c>
      <c r="M17" s="88"/>
    </row>
    <row r="18" spans="1:13" s="11" customFormat="1" ht="16.5" customHeight="1" x14ac:dyDescent="0.25">
      <c r="A18" s="11" t="s">
        <v>2200</v>
      </c>
      <c r="B18" s="119">
        <v>23154</v>
      </c>
      <c r="C18" s="95" t="s">
        <v>2226</v>
      </c>
      <c r="D18" s="100" t="s">
        <v>2225</v>
      </c>
      <c r="E18" s="71"/>
      <c r="F18" s="55"/>
      <c r="G18" s="55"/>
      <c r="L18" s="11" t="s">
        <v>1436</v>
      </c>
      <c r="M18" s="88"/>
    </row>
    <row r="19" spans="1:13" s="11" customFormat="1" ht="16.5" customHeight="1" x14ac:dyDescent="0.25">
      <c r="A19" s="11" t="s">
        <v>2184</v>
      </c>
      <c r="B19" s="119">
        <v>24821.3</v>
      </c>
      <c r="C19" s="95">
        <v>45429</v>
      </c>
      <c r="D19" s="118" t="s">
        <v>2231</v>
      </c>
      <c r="E19" s="71"/>
      <c r="F19" s="55"/>
      <c r="G19" s="55"/>
      <c r="L19" s="11" t="s">
        <v>1454</v>
      </c>
      <c r="M19" s="88"/>
    </row>
    <row r="20" spans="1:13" s="11" customFormat="1" ht="16.5" customHeight="1" x14ac:dyDescent="0.25">
      <c r="A20" s="11" t="s">
        <v>2187</v>
      </c>
      <c r="B20" s="119">
        <v>24914.3</v>
      </c>
      <c r="C20" s="95">
        <v>45463</v>
      </c>
      <c r="D20" s="118" t="s">
        <v>2231</v>
      </c>
      <c r="E20" s="71"/>
      <c r="F20" s="55"/>
      <c r="G20" s="55"/>
      <c r="L20" s="11" t="s">
        <v>1455</v>
      </c>
      <c r="M20" s="88"/>
    </row>
    <row r="21" spans="1:13" s="11" customFormat="1" ht="16.5" customHeight="1" x14ac:dyDescent="0.25">
      <c r="A21" s="11" t="s">
        <v>2188</v>
      </c>
      <c r="B21" s="119">
        <v>25374.65</v>
      </c>
      <c r="C21" s="95">
        <v>45463</v>
      </c>
      <c r="D21" s="140" t="s">
        <v>2231</v>
      </c>
      <c r="E21" s="71"/>
      <c r="F21" s="55"/>
      <c r="G21" s="55"/>
      <c r="L21" s="11" t="s">
        <v>1456</v>
      </c>
      <c r="M21" s="88"/>
    </row>
    <row r="22" spans="1:13" s="11" customFormat="1" ht="16.5" customHeight="1" x14ac:dyDescent="0.25">
      <c r="A22" s="11" t="s">
        <v>2189</v>
      </c>
      <c r="B22" s="119">
        <v>25374.65</v>
      </c>
      <c r="C22" s="95">
        <v>45463</v>
      </c>
      <c r="D22" s="140" t="s">
        <v>2231</v>
      </c>
      <c r="E22" s="71"/>
      <c r="F22" s="55"/>
      <c r="G22" s="55"/>
      <c r="L22" s="11" t="s">
        <v>1457</v>
      </c>
      <c r="M22" s="88"/>
    </row>
    <row r="23" spans="1:13" s="11" customFormat="1" ht="16.5" customHeight="1" x14ac:dyDescent="0.25">
      <c r="A23" s="11" t="s">
        <v>2190</v>
      </c>
      <c r="B23" s="119">
        <v>26954.45</v>
      </c>
      <c r="C23" s="95">
        <v>45463</v>
      </c>
      <c r="D23" s="140" t="s">
        <v>2231</v>
      </c>
      <c r="E23" s="71"/>
      <c r="F23" s="55"/>
      <c r="G23" s="55"/>
      <c r="L23" s="11" t="s">
        <v>1458</v>
      </c>
      <c r="M23" s="88"/>
    </row>
    <row r="24" spans="1:13" s="11" customFormat="1" ht="16.5" customHeight="1" x14ac:dyDescent="0.25">
      <c r="A24" s="11" t="s">
        <v>2191</v>
      </c>
      <c r="B24" s="119">
        <v>26954.45</v>
      </c>
      <c r="C24" s="95">
        <v>45471</v>
      </c>
      <c r="D24" s="118" t="s">
        <v>2231</v>
      </c>
      <c r="E24" s="71"/>
      <c r="F24" s="55"/>
      <c r="G24" s="55"/>
      <c r="L24" s="11" t="s">
        <v>1368</v>
      </c>
      <c r="M24" s="88"/>
    </row>
    <row r="25" spans="1:13" s="11" customFormat="1" ht="16.5" customHeight="1" x14ac:dyDescent="0.25">
      <c r="A25" s="11" t="s">
        <v>2185</v>
      </c>
      <c r="B25" s="119">
        <v>26954.45</v>
      </c>
      <c r="C25" s="95">
        <v>45425</v>
      </c>
      <c r="D25" s="140" t="s">
        <v>2231</v>
      </c>
      <c r="E25" s="71"/>
      <c r="F25" s="55"/>
      <c r="G25" s="55"/>
      <c r="L25" s="11" t="s">
        <v>1459</v>
      </c>
      <c r="M25" s="88"/>
    </row>
    <row r="26" spans="1:13" s="11" customFormat="1" ht="16.5" customHeight="1" x14ac:dyDescent="0.25">
      <c r="A26" s="11" t="s">
        <v>2201</v>
      </c>
      <c r="B26" s="119">
        <v>27013</v>
      </c>
      <c r="C26" s="95" t="s">
        <v>2226</v>
      </c>
      <c r="D26" s="28" t="s">
        <v>2225</v>
      </c>
      <c r="E26" s="71"/>
      <c r="F26" s="55"/>
      <c r="G26" s="55"/>
      <c r="L26" s="11" t="s">
        <v>1369</v>
      </c>
      <c r="M26" s="88"/>
    </row>
    <row r="27" spans="1:13" s="11" customFormat="1" ht="16.5" customHeight="1" x14ac:dyDescent="0.25">
      <c r="A27" s="11" t="s">
        <v>2202</v>
      </c>
      <c r="B27" s="119">
        <v>29382</v>
      </c>
      <c r="C27" s="95" t="s">
        <v>2226</v>
      </c>
      <c r="D27" s="28" t="s">
        <v>2225</v>
      </c>
      <c r="E27" s="71"/>
      <c r="F27" s="55"/>
      <c r="G27" s="55"/>
      <c r="L27" s="11" t="s">
        <v>1460</v>
      </c>
      <c r="M27" s="88"/>
    </row>
    <row r="28" spans="1:13" s="11" customFormat="1" ht="16.5" customHeight="1" x14ac:dyDescent="0.25">
      <c r="A28" s="11" t="s">
        <v>2203</v>
      </c>
      <c r="B28" s="119">
        <v>34601</v>
      </c>
      <c r="C28" s="95" t="s">
        <v>2226</v>
      </c>
      <c r="D28" s="28" t="s">
        <v>2225</v>
      </c>
      <c r="E28" s="71"/>
      <c r="F28" s="55"/>
      <c r="G28" s="55"/>
      <c r="M28" s="88"/>
    </row>
    <row r="29" spans="1:13" s="11" customFormat="1" ht="16.5" customHeight="1" x14ac:dyDescent="0.25">
      <c r="A29" s="11" t="s">
        <v>2227</v>
      </c>
      <c r="B29" s="119">
        <v>34976</v>
      </c>
      <c r="C29" s="95" t="s">
        <v>2226</v>
      </c>
      <c r="D29" s="28" t="s">
        <v>2228</v>
      </c>
      <c r="E29" s="71"/>
      <c r="F29" s="55"/>
      <c r="G29" s="55"/>
      <c r="M29" s="88"/>
    </row>
    <row r="30" spans="1:13" s="11" customFormat="1" ht="16.5" customHeight="1" x14ac:dyDescent="0.25">
      <c r="A30" s="11" t="s">
        <v>2233</v>
      </c>
      <c r="B30" s="119">
        <v>35350.5</v>
      </c>
      <c r="C30" s="95">
        <v>45469</v>
      </c>
      <c r="D30" s="28">
        <v>45484</v>
      </c>
      <c r="E30" s="71"/>
      <c r="F30" s="55"/>
      <c r="G30" s="55"/>
      <c r="M30" s="88"/>
    </row>
    <row r="31" spans="1:13" s="11" customFormat="1" ht="16.5" customHeight="1" thickBot="1" x14ac:dyDescent="0.3">
      <c r="A31" s="11" t="s">
        <v>2229</v>
      </c>
      <c r="B31" s="119">
        <v>36962</v>
      </c>
      <c r="C31" s="95" t="s">
        <v>2226</v>
      </c>
      <c r="D31" s="28" t="s">
        <v>2228</v>
      </c>
      <c r="E31" s="71"/>
      <c r="F31" s="55"/>
      <c r="G31" s="55"/>
      <c r="M31" s="88"/>
    </row>
    <row r="32" spans="1:13" s="11" customFormat="1" ht="16.5" customHeight="1" x14ac:dyDescent="0.25">
      <c r="A32" s="11" t="s">
        <v>2204</v>
      </c>
      <c r="B32" s="119">
        <v>37324</v>
      </c>
      <c r="C32" s="95" t="s">
        <v>2226</v>
      </c>
      <c r="D32" s="28" t="s">
        <v>2225</v>
      </c>
      <c r="E32" s="71"/>
      <c r="F32" s="55"/>
      <c r="G32" s="55"/>
      <c r="L32" s="129" t="s">
        <v>1457</v>
      </c>
      <c r="M32" s="88"/>
    </row>
    <row r="33" spans="1:13" s="11" customFormat="1" ht="16.5" customHeight="1" x14ac:dyDescent="0.25">
      <c r="A33" s="11" t="s">
        <v>2205</v>
      </c>
      <c r="B33" s="119">
        <v>38624.839999999997</v>
      </c>
      <c r="C33" s="95" t="s">
        <v>2226</v>
      </c>
      <c r="D33" s="28" t="s">
        <v>2225</v>
      </c>
      <c r="E33" s="71"/>
      <c r="F33" s="55"/>
      <c r="G33" s="55"/>
      <c r="L33" s="130" t="s">
        <v>1368</v>
      </c>
      <c r="M33" s="88"/>
    </row>
    <row r="34" spans="1:13" s="11" customFormat="1" ht="16.5" customHeight="1" thickBot="1" x14ac:dyDescent="0.3">
      <c r="A34" s="11" t="s">
        <v>2206</v>
      </c>
      <c r="B34" s="119">
        <v>39038</v>
      </c>
      <c r="C34" s="95" t="s">
        <v>2226</v>
      </c>
      <c r="D34" s="28" t="s">
        <v>2225</v>
      </c>
      <c r="E34" s="71"/>
      <c r="F34" s="55"/>
      <c r="G34" s="55"/>
      <c r="L34" s="131" t="s">
        <v>1459</v>
      </c>
      <c r="M34" s="88"/>
    </row>
    <row r="35" spans="1:13" s="11" customFormat="1" ht="16.5" customHeight="1" x14ac:dyDescent="0.25">
      <c r="A35" s="11" t="s">
        <v>2207</v>
      </c>
      <c r="B35" s="119">
        <v>39821.03</v>
      </c>
      <c r="C35" s="95" t="s">
        <v>2226</v>
      </c>
      <c r="D35" s="28" t="s">
        <v>2225</v>
      </c>
      <c r="E35" s="71"/>
      <c r="F35" s="55"/>
      <c r="G35" s="55"/>
      <c r="M35" s="88"/>
    </row>
    <row r="36" spans="1:13" s="11" customFormat="1" ht="16.5" customHeight="1" x14ac:dyDescent="0.25">
      <c r="A36" s="11" t="s">
        <v>2208</v>
      </c>
      <c r="B36" s="119">
        <v>40959</v>
      </c>
      <c r="C36" s="95" t="s">
        <v>2226</v>
      </c>
      <c r="D36" s="28" t="s">
        <v>2225</v>
      </c>
      <c r="E36" s="71"/>
      <c r="F36" s="55"/>
      <c r="G36" s="55"/>
      <c r="M36" s="88"/>
    </row>
    <row r="37" spans="1:13" s="11" customFormat="1" ht="16.5" customHeight="1" x14ac:dyDescent="0.25">
      <c r="A37" s="11" t="s">
        <v>2209</v>
      </c>
      <c r="B37" s="119">
        <v>44083</v>
      </c>
      <c r="C37" s="95" t="s">
        <v>2226</v>
      </c>
      <c r="D37" s="28" t="s">
        <v>2225</v>
      </c>
      <c r="E37" s="71"/>
      <c r="F37" s="55"/>
      <c r="G37" s="55"/>
      <c r="M37" s="88"/>
    </row>
    <row r="38" spans="1:13" s="11" customFormat="1" ht="16.5" customHeight="1" x14ac:dyDescent="0.25">
      <c r="A38" s="11" t="s">
        <v>2210</v>
      </c>
      <c r="B38" s="119">
        <v>45038</v>
      </c>
      <c r="C38" s="95" t="s">
        <v>2226</v>
      </c>
      <c r="D38" s="28" t="s">
        <v>2228</v>
      </c>
      <c r="E38" s="71"/>
      <c r="F38" s="55"/>
      <c r="G38" s="55"/>
      <c r="M38" s="88"/>
    </row>
    <row r="39" spans="1:13" s="11" customFormat="1" ht="16.5" customHeight="1" x14ac:dyDescent="0.25">
      <c r="A39" s="11" t="s">
        <v>2211</v>
      </c>
      <c r="B39" s="119">
        <v>45113</v>
      </c>
      <c r="C39" s="95" t="s">
        <v>2226</v>
      </c>
      <c r="D39" s="28" t="s">
        <v>2225</v>
      </c>
      <c r="E39" s="71"/>
      <c r="F39" s="55"/>
      <c r="G39" s="55"/>
      <c r="M39" s="88"/>
    </row>
    <row r="40" spans="1:13" s="11" customFormat="1" ht="16.5" customHeight="1" x14ac:dyDescent="0.25">
      <c r="A40" s="11" t="s">
        <v>2194</v>
      </c>
      <c r="B40" s="119">
        <v>45596.25</v>
      </c>
      <c r="C40" s="95">
        <v>45467</v>
      </c>
      <c r="D40" s="140">
        <v>4300</v>
      </c>
      <c r="E40" s="71"/>
      <c r="F40" s="55"/>
      <c r="G40" s="55"/>
      <c r="M40" s="88"/>
    </row>
    <row r="41" spans="1:13" s="11" customFormat="1" ht="16.5" customHeight="1" x14ac:dyDescent="0.25">
      <c r="A41" s="11" t="s">
        <v>2212</v>
      </c>
      <c r="B41" s="119">
        <v>47560</v>
      </c>
      <c r="C41" s="95" t="s">
        <v>2226</v>
      </c>
      <c r="D41" s="28" t="s">
        <v>2225</v>
      </c>
      <c r="E41" s="71"/>
      <c r="F41" s="55"/>
      <c r="G41" s="55"/>
      <c r="M41" s="88"/>
    </row>
    <row r="42" spans="1:13" s="11" customFormat="1" ht="16.5" customHeight="1" x14ac:dyDescent="0.25">
      <c r="A42" s="11" t="s">
        <v>2186</v>
      </c>
      <c r="B42" s="119">
        <v>52483</v>
      </c>
      <c r="C42" s="95">
        <v>45419</v>
      </c>
      <c r="D42" s="140" t="s">
        <v>2232</v>
      </c>
      <c r="E42" s="71"/>
      <c r="F42" s="55"/>
      <c r="G42" s="55"/>
      <c r="M42" s="88"/>
    </row>
    <row r="43" spans="1:13" s="11" customFormat="1" ht="16.5" customHeight="1" x14ac:dyDescent="0.25">
      <c r="A43" s="11" t="s">
        <v>2213</v>
      </c>
      <c r="B43" s="119">
        <v>54667.05</v>
      </c>
      <c r="C43" s="95" t="s">
        <v>2226</v>
      </c>
      <c r="D43" s="28" t="s">
        <v>2225</v>
      </c>
      <c r="E43" s="71"/>
      <c r="F43" s="55"/>
      <c r="G43" s="55"/>
      <c r="M43" s="88"/>
    </row>
    <row r="44" spans="1:13" s="11" customFormat="1" ht="16.5" customHeight="1" x14ac:dyDescent="0.25">
      <c r="A44" s="11" t="s">
        <v>2230</v>
      </c>
      <c r="B44" s="119">
        <v>60272.9</v>
      </c>
      <c r="C44" s="95">
        <v>45468</v>
      </c>
      <c r="D44" s="28">
        <v>45478</v>
      </c>
      <c r="E44" s="71"/>
      <c r="F44" s="55"/>
      <c r="G44" s="55"/>
      <c r="M44" s="88"/>
    </row>
    <row r="45" spans="1:13" s="11" customFormat="1" ht="16.5" customHeight="1" x14ac:dyDescent="0.25">
      <c r="A45" s="11" t="s">
        <v>2214</v>
      </c>
      <c r="B45" s="119">
        <v>60272.9</v>
      </c>
      <c r="C45" s="95" t="s">
        <v>2226</v>
      </c>
      <c r="D45" s="28" t="s">
        <v>2225</v>
      </c>
      <c r="E45" s="71"/>
      <c r="F45" s="55"/>
      <c r="G45" s="55"/>
      <c r="M45" s="88"/>
    </row>
    <row r="46" spans="1:13" s="11" customFormat="1" ht="16.5" customHeight="1" x14ac:dyDescent="0.25">
      <c r="A46" s="11" t="s">
        <v>2215</v>
      </c>
      <c r="B46" s="119">
        <v>60830.9</v>
      </c>
      <c r="C46" s="95" t="s">
        <v>2226</v>
      </c>
      <c r="D46" s="28" t="s">
        <v>2225</v>
      </c>
      <c r="E46" s="71"/>
      <c r="F46" s="55"/>
      <c r="G46" s="55"/>
      <c r="M46" s="88"/>
    </row>
    <row r="47" spans="1:13" s="11" customFormat="1" ht="16.5" customHeight="1" x14ac:dyDescent="0.25">
      <c r="A47" s="11" t="s">
        <v>2216</v>
      </c>
      <c r="B47" s="119">
        <v>63252</v>
      </c>
      <c r="C47" s="95">
        <v>45467</v>
      </c>
      <c r="D47" s="28">
        <v>45478</v>
      </c>
      <c r="E47" s="71"/>
      <c r="F47" s="55"/>
      <c r="G47" s="55"/>
      <c r="M47" s="88"/>
    </row>
    <row r="48" spans="1:13" s="11" customFormat="1" ht="16.5" customHeight="1" x14ac:dyDescent="0.25">
      <c r="A48" s="11" t="s">
        <v>2217</v>
      </c>
      <c r="B48" s="119">
        <v>63252</v>
      </c>
      <c r="C48" s="95">
        <v>45468</v>
      </c>
      <c r="D48" s="28">
        <v>45478</v>
      </c>
      <c r="E48" s="71"/>
      <c r="F48" s="55"/>
      <c r="G48" s="55"/>
      <c r="M48" s="88"/>
    </row>
    <row r="49" spans="1:13" s="11" customFormat="1" ht="16.5" customHeight="1" x14ac:dyDescent="0.25">
      <c r="A49" s="11" t="s">
        <v>2236</v>
      </c>
      <c r="B49" s="119">
        <v>63730.95</v>
      </c>
      <c r="C49" s="95">
        <v>45456</v>
      </c>
      <c r="D49" s="28">
        <v>45490</v>
      </c>
      <c r="E49" s="71"/>
      <c r="F49" s="55"/>
      <c r="G49" s="55"/>
      <c r="M49" s="88"/>
    </row>
    <row r="50" spans="1:13" s="11" customFormat="1" ht="16.5" customHeight="1" x14ac:dyDescent="0.25">
      <c r="A50" s="11" t="s">
        <v>2218</v>
      </c>
      <c r="B50" s="119">
        <v>64191.3</v>
      </c>
      <c r="C50" s="95" t="s">
        <v>2226</v>
      </c>
      <c r="D50" s="28" t="s">
        <v>2225</v>
      </c>
      <c r="E50" s="71"/>
      <c r="F50" s="55"/>
      <c r="G50" s="55"/>
      <c r="M50" s="88"/>
    </row>
    <row r="51" spans="1:13" s="11" customFormat="1" ht="16.5" customHeight="1" x14ac:dyDescent="0.25">
      <c r="A51" s="11" t="s">
        <v>2219</v>
      </c>
      <c r="B51" s="119">
        <v>64442.400000000001</v>
      </c>
      <c r="C51" s="95" t="s">
        <v>2226</v>
      </c>
      <c r="D51" s="28" t="s">
        <v>2225</v>
      </c>
      <c r="E51" s="71"/>
      <c r="F51" s="55"/>
      <c r="G51" s="55"/>
      <c r="M51" s="88"/>
    </row>
    <row r="52" spans="1:13" s="11" customFormat="1" ht="16.5" customHeight="1" x14ac:dyDescent="0.25">
      <c r="A52" s="11" t="s">
        <v>2220</v>
      </c>
      <c r="B52" s="119">
        <v>70197.600000000006</v>
      </c>
      <c r="C52" s="95">
        <v>45455</v>
      </c>
      <c r="D52" s="28">
        <v>45475</v>
      </c>
      <c r="E52" s="71"/>
      <c r="F52" s="55"/>
      <c r="G52" s="55"/>
      <c r="M52" s="88"/>
    </row>
    <row r="53" spans="1:13" s="11" customFormat="1" ht="15.75" x14ac:dyDescent="0.25">
      <c r="A53" s="11" t="s">
        <v>2221</v>
      </c>
      <c r="B53" s="119">
        <v>74446.94</v>
      </c>
      <c r="C53" s="95" t="s">
        <v>2226</v>
      </c>
      <c r="D53" s="28" t="s">
        <v>2225</v>
      </c>
      <c r="E53" s="71"/>
      <c r="F53" s="55"/>
      <c r="G53" s="55"/>
    </row>
    <row r="54" spans="1:13" s="11" customFormat="1" ht="15.75" x14ac:dyDescent="0.25">
      <c r="A54" s="11" t="s">
        <v>2222</v>
      </c>
      <c r="B54" s="119">
        <v>83907.3</v>
      </c>
      <c r="C54" s="95">
        <v>45468</v>
      </c>
      <c r="D54" s="28">
        <v>45478</v>
      </c>
      <c r="E54" s="71"/>
      <c r="F54" s="55"/>
      <c r="G54" s="55"/>
    </row>
    <row r="55" spans="1:13" s="11" customFormat="1" ht="15.75" x14ac:dyDescent="0.25">
      <c r="A55" s="11" t="s">
        <v>2223</v>
      </c>
      <c r="B55" s="119">
        <v>83907.3</v>
      </c>
      <c r="C55" s="95">
        <v>45464</v>
      </c>
      <c r="D55" s="28">
        <v>45478</v>
      </c>
      <c r="E55" s="71"/>
      <c r="F55" s="55"/>
      <c r="G55" s="55"/>
    </row>
    <row r="56" spans="1:13" s="11" customFormat="1" ht="15.75" x14ac:dyDescent="0.25">
      <c r="A56" s="11" t="s">
        <v>2224</v>
      </c>
      <c r="B56" s="119">
        <v>84465.3</v>
      </c>
      <c r="C56" s="95">
        <v>45464</v>
      </c>
      <c r="D56" s="28">
        <v>45481</v>
      </c>
      <c r="E56" s="71"/>
      <c r="F56" s="55"/>
      <c r="G56" s="55"/>
    </row>
    <row r="57" spans="1:13" s="11" customFormat="1" ht="15.75" x14ac:dyDescent="0.25">
      <c r="A57" s="11" t="s">
        <v>2199</v>
      </c>
      <c r="B57" s="119">
        <v>98845</v>
      </c>
      <c r="C57" s="95">
        <v>45471</v>
      </c>
      <c r="D57" s="258" t="s">
        <v>2235</v>
      </c>
      <c r="E57" s="259"/>
      <c r="F57" s="55"/>
      <c r="G57" s="55"/>
    </row>
    <row r="58" spans="1:13" s="11" customFormat="1" ht="15.75" x14ac:dyDescent="0.25">
      <c r="B58" s="119"/>
      <c r="C58" s="95"/>
      <c r="D58" s="258"/>
      <c r="E58" s="259"/>
      <c r="F58" s="55"/>
      <c r="G58" s="55"/>
    </row>
    <row r="59" spans="1:13" s="11" customFormat="1" ht="16.5" thickBot="1" x14ac:dyDescent="0.3">
      <c r="B59" s="25"/>
      <c r="E59" s="71"/>
      <c r="F59" s="55"/>
      <c r="G59" s="55"/>
    </row>
    <row r="60" spans="1:13" s="11" customFormat="1" ht="15.75" x14ac:dyDescent="0.25">
      <c r="B60" s="25">
        <f>SUM(B18:B59)</f>
        <v>1929108.71</v>
      </c>
      <c r="C60" s="254" t="s">
        <v>1457</v>
      </c>
      <c r="D60" s="255"/>
      <c r="E60" s="71"/>
      <c r="F60" s="55"/>
      <c r="G60" s="55"/>
    </row>
    <row r="61" spans="1:13" s="11" customFormat="1" ht="16.5" thickBot="1" x14ac:dyDescent="0.3">
      <c r="A61" s="11" t="s">
        <v>1</v>
      </c>
      <c r="B61" s="17">
        <f>B60+B16</f>
        <v>1567964.71</v>
      </c>
      <c r="C61" s="256" t="s">
        <v>1459</v>
      </c>
      <c r="D61" s="257"/>
      <c r="E61" s="71"/>
      <c r="F61" s="55"/>
      <c r="G61" s="55"/>
    </row>
    <row r="62" spans="1:13" s="11" customFormat="1" ht="15.75" x14ac:dyDescent="0.25">
      <c r="A62" s="11" t="s">
        <v>0</v>
      </c>
      <c r="B62" s="17">
        <f>B61-B7</f>
        <v>0</v>
      </c>
      <c r="E62" s="71"/>
      <c r="F62" s="55"/>
      <c r="G62" s="55"/>
    </row>
    <row r="63" spans="1:13" s="11" customFormat="1" ht="15.75" x14ac:dyDescent="0.25">
      <c r="E63" s="71"/>
      <c r="F63" s="55"/>
      <c r="G63" s="55"/>
    </row>
    <row r="64" spans="1:13" s="11" customFormat="1" ht="15.75" x14ac:dyDescent="0.25">
      <c r="E64" s="71"/>
      <c r="F64" s="55"/>
      <c r="G64" s="55"/>
    </row>
    <row r="65" spans="2:7" s="11" customFormat="1" ht="15.75" x14ac:dyDescent="0.25">
      <c r="E65" s="71"/>
      <c r="F65" s="55"/>
      <c r="G65" s="55"/>
    </row>
    <row r="66" spans="2:7" s="11" customFormat="1" ht="15.75" x14ac:dyDescent="0.25">
      <c r="E66" s="71"/>
      <c r="F66" s="55"/>
      <c r="G66" s="55"/>
    </row>
    <row r="67" spans="2:7" s="11" customFormat="1" ht="15.75" x14ac:dyDescent="0.25">
      <c r="E67" s="71"/>
      <c r="F67" s="55"/>
      <c r="G67" s="55"/>
    </row>
    <row r="68" spans="2:7" s="11" customFormat="1" ht="15.75" x14ac:dyDescent="0.25">
      <c r="E68" s="71"/>
      <c r="F68" s="55"/>
      <c r="G68" s="55"/>
    </row>
    <row r="69" spans="2:7" s="11" customFormat="1" ht="15.75" x14ac:dyDescent="0.25">
      <c r="E69" s="71"/>
      <c r="F69" s="55"/>
      <c r="G69" s="55"/>
    </row>
    <row r="70" spans="2:7" s="11" customFormat="1" ht="15.75" x14ac:dyDescent="0.25">
      <c r="E70" s="71"/>
      <c r="F70" s="55"/>
      <c r="G70" s="55"/>
    </row>
    <row r="71" spans="2:7" s="11" customFormat="1" ht="15.75" x14ac:dyDescent="0.25">
      <c r="E71" s="71"/>
      <c r="F71" s="55"/>
      <c r="G71" s="55"/>
    </row>
    <row r="72" spans="2:7" s="11" customFormat="1" ht="15.75" x14ac:dyDescent="0.25">
      <c r="E72" s="71"/>
      <c r="F72" s="55"/>
      <c r="G72" s="55"/>
    </row>
    <row r="73" spans="2:7" s="11" customFormat="1" ht="15.75" x14ac:dyDescent="0.25">
      <c r="E73" s="71"/>
      <c r="F73" s="55"/>
      <c r="G73" s="55"/>
    </row>
    <row r="74" spans="2:7" s="11" customFormat="1" ht="15.75" x14ac:dyDescent="0.25">
      <c r="E74" s="71"/>
      <c r="F74" s="55"/>
      <c r="G74" s="55"/>
    </row>
    <row r="75" spans="2:7" s="11" customFormat="1" ht="15.95" customHeight="1" x14ac:dyDescent="0.25">
      <c r="E75" s="72"/>
    </row>
    <row r="76" spans="2:7" s="11" customFormat="1" ht="15.95" customHeight="1" x14ac:dyDescent="0.25">
      <c r="E76" s="72"/>
    </row>
    <row r="77" spans="2:7" s="11" customFormat="1" ht="15.95" customHeight="1" x14ac:dyDescent="0.25">
      <c r="E77" s="72"/>
    </row>
    <row r="78" spans="2:7" s="11" customFormat="1" ht="15.95" customHeight="1" x14ac:dyDescent="0.25">
      <c r="E78" s="72"/>
    </row>
    <row r="79" spans="2:7" s="11" customFormat="1" ht="15.95" customHeight="1" x14ac:dyDescent="0.25">
      <c r="E79" s="72"/>
    </row>
    <row r="80" spans="2:7" s="11" customFormat="1" ht="15.95" customHeight="1" x14ac:dyDescent="0.25">
      <c r="B80" s="17"/>
      <c r="E80" s="72"/>
    </row>
    <row r="81" spans="1:8" s="11" customFormat="1" ht="15.95" customHeight="1" x14ac:dyDescent="0.25">
      <c r="A81" s="39"/>
      <c r="B81" s="93"/>
      <c r="C81" s="18"/>
      <c r="D81" s="18"/>
      <c r="E81" s="72"/>
    </row>
    <row r="82" spans="1:8" s="11" customFormat="1" ht="15.95" customHeight="1" x14ac:dyDescent="0.3">
      <c r="A82" s="1"/>
      <c r="B82" s="10"/>
      <c r="C82" s="13"/>
      <c r="D82" s="47"/>
      <c r="E82" s="72"/>
    </row>
    <row r="83" spans="1:8" s="11" customFormat="1" ht="15.95" customHeight="1" x14ac:dyDescent="0.3">
      <c r="A83" s="1"/>
      <c r="B83" s="10"/>
      <c r="C83" s="13"/>
      <c r="D83" s="47"/>
      <c r="E83" s="72"/>
    </row>
    <row r="84" spans="1:8" s="11" customFormat="1" ht="15.95" customHeight="1" x14ac:dyDescent="0.3">
      <c r="A84" s="1"/>
      <c r="B84" s="10"/>
      <c r="C84" s="13"/>
      <c r="D84" s="47"/>
      <c r="E84" s="72"/>
    </row>
    <row r="85" spans="1:8" s="11" customFormat="1" ht="15.95" customHeight="1" x14ac:dyDescent="0.25">
      <c r="E85" s="72"/>
    </row>
    <row r="86" spans="1:8" s="11" customFormat="1" ht="15.95" customHeight="1" x14ac:dyDescent="0.25">
      <c r="E86" s="72"/>
    </row>
    <row r="87" spans="1:8" s="11" customFormat="1" ht="15.95" customHeight="1" x14ac:dyDescent="0.25">
      <c r="E87" s="72"/>
    </row>
    <row r="88" spans="1:8" s="11" customFormat="1" ht="15.95" customHeight="1" x14ac:dyDescent="0.25">
      <c r="E88" s="72"/>
    </row>
    <row r="89" spans="1:8" s="11" customFormat="1" ht="15.95" customHeight="1" x14ac:dyDescent="0.25">
      <c r="E89" s="72"/>
    </row>
    <row r="90" spans="1:8" s="11" customFormat="1" ht="15.95" customHeight="1" x14ac:dyDescent="0.25">
      <c r="E90" s="72"/>
      <c r="H90" s="88"/>
    </row>
    <row r="91" spans="1:8" s="11" customFormat="1" ht="15.95" customHeight="1" x14ac:dyDescent="0.25">
      <c r="E91" s="72"/>
      <c r="H91" s="88"/>
    </row>
    <row r="92" spans="1:8" s="11" customFormat="1" ht="15.95" customHeight="1" x14ac:dyDescent="0.25">
      <c r="E92" s="72"/>
      <c r="G92" s="126"/>
      <c r="H92" s="88"/>
    </row>
    <row r="93" spans="1:8" s="11" customFormat="1" ht="15.95" customHeight="1" x14ac:dyDescent="0.25">
      <c r="E93" s="72"/>
      <c r="H93" s="88"/>
    </row>
    <row r="94" spans="1:8" s="11" customFormat="1" ht="20.100000000000001" customHeight="1" x14ac:dyDescent="0.25">
      <c r="E94" s="72"/>
      <c r="H94" s="88"/>
    </row>
    <row r="95" spans="1:8" s="11" customFormat="1" ht="20.100000000000001" customHeight="1" x14ac:dyDescent="0.25">
      <c r="E95" s="72"/>
      <c r="H95" s="88"/>
    </row>
    <row r="96" spans="1:8" s="11" customFormat="1" ht="20.100000000000001" customHeight="1" x14ac:dyDescent="0.25">
      <c r="E96" s="72"/>
      <c r="G96" s="126"/>
      <c r="H96" s="88"/>
    </row>
    <row r="97" spans="1:19" s="11" customFormat="1" ht="20.100000000000001" customHeight="1" x14ac:dyDescent="0.25">
      <c r="E97" s="72"/>
      <c r="H97" s="88"/>
    </row>
    <row r="98" spans="1:19" s="13" customFormat="1" ht="20.100000000000001" customHeight="1" x14ac:dyDescent="0.3">
      <c r="A98" s="1"/>
      <c r="B98" s="10"/>
      <c r="D98" s="47"/>
      <c r="E98" s="72"/>
      <c r="F98" s="11"/>
      <c r="H98" s="88"/>
      <c r="I98" s="11"/>
    </row>
    <row r="99" spans="1:19" s="13" customFormat="1" ht="20.100000000000001" customHeight="1" x14ac:dyDescent="0.3">
      <c r="A99" s="1"/>
      <c r="B99" s="10"/>
      <c r="D99" s="47"/>
      <c r="E99" s="72"/>
      <c r="F99" s="11"/>
      <c r="H99" s="88"/>
      <c r="I99" s="11"/>
    </row>
    <row r="100" spans="1:19" s="13" customFormat="1" ht="20.100000000000001" customHeight="1" x14ac:dyDescent="0.3">
      <c r="A100" s="1"/>
      <c r="B100" s="10"/>
      <c r="D100" s="47"/>
      <c r="E100" s="72"/>
      <c r="F100" s="11"/>
      <c r="H100" s="88"/>
      <c r="I100" s="11"/>
    </row>
    <row r="101" spans="1:19" s="90" customFormat="1" ht="20.100000000000001" customHeight="1" x14ac:dyDescent="0.3">
      <c r="A101" s="1"/>
      <c r="B101" s="10"/>
      <c r="C101" s="6"/>
      <c r="D101" s="116"/>
      <c r="E101" s="128"/>
      <c r="F101" s="1"/>
      <c r="G101" s="1"/>
      <c r="I101" s="1"/>
      <c r="J101" s="1"/>
      <c r="K101" s="1"/>
      <c r="M101" s="1"/>
      <c r="N101" s="1"/>
      <c r="O101" s="1"/>
      <c r="P101" s="1"/>
      <c r="Q101" s="1"/>
      <c r="R101" s="1"/>
      <c r="S101" s="1"/>
    </row>
    <row r="102" spans="1:19" s="90" customFormat="1" ht="20.100000000000001" customHeight="1" x14ac:dyDescent="0.3">
      <c r="A102" s="1"/>
      <c r="B102" s="10"/>
      <c r="C102" s="6"/>
      <c r="D102" s="116"/>
      <c r="E102" s="128"/>
      <c r="F102" s="1"/>
      <c r="G102" s="1"/>
      <c r="I102" s="1"/>
      <c r="J102" s="1"/>
      <c r="K102" s="1"/>
      <c r="M102" s="1"/>
      <c r="N102" s="1"/>
      <c r="O102" s="1"/>
      <c r="P102" s="1"/>
      <c r="Q102" s="1"/>
      <c r="R102" s="1"/>
      <c r="S102" s="1"/>
    </row>
    <row r="103" spans="1:19" s="90" customFormat="1" ht="20.100000000000001" customHeight="1" x14ac:dyDescent="0.3">
      <c r="A103" s="1"/>
      <c r="B103" s="10"/>
      <c r="C103" s="6"/>
      <c r="D103" s="116"/>
      <c r="E103" s="128"/>
      <c r="F103" s="1"/>
      <c r="G103" s="1"/>
      <c r="I103" s="1"/>
      <c r="J103" s="1"/>
      <c r="K103" s="1"/>
      <c r="M103" s="1"/>
      <c r="N103" s="1"/>
      <c r="O103" s="1"/>
      <c r="P103" s="1"/>
      <c r="Q103" s="1"/>
      <c r="R103" s="1"/>
      <c r="S103" s="1"/>
    </row>
    <row r="104" spans="1:19" s="90" customFormat="1" ht="20.100000000000001" customHeight="1" x14ac:dyDescent="0.3">
      <c r="A104" s="1"/>
      <c r="B104" s="10"/>
      <c r="C104" s="6"/>
      <c r="D104" s="116"/>
      <c r="E104" s="128"/>
      <c r="F104" s="1"/>
      <c r="G104" s="11"/>
      <c r="I104" s="1"/>
      <c r="J104" s="1"/>
      <c r="K104" s="1"/>
      <c r="M104" s="1"/>
      <c r="N104" s="1"/>
      <c r="O104" s="1"/>
      <c r="P104" s="1"/>
      <c r="Q104" s="1"/>
      <c r="R104" s="1"/>
      <c r="S104" s="1"/>
    </row>
  </sheetData>
  <mergeCells count="3">
    <mergeCell ref="C60:D60"/>
    <mergeCell ref="C61:D61"/>
    <mergeCell ref="D57:E58"/>
  </mergeCells>
  <pageMargins left="0.7" right="0.7" top="0.75" bottom="0.75" header="0.3" footer="0.3"/>
  <pageSetup scale="68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37416-0905-4ADF-97C7-A5A851D17419}">
  <sheetPr>
    <pageSetUpPr fitToPage="1"/>
  </sheetPr>
  <dimension ref="A1:S111"/>
  <sheetViews>
    <sheetView topLeftCell="A22" zoomScaleNormal="100" workbookViewId="0">
      <selection activeCell="A48" sqref="A48:XFD48"/>
    </sheetView>
  </sheetViews>
  <sheetFormatPr defaultRowHeight="18.75" x14ac:dyDescent="0.3"/>
  <cols>
    <col min="1" max="1" width="20.7109375" style="1" customWidth="1"/>
    <col min="2" max="2" width="16.85546875" style="10" customWidth="1"/>
    <col min="3" max="3" width="23.42578125" style="6" customWidth="1"/>
    <col min="4" max="4" width="25.140625" style="116" customWidth="1"/>
    <col min="5" max="5" width="27" style="128" customWidth="1"/>
    <col min="6" max="6" width="16.5703125" style="1" customWidth="1"/>
    <col min="7" max="7" width="35" style="1" bestFit="1" customWidth="1"/>
    <col min="8" max="8" width="5.5703125" style="90" bestFit="1" customWidth="1"/>
    <col min="9" max="11" width="9.140625" style="1"/>
    <col min="12" max="12" width="57.5703125" style="1" bestFit="1" customWidth="1"/>
    <col min="13" max="16384" width="9.140625" style="1"/>
  </cols>
  <sheetData>
    <row r="1" spans="1:19" s="11" customFormat="1" ht="20.100000000000001" customHeight="1" x14ac:dyDescent="0.25">
      <c r="A1" s="11" t="s">
        <v>1203</v>
      </c>
      <c r="B1" s="17"/>
      <c r="C1" s="13"/>
      <c r="D1" s="47"/>
      <c r="E1" s="72"/>
      <c r="H1" s="88"/>
      <c r="L1" s="11" t="s">
        <v>1437</v>
      </c>
    </row>
    <row r="2" spans="1:19" s="11" customFormat="1" ht="20.100000000000001" customHeight="1" x14ac:dyDescent="0.25">
      <c r="A2" s="14">
        <v>45504</v>
      </c>
      <c r="B2" s="17"/>
      <c r="C2" s="13"/>
      <c r="D2" s="47"/>
      <c r="E2" s="72"/>
      <c r="H2" s="88"/>
      <c r="L2" s="11" t="s">
        <v>1438</v>
      </c>
    </row>
    <row r="3" spans="1:19" s="11" customFormat="1" ht="20.100000000000001" customHeight="1" x14ac:dyDescent="0.25">
      <c r="A3" s="11" t="s">
        <v>311</v>
      </c>
      <c r="B3" s="17">
        <v>27013777.640000001</v>
      </c>
      <c r="C3" s="13"/>
      <c r="D3" s="47"/>
      <c r="E3" s="72"/>
      <c r="H3" s="88"/>
      <c r="L3" s="11" t="s">
        <v>1439</v>
      </c>
      <c r="M3" s="89"/>
    </row>
    <row r="4" spans="1:19" s="11" customFormat="1" ht="20.100000000000001" customHeight="1" x14ac:dyDescent="0.25">
      <c r="A4" s="11" t="s">
        <v>6</v>
      </c>
      <c r="B4" s="17"/>
      <c r="C4" s="13"/>
      <c r="D4" s="47"/>
      <c r="E4" s="72"/>
      <c r="H4" s="88"/>
      <c r="L4" s="11" t="s">
        <v>1440</v>
      </c>
      <c r="M4" s="89"/>
    </row>
    <row r="5" spans="1:19" s="11" customFormat="1" ht="20.100000000000001" customHeight="1" x14ac:dyDescent="0.25">
      <c r="A5" s="11">
        <v>2100</v>
      </c>
      <c r="B5" s="17">
        <v>-25903388.879999999</v>
      </c>
      <c r="C5" s="13"/>
      <c r="D5" s="47"/>
      <c r="E5" s="72"/>
      <c r="H5" s="88"/>
      <c r="L5" s="11" t="s">
        <v>1441</v>
      </c>
      <c r="M5" s="89"/>
    </row>
    <row r="6" spans="1:19" s="11" customFormat="1" ht="20.100000000000001" customHeight="1" x14ac:dyDescent="0.25">
      <c r="A6" s="11" t="s">
        <v>5</v>
      </c>
      <c r="B6" s="17">
        <f>SUM(B5)</f>
        <v>-25903388.879999999</v>
      </c>
      <c r="C6" s="13"/>
      <c r="D6" s="47"/>
      <c r="E6" s="72"/>
      <c r="H6" s="88"/>
      <c r="L6" s="11" t="s">
        <v>1442</v>
      </c>
      <c r="M6" s="89"/>
      <c r="O6" s="62"/>
      <c r="P6" s="62"/>
      <c r="Q6" s="62"/>
      <c r="R6" s="62"/>
      <c r="S6" s="62"/>
    </row>
    <row r="7" spans="1:19" s="11" customFormat="1" ht="20.100000000000001" customHeight="1" x14ac:dyDescent="0.25">
      <c r="A7" s="11" t="s">
        <v>4</v>
      </c>
      <c r="B7" s="17">
        <f>B6+B3</f>
        <v>1110388.7600000016</v>
      </c>
      <c r="C7" s="13"/>
      <c r="D7" s="47"/>
      <c r="E7" s="72"/>
      <c r="H7" s="88"/>
      <c r="L7" s="11" t="s">
        <v>1443</v>
      </c>
      <c r="M7" s="88"/>
    </row>
    <row r="8" spans="1:19" s="11" customFormat="1" ht="15.95" customHeight="1" x14ac:dyDescent="0.25">
      <c r="A8" s="11" t="s">
        <v>3</v>
      </c>
      <c r="B8" s="17"/>
      <c r="C8" s="44" t="s">
        <v>628</v>
      </c>
      <c r="D8" s="114" t="s">
        <v>626</v>
      </c>
      <c r="E8" s="72"/>
      <c r="H8" s="88"/>
      <c r="L8" s="11" t="s">
        <v>1444</v>
      </c>
      <c r="M8" s="88"/>
    </row>
    <row r="9" spans="1:19" s="11" customFormat="1" ht="15.75" x14ac:dyDescent="0.25">
      <c r="A9" s="77" t="s">
        <v>2237</v>
      </c>
      <c r="B9" s="98">
        <v>-28923</v>
      </c>
      <c r="C9" s="31">
        <v>45504</v>
      </c>
      <c r="D9" s="28">
        <v>45506</v>
      </c>
      <c r="E9" s="71"/>
      <c r="F9" s="55"/>
      <c r="G9" s="55"/>
      <c r="L9" s="11" t="s">
        <v>1445</v>
      </c>
      <c r="M9" s="88"/>
    </row>
    <row r="10" spans="1:19" s="11" customFormat="1" ht="15.75" x14ac:dyDescent="0.25">
      <c r="A10" s="77" t="s">
        <v>2238</v>
      </c>
      <c r="B10" s="98">
        <v>-28923</v>
      </c>
      <c r="C10" s="31">
        <v>45504</v>
      </c>
      <c r="D10" s="28">
        <v>45506</v>
      </c>
      <c r="E10" s="71"/>
      <c r="F10" s="55"/>
      <c r="G10" s="55"/>
      <c r="L10" s="11" t="s">
        <v>1446</v>
      </c>
      <c r="M10" s="88"/>
    </row>
    <row r="11" spans="1:19" s="11" customFormat="1" ht="15.75" x14ac:dyDescent="0.25">
      <c r="A11" s="77" t="s">
        <v>2239</v>
      </c>
      <c r="B11" s="98">
        <v>-30280</v>
      </c>
      <c r="C11" s="31">
        <v>45504</v>
      </c>
      <c r="D11" s="28">
        <v>45506</v>
      </c>
      <c r="E11" s="71"/>
      <c r="F11" s="55"/>
      <c r="G11" s="55"/>
      <c r="L11" s="11" t="s">
        <v>1447</v>
      </c>
      <c r="M11" s="88"/>
    </row>
    <row r="12" spans="1:19" s="11" customFormat="1" ht="15.75" x14ac:dyDescent="0.25">
      <c r="A12" s="77" t="s">
        <v>2240</v>
      </c>
      <c r="B12" s="98">
        <v>-30570</v>
      </c>
      <c r="C12" s="31">
        <v>45504</v>
      </c>
      <c r="D12" s="28">
        <v>45506</v>
      </c>
      <c r="E12" s="71"/>
      <c r="F12" s="55"/>
      <c r="G12" s="55"/>
      <c r="L12" s="11" t="s">
        <v>1448</v>
      </c>
      <c r="M12" s="88"/>
    </row>
    <row r="13" spans="1:19" s="11" customFormat="1" ht="15.75" x14ac:dyDescent="0.25">
      <c r="A13" s="77" t="s">
        <v>2275</v>
      </c>
      <c r="B13" s="98">
        <v>-32377</v>
      </c>
      <c r="C13" s="31">
        <v>45504</v>
      </c>
      <c r="D13" s="28">
        <v>45506</v>
      </c>
      <c r="E13" s="71"/>
      <c r="F13" s="55"/>
      <c r="G13" s="55"/>
      <c r="L13" s="11" t="s">
        <v>1449</v>
      </c>
      <c r="M13" s="88"/>
    </row>
    <row r="14" spans="1:19" s="11" customFormat="1" ht="15.75" x14ac:dyDescent="0.25">
      <c r="A14" s="77" t="s">
        <v>2241</v>
      </c>
      <c r="B14" s="98">
        <v>-32878</v>
      </c>
      <c r="C14" s="31">
        <v>45504</v>
      </c>
      <c r="D14" s="28">
        <v>45506</v>
      </c>
      <c r="E14" s="71"/>
      <c r="F14" s="55"/>
      <c r="G14" s="55"/>
      <c r="L14" s="11" t="s">
        <v>1450</v>
      </c>
      <c r="M14" s="88"/>
    </row>
    <row r="15" spans="1:19" s="11" customFormat="1" ht="15.75" x14ac:dyDescent="0.25">
      <c r="A15" s="77" t="s">
        <v>2242</v>
      </c>
      <c r="B15" s="98">
        <v>-37256</v>
      </c>
      <c r="C15" s="31">
        <v>45485</v>
      </c>
      <c r="D15" s="28">
        <v>45506</v>
      </c>
      <c r="E15" s="71"/>
      <c r="F15" s="55"/>
      <c r="G15" s="55"/>
      <c r="L15" s="11" t="s">
        <v>1451</v>
      </c>
      <c r="M15" s="88"/>
    </row>
    <row r="16" spans="1:19" s="11" customFormat="1" ht="15.75" x14ac:dyDescent="0.25">
      <c r="A16" s="77" t="s">
        <v>2243</v>
      </c>
      <c r="B16" s="98">
        <v>-44799</v>
      </c>
      <c r="C16" s="31">
        <v>45504</v>
      </c>
      <c r="D16" s="28">
        <v>45506</v>
      </c>
      <c r="E16" s="71"/>
      <c r="F16" s="55"/>
      <c r="G16" s="55"/>
      <c r="L16" s="11" t="s">
        <v>1452</v>
      </c>
      <c r="M16" s="88"/>
    </row>
    <row r="17" spans="1:13" s="11" customFormat="1" ht="15.75" x14ac:dyDescent="0.25">
      <c r="A17" s="77" t="s">
        <v>2244</v>
      </c>
      <c r="B17" s="98">
        <v>-60559.65</v>
      </c>
      <c r="C17" s="31">
        <v>45504</v>
      </c>
      <c r="D17" s="28">
        <v>45505</v>
      </c>
      <c r="E17" s="71"/>
      <c r="F17" s="55"/>
      <c r="G17" s="55"/>
      <c r="L17" s="11" t="s">
        <v>1453</v>
      </c>
      <c r="M17" s="88"/>
    </row>
    <row r="18" spans="1:13" s="11" customFormat="1" ht="15.75" x14ac:dyDescent="0.25">
      <c r="A18" s="77" t="s">
        <v>2247</v>
      </c>
      <c r="B18" s="98">
        <v>-61159.5</v>
      </c>
      <c r="C18" s="31">
        <v>45504</v>
      </c>
      <c r="D18" s="28">
        <v>45505</v>
      </c>
      <c r="E18" s="71"/>
      <c r="F18" s="55"/>
      <c r="G18" s="55"/>
      <c r="L18" s="11" t="s">
        <v>1436</v>
      </c>
      <c r="M18" s="88"/>
    </row>
    <row r="19" spans="1:13" s="11" customFormat="1" ht="15.75" x14ac:dyDescent="0.25">
      <c r="A19" s="77" t="s">
        <v>2248</v>
      </c>
      <c r="B19" s="98">
        <v>-61756.25</v>
      </c>
      <c r="C19" s="31">
        <v>45504</v>
      </c>
      <c r="D19" s="28">
        <v>45505</v>
      </c>
      <c r="E19" s="71"/>
      <c r="F19" s="55"/>
      <c r="G19" s="55"/>
      <c r="L19" s="11" t="s">
        <v>1454</v>
      </c>
      <c r="M19" s="88"/>
    </row>
    <row r="20" spans="1:13" s="11" customFormat="1" ht="15.75" x14ac:dyDescent="0.25">
      <c r="A20" s="77" t="s">
        <v>2249</v>
      </c>
      <c r="B20" s="98">
        <v>-64065.75</v>
      </c>
      <c r="C20" s="31">
        <v>45504</v>
      </c>
      <c r="D20" s="28">
        <v>45505</v>
      </c>
      <c r="E20" s="71"/>
      <c r="F20" s="55"/>
      <c r="G20" s="55"/>
      <c r="L20" s="11" t="s">
        <v>1455</v>
      </c>
      <c r="M20" s="88"/>
    </row>
    <row r="21" spans="1:13" s="11" customFormat="1" ht="15.75" x14ac:dyDescent="0.25">
      <c r="A21" s="77" t="s">
        <v>2250</v>
      </c>
      <c r="B21" s="98">
        <v>-64191.3</v>
      </c>
      <c r="C21" s="31">
        <v>45504</v>
      </c>
      <c r="D21" s="28">
        <v>45505</v>
      </c>
      <c r="E21" s="71"/>
      <c r="F21" s="55"/>
      <c r="G21" s="55"/>
      <c r="L21" s="11" t="s">
        <v>1456</v>
      </c>
      <c r="M21" s="88"/>
    </row>
    <row r="22" spans="1:13" s="11" customFormat="1" ht="15.75" x14ac:dyDescent="0.25">
      <c r="A22" s="77" t="s">
        <v>2251</v>
      </c>
      <c r="B22" s="98">
        <v>-64809.75</v>
      </c>
      <c r="C22" s="31">
        <v>45504</v>
      </c>
      <c r="D22" s="28">
        <v>45505</v>
      </c>
      <c r="E22" s="71"/>
      <c r="F22" s="55"/>
      <c r="G22" s="55"/>
      <c r="L22" s="11" t="s">
        <v>1457</v>
      </c>
      <c r="M22" s="88"/>
    </row>
    <row r="23" spans="1:13" s="11" customFormat="1" ht="15.75" x14ac:dyDescent="0.25">
      <c r="A23" s="77" t="s">
        <v>2252</v>
      </c>
      <c r="B23" s="98">
        <v>-64809.75</v>
      </c>
      <c r="C23" s="31">
        <v>45504</v>
      </c>
      <c r="D23" s="28">
        <v>45505</v>
      </c>
      <c r="E23" s="71"/>
      <c r="F23" s="55"/>
      <c r="G23" s="55"/>
      <c r="L23" s="11" t="s">
        <v>1458</v>
      </c>
      <c r="M23" s="88"/>
    </row>
    <row r="24" spans="1:13" s="11" customFormat="1" ht="15.75" x14ac:dyDescent="0.25">
      <c r="A24" s="77" t="s">
        <v>2253</v>
      </c>
      <c r="B24" s="98">
        <v>-65800.2</v>
      </c>
      <c r="C24" s="31">
        <v>45504</v>
      </c>
      <c r="D24" s="28">
        <v>45505</v>
      </c>
      <c r="E24" s="71"/>
      <c r="F24" s="55"/>
      <c r="G24" s="55"/>
      <c r="L24" s="11" t="s">
        <v>1368</v>
      </c>
      <c r="M24" s="88"/>
    </row>
    <row r="25" spans="1:13" s="11" customFormat="1" ht="15.75" x14ac:dyDescent="0.25">
      <c r="A25" s="77" t="s">
        <v>2254</v>
      </c>
      <c r="B25" s="98">
        <v>-70109.2</v>
      </c>
      <c r="C25" s="31">
        <v>45504</v>
      </c>
      <c r="D25" s="28">
        <v>45505</v>
      </c>
      <c r="E25" s="71"/>
      <c r="F25" s="55"/>
      <c r="G25" s="55"/>
      <c r="L25" s="11" t="s">
        <v>1459</v>
      </c>
      <c r="M25" s="88"/>
    </row>
    <row r="26" spans="1:13" s="11" customFormat="1" ht="15.75" x14ac:dyDescent="0.25">
      <c r="D26" s="28"/>
      <c r="E26" s="71"/>
      <c r="F26" s="55"/>
      <c r="G26" s="55"/>
      <c r="L26" s="11" t="s">
        <v>1369</v>
      </c>
      <c r="M26" s="88"/>
    </row>
    <row r="27" spans="1:13" s="11" customFormat="1" ht="15.75" x14ac:dyDescent="0.25">
      <c r="A27" s="77"/>
      <c r="B27" s="98"/>
      <c r="C27" s="31"/>
      <c r="D27" s="28"/>
      <c r="E27" s="71"/>
      <c r="F27" s="55"/>
      <c r="G27" s="55"/>
      <c r="L27" s="11" t="s">
        <v>1460</v>
      </c>
      <c r="M27" s="88"/>
    </row>
    <row r="28" spans="1:13" s="11" customFormat="1" ht="15.75" x14ac:dyDescent="0.25">
      <c r="B28" s="25">
        <f>SUM(B9:B27)</f>
        <v>-843267.35</v>
      </c>
      <c r="C28" s="28"/>
      <c r="D28" s="28"/>
      <c r="E28" s="71"/>
      <c r="F28" s="55"/>
      <c r="G28" s="55"/>
    </row>
    <row r="29" spans="1:13" s="11" customFormat="1" ht="16.5" customHeight="1" x14ac:dyDescent="0.25">
      <c r="A29" s="11" t="s">
        <v>2</v>
      </c>
      <c r="B29" s="25"/>
      <c r="C29" s="30" t="s">
        <v>626</v>
      </c>
      <c r="D29" s="114" t="s">
        <v>628</v>
      </c>
      <c r="E29" s="71"/>
      <c r="F29" s="55"/>
      <c r="G29" s="55"/>
    </row>
    <row r="30" spans="1:13" s="11" customFormat="1" ht="16.5" customHeight="1" thickBot="1" x14ac:dyDescent="0.3">
      <c r="A30" s="11" t="s">
        <v>2184</v>
      </c>
      <c r="B30" s="119">
        <v>24821.3</v>
      </c>
      <c r="C30" s="95">
        <v>45429</v>
      </c>
      <c r="D30" s="100">
        <v>4150</v>
      </c>
      <c r="E30" s="71"/>
      <c r="F30" s="55"/>
      <c r="G30" s="55"/>
    </row>
    <row r="31" spans="1:13" s="11" customFormat="1" ht="16.5" customHeight="1" x14ac:dyDescent="0.25">
      <c r="A31" s="11" t="s">
        <v>2187</v>
      </c>
      <c r="B31" s="119">
        <v>24914.3</v>
      </c>
      <c r="C31" s="95">
        <v>45463</v>
      </c>
      <c r="D31" s="100">
        <v>4150</v>
      </c>
      <c r="E31" s="71"/>
      <c r="F31" s="55"/>
      <c r="G31" s="55"/>
      <c r="L31" s="129" t="s">
        <v>1457</v>
      </c>
      <c r="M31" s="88"/>
    </row>
    <row r="32" spans="1:13" s="11" customFormat="1" ht="16.5" customHeight="1" x14ac:dyDescent="0.25">
      <c r="A32" s="11" t="s">
        <v>2276</v>
      </c>
      <c r="B32" s="119">
        <v>25374.65</v>
      </c>
      <c r="C32" s="95">
        <v>45463</v>
      </c>
      <c r="D32" s="13">
        <v>45513</v>
      </c>
      <c r="E32" s="71"/>
      <c r="F32" s="55"/>
      <c r="G32" s="55"/>
      <c r="L32" s="130" t="s">
        <v>1368</v>
      </c>
      <c r="M32" s="88"/>
    </row>
    <row r="33" spans="1:13" s="11" customFormat="1" ht="16.5" customHeight="1" thickBot="1" x14ac:dyDescent="0.3">
      <c r="A33" s="11" t="s">
        <v>2189</v>
      </c>
      <c r="B33" s="119">
        <v>25374.65</v>
      </c>
      <c r="C33" s="95">
        <v>45463</v>
      </c>
      <c r="D33" s="100">
        <v>4150</v>
      </c>
      <c r="E33" s="71"/>
      <c r="F33" s="55"/>
      <c r="G33" s="55"/>
      <c r="L33" s="131" t="s">
        <v>1459</v>
      </c>
      <c r="M33" s="88"/>
    </row>
    <row r="34" spans="1:13" s="11" customFormat="1" ht="16.5" customHeight="1" x14ac:dyDescent="0.25">
      <c r="A34" s="11" t="s">
        <v>2190</v>
      </c>
      <c r="B34" s="119">
        <v>26954.45</v>
      </c>
      <c r="C34" s="95">
        <v>45463</v>
      </c>
      <c r="D34" s="100">
        <v>4150</v>
      </c>
      <c r="E34" s="71"/>
      <c r="F34" s="55"/>
      <c r="G34" s="55"/>
    </row>
    <row r="35" spans="1:13" s="11" customFormat="1" ht="16.5" customHeight="1" x14ac:dyDescent="0.25">
      <c r="A35" s="11" t="s">
        <v>2191</v>
      </c>
      <c r="B35" s="119">
        <v>26954.45</v>
      </c>
      <c r="C35" s="95">
        <v>45471</v>
      </c>
      <c r="D35" s="100">
        <v>4150</v>
      </c>
      <c r="E35" s="71"/>
      <c r="F35" s="55"/>
      <c r="G35" s="55"/>
    </row>
    <row r="36" spans="1:13" s="11" customFormat="1" ht="16.5" customHeight="1" x14ac:dyDescent="0.25">
      <c r="A36" s="11" t="s">
        <v>2185</v>
      </c>
      <c r="B36" s="119">
        <v>26954.45</v>
      </c>
      <c r="C36" s="95">
        <v>45425</v>
      </c>
      <c r="D36" s="100">
        <v>4150</v>
      </c>
      <c r="E36" s="71"/>
      <c r="F36" s="55"/>
      <c r="G36" s="55"/>
    </row>
    <row r="37" spans="1:13" s="11" customFormat="1" ht="16.5" customHeight="1" x14ac:dyDescent="0.25">
      <c r="A37" s="11" t="s">
        <v>2263</v>
      </c>
      <c r="B37" s="119">
        <v>28079.8</v>
      </c>
      <c r="C37" s="95">
        <v>45504</v>
      </c>
      <c r="D37" s="28">
        <v>45510</v>
      </c>
      <c r="E37" s="71"/>
      <c r="F37" s="55"/>
      <c r="G37" s="55"/>
    </row>
    <row r="38" spans="1:13" s="11" customFormat="1" ht="16.5" customHeight="1" x14ac:dyDescent="0.25">
      <c r="A38" s="11" t="s">
        <v>2277</v>
      </c>
      <c r="B38" s="119">
        <v>28540.15</v>
      </c>
      <c r="C38" s="95">
        <v>45504</v>
      </c>
      <c r="D38" s="13">
        <v>45516</v>
      </c>
      <c r="E38" s="71"/>
      <c r="F38" s="55"/>
      <c r="G38" s="55"/>
    </row>
    <row r="39" spans="1:13" s="11" customFormat="1" ht="16.5" customHeight="1" x14ac:dyDescent="0.25">
      <c r="A39" s="11" t="s">
        <v>2264</v>
      </c>
      <c r="B39" s="119">
        <v>28540.15</v>
      </c>
      <c r="C39" s="95">
        <v>45504</v>
      </c>
      <c r="D39" s="28">
        <v>45510</v>
      </c>
      <c r="E39" s="71"/>
      <c r="F39" s="55"/>
      <c r="G39" s="55"/>
    </row>
    <row r="40" spans="1:13" s="11" customFormat="1" ht="16.5" customHeight="1" x14ac:dyDescent="0.25">
      <c r="A40" s="11" t="s">
        <v>2278</v>
      </c>
      <c r="B40" s="119">
        <v>28540.15</v>
      </c>
      <c r="C40" s="95">
        <v>45504</v>
      </c>
      <c r="D40" s="13">
        <v>45516</v>
      </c>
      <c r="E40" s="71"/>
      <c r="F40" s="55"/>
      <c r="G40" s="55"/>
    </row>
    <row r="41" spans="1:13" s="11" customFormat="1" ht="16.5" customHeight="1" x14ac:dyDescent="0.25">
      <c r="A41" s="11" t="s">
        <v>2265</v>
      </c>
      <c r="B41" s="119">
        <v>28540.15</v>
      </c>
      <c r="C41" s="95">
        <v>45504</v>
      </c>
      <c r="D41" s="28">
        <v>45510</v>
      </c>
      <c r="E41" s="71"/>
      <c r="F41" s="55"/>
      <c r="G41" s="55"/>
    </row>
    <row r="42" spans="1:13" s="11" customFormat="1" ht="16.5" customHeight="1" x14ac:dyDescent="0.25">
      <c r="A42" s="11" t="s">
        <v>2266</v>
      </c>
      <c r="B42" s="119">
        <v>29005.15</v>
      </c>
      <c r="C42" s="95">
        <v>45504</v>
      </c>
      <c r="D42" s="28">
        <v>45510</v>
      </c>
      <c r="E42" s="71"/>
      <c r="F42" s="55"/>
      <c r="G42" s="55"/>
    </row>
    <row r="43" spans="1:13" s="11" customFormat="1" ht="16.5" customHeight="1" x14ac:dyDescent="0.25">
      <c r="A43" s="11" t="s">
        <v>2267</v>
      </c>
      <c r="B43" s="119">
        <v>29465.5</v>
      </c>
      <c r="C43" s="95">
        <v>45504</v>
      </c>
      <c r="D43" s="28">
        <v>45510</v>
      </c>
      <c r="E43" s="71"/>
      <c r="F43" s="55"/>
      <c r="G43" s="55"/>
    </row>
    <row r="44" spans="1:13" s="11" customFormat="1" ht="16.5" customHeight="1" x14ac:dyDescent="0.25">
      <c r="A44" s="11" t="s">
        <v>2279</v>
      </c>
      <c r="B44" s="119">
        <v>30674.5</v>
      </c>
      <c r="C44" s="95">
        <v>45504</v>
      </c>
      <c r="D44" s="13">
        <v>45516</v>
      </c>
      <c r="E44" s="71"/>
      <c r="F44" s="55"/>
      <c r="G44" s="55"/>
    </row>
    <row r="45" spans="1:13" s="11" customFormat="1" ht="16.5" customHeight="1" x14ac:dyDescent="0.25">
      <c r="A45" s="11" t="s">
        <v>2280</v>
      </c>
      <c r="B45" s="119">
        <v>34905.699999999997</v>
      </c>
      <c r="C45" s="95">
        <v>45504</v>
      </c>
      <c r="D45" s="13">
        <v>45516</v>
      </c>
      <c r="E45" s="71"/>
      <c r="F45" s="55"/>
      <c r="G45" s="55"/>
    </row>
    <row r="46" spans="1:13" s="11" customFormat="1" ht="16.5" customHeight="1" x14ac:dyDescent="0.25">
      <c r="A46" s="11" t="s">
        <v>2281</v>
      </c>
      <c r="B46" s="119">
        <v>34905.699999999997</v>
      </c>
      <c r="C46" s="95">
        <v>45504</v>
      </c>
      <c r="D46" s="13">
        <v>45516</v>
      </c>
      <c r="E46" s="71"/>
      <c r="F46" s="55"/>
      <c r="G46" s="55"/>
    </row>
    <row r="47" spans="1:13" s="11" customFormat="1" ht="16.5" customHeight="1" x14ac:dyDescent="0.25">
      <c r="A47" s="11" t="s">
        <v>2268</v>
      </c>
      <c r="B47" s="119">
        <v>39182.839999999997</v>
      </c>
      <c r="C47" s="95">
        <v>45502</v>
      </c>
      <c r="D47" s="28">
        <v>45518</v>
      </c>
      <c r="E47" s="71"/>
      <c r="F47" s="55"/>
      <c r="G47" s="55"/>
      <c r="M47" s="88"/>
    </row>
    <row r="48" spans="1:13" s="11" customFormat="1" ht="16.5" customHeight="1" x14ac:dyDescent="0.25">
      <c r="A48" s="11" t="s">
        <v>2186</v>
      </c>
      <c r="B48" s="119">
        <v>52483</v>
      </c>
      <c r="C48" s="95">
        <v>45419</v>
      </c>
      <c r="D48" s="100">
        <v>4300</v>
      </c>
      <c r="E48" s="71"/>
      <c r="F48" s="55"/>
      <c r="G48" s="55"/>
      <c r="M48" s="88"/>
    </row>
    <row r="49" spans="1:13" s="11" customFormat="1" ht="16.5" customHeight="1" x14ac:dyDescent="0.25">
      <c r="A49" s="11" t="s">
        <v>2282</v>
      </c>
      <c r="B49" s="119">
        <v>54833.95</v>
      </c>
      <c r="C49" s="95">
        <v>45502</v>
      </c>
      <c r="D49" s="13">
        <v>45513</v>
      </c>
      <c r="E49" s="71"/>
      <c r="F49" s="55"/>
      <c r="G49" s="55"/>
      <c r="M49" s="88"/>
    </row>
    <row r="50" spans="1:13" s="11" customFormat="1" ht="16.5" customHeight="1" x14ac:dyDescent="0.25">
      <c r="A50" s="11" t="s">
        <v>2245</v>
      </c>
      <c r="B50" s="119">
        <v>60830.9</v>
      </c>
      <c r="C50" s="95">
        <v>45504</v>
      </c>
      <c r="D50" s="100">
        <v>4150</v>
      </c>
      <c r="E50" s="71"/>
      <c r="F50" s="55"/>
      <c r="G50" s="55"/>
      <c r="M50" s="88"/>
    </row>
    <row r="51" spans="1:13" s="11" customFormat="1" ht="16.5" customHeight="1" x14ac:dyDescent="0.25">
      <c r="A51" s="11" t="s">
        <v>2246</v>
      </c>
      <c r="B51" s="119">
        <v>61020</v>
      </c>
      <c r="C51" s="95">
        <v>45504</v>
      </c>
      <c r="D51" s="100">
        <v>4150</v>
      </c>
      <c r="E51" s="71"/>
      <c r="F51" s="55"/>
      <c r="G51" s="55"/>
      <c r="M51" s="88"/>
    </row>
    <row r="52" spans="1:13" s="11" customFormat="1" ht="16.5" customHeight="1" x14ac:dyDescent="0.25">
      <c r="A52" s="11" t="s">
        <v>2255</v>
      </c>
      <c r="B52" s="119">
        <v>85366.85</v>
      </c>
      <c r="C52" s="95">
        <v>45492</v>
      </c>
      <c r="D52" s="100">
        <v>4300</v>
      </c>
      <c r="E52" s="71"/>
      <c r="F52" s="55"/>
      <c r="G52" s="55"/>
      <c r="M52" s="88"/>
    </row>
    <row r="53" spans="1:13" s="11" customFormat="1" ht="16.5" customHeight="1" x14ac:dyDescent="0.25">
      <c r="A53" s="11" t="s">
        <v>2256</v>
      </c>
      <c r="B53" s="119">
        <v>85366.85</v>
      </c>
      <c r="C53" s="95">
        <v>45492</v>
      </c>
      <c r="D53" s="100">
        <v>4300</v>
      </c>
      <c r="E53" s="71"/>
      <c r="F53" s="55"/>
      <c r="G53" s="55"/>
      <c r="M53" s="88"/>
    </row>
    <row r="54" spans="1:13" s="11" customFormat="1" ht="16.5" customHeight="1" x14ac:dyDescent="0.25">
      <c r="A54" s="11" t="s">
        <v>2257</v>
      </c>
      <c r="B54" s="119">
        <v>85366.85</v>
      </c>
      <c r="C54" s="95">
        <v>45492</v>
      </c>
      <c r="D54" s="100">
        <v>4300</v>
      </c>
      <c r="E54" s="71"/>
      <c r="F54" s="55"/>
      <c r="G54" s="55"/>
      <c r="M54" s="88"/>
    </row>
    <row r="55" spans="1:13" s="11" customFormat="1" ht="16.5" customHeight="1" x14ac:dyDescent="0.25">
      <c r="A55" s="11" t="s">
        <v>2258</v>
      </c>
      <c r="B55" s="119">
        <v>85366.85</v>
      </c>
      <c r="C55" s="95">
        <v>45492</v>
      </c>
      <c r="D55" s="100">
        <v>4300</v>
      </c>
      <c r="E55" s="71"/>
      <c r="F55" s="55"/>
      <c r="G55" s="55"/>
      <c r="M55" s="88"/>
    </row>
    <row r="56" spans="1:13" s="11" customFormat="1" ht="16.5" customHeight="1" x14ac:dyDescent="0.25">
      <c r="A56" s="11" t="s">
        <v>2259</v>
      </c>
      <c r="B56" s="119">
        <v>85366.85</v>
      </c>
      <c r="C56" s="95">
        <v>45499</v>
      </c>
      <c r="D56" s="100">
        <v>4300</v>
      </c>
      <c r="E56" s="71"/>
      <c r="F56" s="55"/>
      <c r="G56" s="55"/>
      <c r="M56" s="88"/>
    </row>
    <row r="57" spans="1:13" s="11" customFormat="1" ht="16.5" customHeight="1" x14ac:dyDescent="0.25">
      <c r="A57" s="11" t="s">
        <v>2269</v>
      </c>
      <c r="B57" s="119">
        <v>85366.85</v>
      </c>
      <c r="C57" s="95">
        <v>45499</v>
      </c>
      <c r="D57" s="28">
        <v>45505</v>
      </c>
      <c r="E57" s="71"/>
      <c r="F57" s="55"/>
      <c r="G57" s="55"/>
      <c r="M57" s="88"/>
    </row>
    <row r="58" spans="1:13" s="11" customFormat="1" ht="16.5" customHeight="1" x14ac:dyDescent="0.25">
      <c r="A58" s="11" t="s">
        <v>2260</v>
      </c>
      <c r="B58" s="119">
        <v>85506.35</v>
      </c>
      <c r="C58" s="95">
        <v>45499</v>
      </c>
      <c r="D58" s="100">
        <v>4300</v>
      </c>
      <c r="E58" s="71"/>
      <c r="F58" s="55"/>
      <c r="G58" s="55"/>
      <c r="M58" s="88"/>
    </row>
    <row r="59" spans="1:13" s="11" customFormat="1" ht="16.5" customHeight="1" x14ac:dyDescent="0.25">
      <c r="A59" s="11" t="s">
        <v>2261</v>
      </c>
      <c r="B59" s="119">
        <v>85924.85</v>
      </c>
      <c r="C59" s="95">
        <v>45499</v>
      </c>
      <c r="D59" s="100">
        <v>4300</v>
      </c>
      <c r="E59" s="71"/>
      <c r="F59" s="55"/>
      <c r="G59" s="55"/>
      <c r="M59" s="88"/>
    </row>
    <row r="60" spans="1:13" s="11" customFormat="1" ht="16.5" customHeight="1" x14ac:dyDescent="0.25">
      <c r="A60" s="11" t="s">
        <v>2270</v>
      </c>
      <c r="B60" s="119">
        <v>87138.34</v>
      </c>
      <c r="C60" s="95">
        <v>45503</v>
      </c>
      <c r="D60" s="28">
        <v>45511</v>
      </c>
      <c r="E60" s="71"/>
      <c r="F60" s="55"/>
      <c r="G60" s="55"/>
      <c r="M60" s="88"/>
    </row>
    <row r="61" spans="1:13" s="11" customFormat="1" ht="16.5" customHeight="1" x14ac:dyDescent="0.25">
      <c r="A61" s="11" t="s">
        <v>2271</v>
      </c>
      <c r="B61" s="119">
        <v>90360.79</v>
      </c>
      <c r="C61" s="95">
        <v>45503</v>
      </c>
      <c r="D61" s="28">
        <v>45511</v>
      </c>
      <c r="E61" s="71"/>
      <c r="F61" s="55"/>
      <c r="G61" s="55"/>
      <c r="M61" s="88"/>
    </row>
    <row r="62" spans="1:13" s="11" customFormat="1" ht="16.5" customHeight="1" x14ac:dyDescent="0.25">
      <c r="A62" s="11" t="s">
        <v>2272</v>
      </c>
      <c r="B62" s="119">
        <v>90918.79</v>
      </c>
      <c r="C62" s="95">
        <v>45504</v>
      </c>
      <c r="D62" s="28">
        <v>45511</v>
      </c>
      <c r="E62" s="71"/>
      <c r="F62" s="55"/>
      <c r="G62" s="55"/>
      <c r="M62" s="88"/>
    </row>
    <row r="63" spans="1:13" s="11" customFormat="1" ht="16.5" customHeight="1" x14ac:dyDescent="0.25">
      <c r="A63" s="263" t="s">
        <v>2273</v>
      </c>
      <c r="B63" s="264">
        <v>121925</v>
      </c>
      <c r="C63" s="265">
        <v>45482</v>
      </c>
      <c r="D63" s="266" t="s">
        <v>2283</v>
      </c>
      <c r="E63" s="267"/>
      <c r="F63" s="55"/>
      <c r="G63" s="55"/>
      <c r="M63" s="88"/>
    </row>
    <row r="64" spans="1:13" s="11" customFormat="1" ht="16.5" customHeight="1" x14ac:dyDescent="0.25">
      <c r="A64" s="263"/>
      <c r="B64" s="264"/>
      <c r="C64" s="265"/>
      <c r="D64" s="266"/>
      <c r="E64" s="267"/>
      <c r="F64" s="55"/>
      <c r="G64" s="55"/>
      <c r="M64" s="88"/>
    </row>
    <row r="65" spans="1:7" s="11" customFormat="1" ht="15.75" x14ac:dyDescent="0.25">
      <c r="A65" s="263" t="s">
        <v>2262</v>
      </c>
      <c r="B65" s="264">
        <v>128785</v>
      </c>
      <c r="C65" s="268">
        <v>45488</v>
      </c>
      <c r="D65" s="262" t="s">
        <v>2274</v>
      </c>
      <c r="E65" s="262"/>
      <c r="F65" s="55"/>
      <c r="G65" s="55"/>
    </row>
    <row r="66" spans="1:7" s="11" customFormat="1" ht="16.5" thickBot="1" x14ac:dyDescent="0.3">
      <c r="A66" s="263"/>
      <c r="B66" s="264"/>
      <c r="C66" s="268"/>
      <c r="D66" s="262"/>
      <c r="E66" s="262"/>
      <c r="F66" s="55"/>
      <c r="G66" s="55"/>
    </row>
    <row r="67" spans="1:7" s="11" customFormat="1" ht="15.75" x14ac:dyDescent="0.25">
      <c r="B67" s="25">
        <f>SUM(B30:B66)</f>
        <v>1953656.1100000006</v>
      </c>
      <c r="C67" s="254" t="s">
        <v>1457</v>
      </c>
      <c r="D67" s="255"/>
      <c r="E67" s="71"/>
      <c r="F67" s="55"/>
      <c r="G67" s="55"/>
    </row>
    <row r="68" spans="1:7" s="11" customFormat="1" ht="15.75" x14ac:dyDescent="0.25">
      <c r="A68" s="11" t="s">
        <v>1</v>
      </c>
      <c r="B68" s="17">
        <f>B67+B28</f>
        <v>1110388.7600000007</v>
      </c>
      <c r="C68" s="260" t="s">
        <v>1459</v>
      </c>
      <c r="D68" s="261"/>
      <c r="E68" s="71"/>
      <c r="F68" s="55"/>
      <c r="G68" s="55"/>
    </row>
    <row r="69" spans="1:7" s="11" customFormat="1" ht="16.5" thickBot="1" x14ac:dyDescent="0.3">
      <c r="A69" s="11" t="s">
        <v>0</v>
      </c>
      <c r="B69" s="17">
        <f>B68-B7</f>
        <v>0</v>
      </c>
      <c r="C69" s="256" t="s">
        <v>1460</v>
      </c>
      <c r="D69" s="257"/>
      <c r="E69" s="71"/>
      <c r="F69" s="55"/>
      <c r="G69" s="55"/>
    </row>
    <row r="70" spans="1:7" s="11" customFormat="1" ht="15.75" x14ac:dyDescent="0.25">
      <c r="E70" s="71"/>
      <c r="F70" s="55"/>
      <c r="G70" s="55"/>
    </row>
    <row r="71" spans="1:7" s="11" customFormat="1" ht="15.75" x14ac:dyDescent="0.25">
      <c r="E71" s="71"/>
      <c r="F71" s="55"/>
      <c r="G71" s="55"/>
    </row>
    <row r="72" spans="1:7" s="11" customFormat="1" ht="15.75" x14ac:dyDescent="0.25">
      <c r="E72" s="71"/>
      <c r="F72" s="55"/>
      <c r="G72" s="55"/>
    </row>
    <row r="73" spans="1:7" s="11" customFormat="1" ht="15.75" x14ac:dyDescent="0.25">
      <c r="E73" s="71"/>
      <c r="F73" s="55"/>
      <c r="G73" s="55"/>
    </row>
    <row r="74" spans="1:7" s="11" customFormat="1" ht="15.75" x14ac:dyDescent="0.25">
      <c r="E74" s="71"/>
      <c r="F74" s="55"/>
      <c r="G74" s="55"/>
    </row>
    <row r="75" spans="1:7" s="11" customFormat="1" ht="15.75" x14ac:dyDescent="0.25">
      <c r="E75" s="71"/>
      <c r="F75" s="55"/>
      <c r="G75" s="55"/>
    </row>
    <row r="76" spans="1:7" s="11" customFormat="1" ht="15.75" x14ac:dyDescent="0.25">
      <c r="E76" s="71"/>
      <c r="F76" s="55"/>
      <c r="G76" s="55"/>
    </row>
    <row r="77" spans="1:7" s="11" customFormat="1" ht="15.75" x14ac:dyDescent="0.25">
      <c r="E77" s="71"/>
      <c r="F77" s="55"/>
      <c r="G77" s="55"/>
    </row>
    <row r="78" spans="1:7" s="11" customFormat="1" ht="15.75" x14ac:dyDescent="0.25">
      <c r="E78" s="71"/>
      <c r="F78" s="55"/>
      <c r="G78" s="55"/>
    </row>
    <row r="79" spans="1:7" s="11" customFormat="1" ht="15.75" x14ac:dyDescent="0.25">
      <c r="E79" s="71"/>
      <c r="F79" s="55"/>
      <c r="G79" s="55"/>
    </row>
    <row r="80" spans="1:7" s="11" customFormat="1" ht="15.75" x14ac:dyDescent="0.25">
      <c r="E80" s="71"/>
      <c r="F80" s="55"/>
      <c r="G80" s="55"/>
    </row>
    <row r="81" spans="1:7" s="11" customFormat="1" ht="15.75" x14ac:dyDescent="0.25">
      <c r="E81" s="71"/>
      <c r="F81" s="55"/>
      <c r="G81" s="55"/>
    </row>
    <row r="82" spans="1:7" s="11" customFormat="1" ht="15.95" customHeight="1" x14ac:dyDescent="0.25">
      <c r="E82" s="72"/>
    </row>
    <row r="83" spans="1:7" s="11" customFormat="1" ht="15.95" customHeight="1" x14ac:dyDescent="0.25">
      <c r="E83" s="72"/>
    </row>
    <row r="84" spans="1:7" s="11" customFormat="1" ht="15.95" customHeight="1" x14ac:dyDescent="0.25">
      <c r="E84" s="72"/>
    </row>
    <row r="85" spans="1:7" s="11" customFormat="1" ht="15.95" customHeight="1" x14ac:dyDescent="0.25">
      <c r="E85" s="72"/>
    </row>
    <row r="86" spans="1:7" s="11" customFormat="1" ht="15.95" customHeight="1" x14ac:dyDescent="0.25">
      <c r="E86" s="72"/>
    </row>
    <row r="87" spans="1:7" s="11" customFormat="1" ht="15.95" customHeight="1" x14ac:dyDescent="0.25">
      <c r="B87" s="17"/>
      <c r="E87" s="72"/>
    </row>
    <row r="88" spans="1:7" s="11" customFormat="1" ht="15.95" customHeight="1" x14ac:dyDescent="0.25">
      <c r="A88" s="39"/>
      <c r="B88" s="93"/>
      <c r="C88" s="18"/>
      <c r="D88" s="18"/>
      <c r="E88" s="72"/>
    </row>
    <row r="89" spans="1:7" s="11" customFormat="1" ht="15.95" customHeight="1" x14ac:dyDescent="0.3">
      <c r="A89" s="1"/>
      <c r="B89" s="10"/>
      <c r="C89" s="13"/>
      <c r="D89" s="47"/>
      <c r="E89" s="72"/>
    </row>
    <row r="90" spans="1:7" s="11" customFormat="1" ht="15.95" customHeight="1" x14ac:dyDescent="0.3">
      <c r="A90" s="1"/>
      <c r="B90" s="10"/>
      <c r="C90" s="13"/>
      <c r="D90" s="47"/>
      <c r="E90" s="72"/>
    </row>
    <row r="91" spans="1:7" s="11" customFormat="1" ht="15.95" customHeight="1" x14ac:dyDescent="0.3">
      <c r="A91" s="1"/>
      <c r="B91" s="10"/>
      <c r="C91" s="13"/>
      <c r="D91" s="47"/>
      <c r="E91" s="72"/>
    </row>
    <row r="92" spans="1:7" s="11" customFormat="1" ht="15.95" customHeight="1" x14ac:dyDescent="0.25">
      <c r="E92" s="72"/>
    </row>
    <row r="93" spans="1:7" s="11" customFormat="1" ht="15.95" customHeight="1" x14ac:dyDescent="0.25">
      <c r="E93" s="72"/>
    </row>
    <row r="94" spans="1:7" s="11" customFormat="1" ht="15.95" customHeight="1" x14ac:dyDescent="0.25">
      <c r="E94" s="72"/>
    </row>
    <row r="95" spans="1:7" s="11" customFormat="1" ht="15.95" customHeight="1" x14ac:dyDescent="0.25">
      <c r="E95" s="72"/>
    </row>
    <row r="96" spans="1:7" s="11" customFormat="1" ht="15.95" customHeight="1" x14ac:dyDescent="0.25">
      <c r="E96" s="72"/>
    </row>
    <row r="97" spans="1:19" s="11" customFormat="1" ht="15.95" customHeight="1" x14ac:dyDescent="0.25">
      <c r="E97" s="72"/>
      <c r="H97" s="88"/>
    </row>
    <row r="98" spans="1:19" s="11" customFormat="1" ht="15.95" customHeight="1" x14ac:dyDescent="0.25">
      <c r="E98" s="72"/>
      <c r="H98" s="88"/>
    </row>
    <row r="99" spans="1:19" s="11" customFormat="1" ht="15.95" customHeight="1" x14ac:dyDescent="0.25">
      <c r="E99" s="72"/>
      <c r="G99" s="126"/>
      <c r="H99" s="88"/>
    </row>
    <row r="100" spans="1:19" s="11" customFormat="1" ht="15.95" customHeight="1" x14ac:dyDescent="0.25">
      <c r="E100" s="72"/>
      <c r="H100" s="88"/>
    </row>
    <row r="101" spans="1:19" s="11" customFormat="1" ht="20.100000000000001" customHeight="1" x14ac:dyDescent="0.25">
      <c r="E101" s="72"/>
      <c r="H101" s="88"/>
    </row>
    <row r="102" spans="1:19" s="11" customFormat="1" ht="20.100000000000001" customHeight="1" x14ac:dyDescent="0.25">
      <c r="E102" s="72"/>
      <c r="H102" s="88"/>
    </row>
    <row r="103" spans="1:19" s="11" customFormat="1" ht="20.100000000000001" customHeight="1" x14ac:dyDescent="0.25">
      <c r="E103" s="72"/>
      <c r="G103" s="126"/>
      <c r="H103" s="88"/>
    </row>
    <row r="104" spans="1:19" s="11" customFormat="1" ht="20.100000000000001" customHeight="1" x14ac:dyDescent="0.25">
      <c r="E104" s="72"/>
      <c r="H104" s="88"/>
    </row>
    <row r="105" spans="1:19" s="13" customFormat="1" ht="20.100000000000001" customHeight="1" x14ac:dyDescent="0.3">
      <c r="A105" s="1"/>
      <c r="B105" s="10"/>
      <c r="D105" s="47"/>
      <c r="E105" s="72"/>
      <c r="F105" s="11"/>
      <c r="H105" s="88"/>
      <c r="I105" s="11"/>
    </row>
    <row r="106" spans="1:19" s="13" customFormat="1" ht="20.100000000000001" customHeight="1" x14ac:dyDescent="0.3">
      <c r="A106" s="1"/>
      <c r="B106" s="10"/>
      <c r="D106" s="47"/>
      <c r="E106" s="72"/>
      <c r="F106" s="11"/>
      <c r="H106" s="88"/>
      <c r="I106" s="11"/>
    </row>
    <row r="107" spans="1:19" s="13" customFormat="1" ht="20.100000000000001" customHeight="1" x14ac:dyDescent="0.3">
      <c r="A107" s="1"/>
      <c r="B107" s="10"/>
      <c r="D107" s="47"/>
      <c r="E107" s="72"/>
      <c r="F107" s="11"/>
      <c r="H107" s="88"/>
      <c r="I107" s="11"/>
    </row>
    <row r="108" spans="1:19" s="90" customFormat="1" ht="20.100000000000001" customHeight="1" x14ac:dyDescent="0.3">
      <c r="A108" s="1"/>
      <c r="B108" s="10"/>
      <c r="C108" s="6"/>
      <c r="D108" s="116"/>
      <c r="E108" s="128"/>
      <c r="F108" s="1"/>
      <c r="G108" s="1"/>
      <c r="I108" s="1"/>
      <c r="J108" s="1"/>
      <c r="K108" s="1"/>
      <c r="M108" s="1"/>
      <c r="N108" s="1"/>
      <c r="O108" s="1"/>
      <c r="P108" s="1"/>
      <c r="Q108" s="1"/>
      <c r="R108" s="1"/>
      <c r="S108" s="1"/>
    </row>
    <row r="109" spans="1:19" s="90" customFormat="1" ht="20.100000000000001" customHeight="1" x14ac:dyDescent="0.3">
      <c r="A109" s="1"/>
      <c r="B109" s="10"/>
      <c r="C109" s="6"/>
      <c r="D109" s="116"/>
      <c r="E109" s="128"/>
      <c r="F109" s="1"/>
      <c r="G109" s="1"/>
      <c r="I109" s="1"/>
      <c r="J109" s="1"/>
      <c r="K109" s="1"/>
      <c r="M109" s="1"/>
      <c r="N109" s="1"/>
      <c r="O109" s="1"/>
      <c r="P109" s="1"/>
      <c r="Q109" s="1"/>
      <c r="R109" s="1"/>
      <c r="S109" s="1"/>
    </row>
    <row r="110" spans="1:19" s="90" customFormat="1" ht="20.100000000000001" customHeight="1" x14ac:dyDescent="0.3">
      <c r="A110" s="1"/>
      <c r="B110" s="10"/>
      <c r="C110" s="6"/>
      <c r="D110" s="116"/>
      <c r="E110" s="128"/>
      <c r="F110" s="1"/>
      <c r="G110" s="1"/>
      <c r="I110" s="1"/>
      <c r="J110" s="1"/>
      <c r="K110" s="1"/>
      <c r="M110" s="1"/>
      <c r="N110" s="1"/>
      <c r="O110" s="1"/>
      <c r="P110" s="1"/>
      <c r="Q110" s="1"/>
      <c r="R110" s="1"/>
      <c r="S110" s="1"/>
    </row>
    <row r="111" spans="1:19" s="90" customFormat="1" ht="20.100000000000001" customHeight="1" x14ac:dyDescent="0.3">
      <c r="A111" s="1"/>
      <c r="B111" s="10"/>
      <c r="C111" s="6"/>
      <c r="D111" s="116"/>
      <c r="E111" s="128"/>
      <c r="F111" s="1"/>
      <c r="G111" s="11"/>
      <c r="I111" s="1"/>
      <c r="J111" s="1"/>
      <c r="K111" s="1"/>
      <c r="M111" s="1"/>
      <c r="N111" s="1"/>
      <c r="O111" s="1"/>
      <c r="P111" s="1"/>
      <c r="Q111" s="1"/>
      <c r="R111" s="1"/>
      <c r="S111" s="1"/>
    </row>
  </sheetData>
  <mergeCells count="11">
    <mergeCell ref="C69:D69"/>
    <mergeCell ref="C67:D67"/>
    <mergeCell ref="C68:D68"/>
    <mergeCell ref="D65:E66"/>
    <mergeCell ref="A63:A64"/>
    <mergeCell ref="B63:B64"/>
    <mergeCell ref="C63:C64"/>
    <mergeCell ref="D63:E64"/>
    <mergeCell ref="A65:A66"/>
    <mergeCell ref="B65:B66"/>
    <mergeCell ref="C65:C66"/>
  </mergeCells>
  <pageMargins left="0.7" right="0.7" top="0.75" bottom="0.75" header="0.3" footer="0.3"/>
  <pageSetup scale="79" fitToHeight="0"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7D55D-A4BE-4F2E-B33B-526240F61456}">
  <sheetPr>
    <pageSetUpPr fitToPage="1"/>
  </sheetPr>
  <dimension ref="A1:S128"/>
  <sheetViews>
    <sheetView topLeftCell="A51" zoomScale="98" zoomScaleNormal="98" workbookViewId="0">
      <selection activeCell="A67" sqref="A67:XFD67"/>
    </sheetView>
  </sheetViews>
  <sheetFormatPr defaultRowHeight="18.75" x14ac:dyDescent="0.3"/>
  <cols>
    <col min="1" max="1" width="20.7109375" style="1" customWidth="1"/>
    <col min="2" max="2" width="16.85546875" style="10" customWidth="1"/>
    <col min="3" max="3" width="23.42578125" style="6" customWidth="1"/>
    <col min="4" max="4" width="25.140625" style="116" customWidth="1"/>
    <col min="5" max="5" width="9.7109375" style="141" customWidth="1"/>
    <col min="6" max="6" width="16.5703125" style="141" customWidth="1"/>
    <col min="7" max="7" width="35" style="1" bestFit="1" customWidth="1"/>
    <col min="8" max="8" width="5.5703125" style="90" bestFit="1" customWidth="1"/>
    <col min="9" max="11" width="9.140625" style="1"/>
    <col min="12" max="12" width="57.5703125" style="1" bestFit="1" customWidth="1"/>
    <col min="13" max="16384" width="9.140625" style="1"/>
  </cols>
  <sheetData>
    <row r="1" spans="1:19" s="11" customFormat="1" ht="20.100000000000001" customHeight="1" x14ac:dyDescent="0.25">
      <c r="A1" s="11" t="s">
        <v>1203</v>
      </c>
      <c r="B1" s="17"/>
      <c r="C1" s="13"/>
      <c r="D1" s="47"/>
      <c r="E1" s="141"/>
      <c r="H1" s="88"/>
    </row>
    <row r="2" spans="1:19" s="11" customFormat="1" ht="20.100000000000001" customHeight="1" x14ac:dyDescent="0.25">
      <c r="A2" s="14">
        <v>45535</v>
      </c>
      <c r="B2" s="17"/>
      <c r="C2" s="13"/>
      <c r="D2" s="47"/>
      <c r="E2" s="141"/>
      <c r="H2" s="88"/>
    </row>
    <row r="3" spans="1:19" s="11" customFormat="1" ht="20.100000000000001" customHeight="1" x14ac:dyDescent="0.25">
      <c r="A3" s="11" t="s">
        <v>311</v>
      </c>
      <c r="B3" s="17">
        <v>29432511.210000001</v>
      </c>
      <c r="C3" s="13"/>
      <c r="D3" s="47"/>
      <c r="E3" s="141"/>
      <c r="H3" s="88"/>
      <c r="L3" s="11" t="s">
        <v>1437</v>
      </c>
      <c r="M3" s="89"/>
    </row>
    <row r="4" spans="1:19" s="11" customFormat="1" ht="20.100000000000001" customHeight="1" x14ac:dyDescent="0.25">
      <c r="A4" s="11" t="s">
        <v>6</v>
      </c>
      <c r="B4" s="17"/>
      <c r="C4" s="13"/>
      <c r="D4" s="47"/>
      <c r="E4" s="141"/>
      <c r="H4" s="88"/>
      <c r="L4" s="11" t="s">
        <v>1438</v>
      </c>
      <c r="M4" s="89"/>
    </row>
    <row r="5" spans="1:19" s="11" customFormat="1" ht="20.100000000000001" customHeight="1" x14ac:dyDescent="0.25">
      <c r="A5" s="11">
        <v>2100</v>
      </c>
      <c r="B5" s="17">
        <v>-29187201.850000001</v>
      </c>
      <c r="C5" s="13"/>
      <c r="D5" s="47"/>
      <c r="E5" s="141"/>
      <c r="H5" s="88"/>
      <c r="L5" s="11" t="s">
        <v>1439</v>
      </c>
      <c r="M5" s="89"/>
    </row>
    <row r="6" spans="1:19" s="11" customFormat="1" ht="20.100000000000001" customHeight="1" x14ac:dyDescent="0.25">
      <c r="A6" s="11" t="s">
        <v>5</v>
      </c>
      <c r="B6" s="17">
        <f>SUM(B5)</f>
        <v>-29187201.850000001</v>
      </c>
      <c r="C6" s="13"/>
      <c r="D6" s="47"/>
      <c r="E6" s="141"/>
      <c r="H6" s="88"/>
      <c r="L6" s="11" t="s">
        <v>1440</v>
      </c>
      <c r="M6" s="89"/>
      <c r="O6" s="62"/>
      <c r="P6" s="62"/>
      <c r="Q6" s="62"/>
      <c r="R6" s="62"/>
      <c r="S6" s="62"/>
    </row>
    <row r="7" spans="1:19" s="11" customFormat="1" ht="20.100000000000001" customHeight="1" x14ac:dyDescent="0.25">
      <c r="A7" s="11" t="s">
        <v>4</v>
      </c>
      <c r="B7" s="17">
        <f>B6+B3</f>
        <v>245309.3599999994</v>
      </c>
      <c r="C7" s="13"/>
      <c r="D7" s="47"/>
      <c r="E7" s="141"/>
      <c r="H7" s="88"/>
      <c r="L7" s="11" t="s">
        <v>1441</v>
      </c>
      <c r="M7" s="88"/>
    </row>
    <row r="8" spans="1:19" s="11" customFormat="1" ht="15.95" customHeight="1" x14ac:dyDescent="0.25">
      <c r="A8" s="11" t="s">
        <v>3</v>
      </c>
      <c r="B8" s="17"/>
      <c r="C8" s="44" t="s">
        <v>628</v>
      </c>
      <c r="D8" s="114" t="s">
        <v>626</v>
      </c>
      <c r="E8" s="141"/>
      <c r="H8" s="88"/>
      <c r="L8" s="11" t="s">
        <v>1442</v>
      </c>
      <c r="M8" s="88"/>
    </row>
    <row r="9" spans="1:19" s="11" customFormat="1" ht="15.75" x14ac:dyDescent="0.25">
      <c r="A9" s="77" t="s">
        <v>2284</v>
      </c>
      <c r="B9" s="98">
        <v>-25600</v>
      </c>
      <c r="C9" s="31">
        <v>45534</v>
      </c>
      <c r="D9" s="28">
        <v>45538</v>
      </c>
      <c r="E9" s="141"/>
      <c r="F9" s="141"/>
      <c r="G9" s="55"/>
      <c r="L9" s="11" t="s">
        <v>1443</v>
      </c>
      <c r="M9" s="88"/>
    </row>
    <row r="10" spans="1:19" s="11" customFormat="1" ht="15.75" x14ac:dyDescent="0.25">
      <c r="A10" s="77" t="s">
        <v>2285</v>
      </c>
      <c r="B10" s="98">
        <v>-25973.15</v>
      </c>
      <c r="C10" s="31">
        <v>45533</v>
      </c>
      <c r="D10" s="28">
        <v>45540</v>
      </c>
      <c r="E10" s="141"/>
      <c r="F10" s="141"/>
      <c r="G10" s="55"/>
      <c r="L10" s="11" t="s">
        <v>1444</v>
      </c>
      <c r="M10" s="88"/>
    </row>
    <row r="11" spans="1:19" s="11" customFormat="1" ht="15.75" x14ac:dyDescent="0.25">
      <c r="A11" s="77" t="s">
        <v>2286</v>
      </c>
      <c r="B11" s="98">
        <v>-26433.5</v>
      </c>
      <c r="C11" s="31">
        <v>45533</v>
      </c>
      <c r="D11" s="28">
        <v>45540</v>
      </c>
      <c r="E11" s="141"/>
      <c r="F11" s="141"/>
      <c r="G11" s="55"/>
      <c r="L11" s="11" t="s">
        <v>1445</v>
      </c>
      <c r="M11" s="88"/>
    </row>
    <row r="12" spans="1:19" s="11" customFormat="1" ht="15.75" x14ac:dyDescent="0.25">
      <c r="A12" s="77" t="s">
        <v>2287</v>
      </c>
      <c r="B12" s="98">
        <v>-26433.5</v>
      </c>
      <c r="C12" s="31">
        <v>45533</v>
      </c>
      <c r="D12" s="28">
        <v>45540</v>
      </c>
      <c r="E12" s="141"/>
      <c r="F12" s="141"/>
      <c r="G12" s="55"/>
      <c r="L12" s="11" t="s">
        <v>1446</v>
      </c>
      <c r="M12" s="88"/>
    </row>
    <row r="13" spans="1:19" s="11" customFormat="1" ht="15.75" x14ac:dyDescent="0.25">
      <c r="A13" s="77" t="s">
        <v>2288</v>
      </c>
      <c r="B13" s="98">
        <v>-26433.5</v>
      </c>
      <c r="C13" s="31">
        <v>45533</v>
      </c>
      <c r="D13" s="28">
        <v>45540</v>
      </c>
      <c r="E13" s="141"/>
      <c r="F13" s="141"/>
      <c r="G13" s="55"/>
      <c r="L13" s="11" t="s">
        <v>1447</v>
      </c>
      <c r="M13" s="88"/>
    </row>
    <row r="14" spans="1:19" s="11" customFormat="1" ht="15.75" x14ac:dyDescent="0.25">
      <c r="A14" s="77" t="s">
        <v>2289</v>
      </c>
      <c r="B14" s="98">
        <v>-27067</v>
      </c>
      <c r="C14" s="31">
        <v>45533</v>
      </c>
      <c r="D14" s="28">
        <v>45538</v>
      </c>
      <c r="E14" s="141"/>
      <c r="F14" s="141"/>
      <c r="G14" s="55"/>
      <c r="L14" s="11" t="s">
        <v>1448</v>
      </c>
      <c r="M14" s="88"/>
    </row>
    <row r="15" spans="1:19" s="11" customFormat="1" ht="15.75" x14ac:dyDescent="0.25">
      <c r="A15" s="77" t="s">
        <v>2291</v>
      </c>
      <c r="B15" s="98">
        <v>-29061</v>
      </c>
      <c r="C15" s="31">
        <v>45534</v>
      </c>
      <c r="D15" s="28">
        <v>45538</v>
      </c>
      <c r="E15" s="141"/>
      <c r="F15" s="141"/>
      <c r="G15" s="55"/>
      <c r="L15" s="11" t="s">
        <v>1449</v>
      </c>
      <c r="M15" s="88"/>
    </row>
    <row r="16" spans="1:19" s="11" customFormat="1" ht="15.75" x14ac:dyDescent="0.25">
      <c r="A16" s="77" t="s">
        <v>2292</v>
      </c>
      <c r="B16" s="98">
        <v>-29061</v>
      </c>
      <c r="C16" s="31">
        <v>45533</v>
      </c>
      <c r="D16" s="28">
        <v>45538</v>
      </c>
      <c r="E16" s="141"/>
      <c r="F16" s="141"/>
      <c r="G16" s="55"/>
      <c r="L16" s="11" t="s">
        <v>1450</v>
      </c>
      <c r="M16" s="88"/>
    </row>
    <row r="17" spans="1:13" s="11" customFormat="1" ht="15.75" x14ac:dyDescent="0.25">
      <c r="A17" s="77" t="s">
        <v>2293</v>
      </c>
      <c r="B17" s="98">
        <v>-31678</v>
      </c>
      <c r="C17" s="31">
        <v>45533</v>
      </c>
      <c r="D17" s="28">
        <v>45538</v>
      </c>
      <c r="E17" s="141"/>
      <c r="F17" s="141"/>
      <c r="G17" s="55"/>
      <c r="L17" s="11" t="s">
        <v>1451</v>
      </c>
      <c r="M17" s="88"/>
    </row>
    <row r="18" spans="1:13" s="11" customFormat="1" ht="15.75" x14ac:dyDescent="0.25">
      <c r="A18" s="77" t="s">
        <v>2294</v>
      </c>
      <c r="B18" s="98">
        <v>-32050</v>
      </c>
      <c r="C18" s="31" t="s">
        <v>2352</v>
      </c>
      <c r="D18" s="28" t="s">
        <v>2346</v>
      </c>
      <c r="E18" s="141"/>
      <c r="F18" s="141"/>
      <c r="G18" s="55"/>
      <c r="L18" s="11" t="s">
        <v>1452</v>
      </c>
      <c r="M18" s="88"/>
    </row>
    <row r="19" spans="1:13" s="11" customFormat="1" ht="15.75" x14ac:dyDescent="0.25">
      <c r="A19" s="77" t="s">
        <v>2295</v>
      </c>
      <c r="B19" s="98">
        <v>-32076</v>
      </c>
      <c r="C19" s="31">
        <v>45534</v>
      </c>
      <c r="D19" s="28">
        <v>45538</v>
      </c>
      <c r="E19" s="141"/>
      <c r="F19" s="141"/>
      <c r="G19" s="55"/>
      <c r="L19" s="11" t="s">
        <v>1453</v>
      </c>
      <c r="M19" s="88"/>
    </row>
    <row r="20" spans="1:13" s="11" customFormat="1" ht="15.75" x14ac:dyDescent="0.25">
      <c r="A20" s="77" t="s">
        <v>2296</v>
      </c>
      <c r="B20" s="98">
        <v>-33375</v>
      </c>
      <c r="C20" s="31" t="s">
        <v>2352</v>
      </c>
      <c r="D20" s="28" t="s">
        <v>2347</v>
      </c>
      <c r="E20" s="141"/>
      <c r="F20" s="141"/>
      <c r="G20" s="55"/>
      <c r="L20" s="11" t="s">
        <v>1436</v>
      </c>
      <c r="M20" s="88"/>
    </row>
    <row r="21" spans="1:13" s="11" customFormat="1" ht="15.75" x14ac:dyDescent="0.25">
      <c r="A21" s="77" t="s">
        <v>2297</v>
      </c>
      <c r="B21" s="98">
        <v>-33375</v>
      </c>
      <c r="C21" s="31" t="s">
        <v>2352</v>
      </c>
      <c r="D21" s="28" t="s">
        <v>2348</v>
      </c>
      <c r="E21" s="141"/>
      <c r="F21" s="141"/>
      <c r="G21" s="55"/>
      <c r="L21" s="11" t="s">
        <v>1454</v>
      </c>
      <c r="M21" s="88"/>
    </row>
    <row r="22" spans="1:13" s="11" customFormat="1" ht="15.75" x14ac:dyDescent="0.25">
      <c r="A22" s="77" t="s">
        <v>2298</v>
      </c>
      <c r="B22" s="98">
        <v>-33406</v>
      </c>
      <c r="C22" s="31">
        <v>45534</v>
      </c>
      <c r="D22" s="28">
        <v>45538</v>
      </c>
      <c r="E22" s="141"/>
      <c r="F22" s="141"/>
      <c r="G22" s="55"/>
      <c r="L22" s="11" t="s">
        <v>1455</v>
      </c>
      <c r="M22" s="88"/>
    </row>
    <row r="23" spans="1:13" s="11" customFormat="1" ht="15.75" x14ac:dyDescent="0.25">
      <c r="A23" s="11" t="s">
        <v>2301</v>
      </c>
      <c r="B23" s="98">
        <v>-33515</v>
      </c>
      <c r="C23" s="31">
        <v>45533</v>
      </c>
      <c r="D23" s="28">
        <v>45538</v>
      </c>
      <c r="E23" s="141"/>
      <c r="F23" s="141"/>
      <c r="G23" s="55"/>
      <c r="L23" s="11" t="s">
        <v>1456</v>
      </c>
      <c r="M23" s="88"/>
    </row>
    <row r="24" spans="1:13" s="11" customFormat="1" ht="15.75" x14ac:dyDescent="0.25">
      <c r="A24" s="77" t="s">
        <v>2299</v>
      </c>
      <c r="B24" s="98">
        <v>-34342</v>
      </c>
      <c r="C24" s="31" t="s">
        <v>2352</v>
      </c>
      <c r="D24" s="28" t="s">
        <v>2347</v>
      </c>
      <c r="E24" s="141"/>
      <c r="F24" s="141"/>
      <c r="G24" s="55"/>
      <c r="L24" s="11" t="s">
        <v>1457</v>
      </c>
      <c r="M24" s="88"/>
    </row>
    <row r="25" spans="1:13" s="11" customFormat="1" ht="15.75" x14ac:dyDescent="0.25">
      <c r="A25" s="77" t="s">
        <v>2300</v>
      </c>
      <c r="B25" s="98">
        <v>-34342</v>
      </c>
      <c r="C25" s="31" t="s">
        <v>2352</v>
      </c>
      <c r="D25" s="28" t="s">
        <v>2347</v>
      </c>
      <c r="E25" s="141"/>
      <c r="F25" s="141"/>
      <c r="G25" s="55"/>
      <c r="L25" s="11" t="s">
        <v>1458</v>
      </c>
      <c r="M25" s="88"/>
    </row>
    <row r="26" spans="1:13" s="11" customFormat="1" ht="15.75" x14ac:dyDescent="0.25">
      <c r="A26" s="77" t="s">
        <v>2302</v>
      </c>
      <c r="B26" s="98">
        <v>-35620</v>
      </c>
      <c r="C26" s="31">
        <v>45533</v>
      </c>
      <c r="D26" s="28">
        <v>45538</v>
      </c>
      <c r="E26" s="141"/>
      <c r="F26" s="141"/>
      <c r="G26" s="55"/>
      <c r="L26" s="11" t="s">
        <v>1368</v>
      </c>
      <c r="M26" s="88"/>
    </row>
    <row r="27" spans="1:13" s="11" customFormat="1" ht="15.75" x14ac:dyDescent="0.25">
      <c r="A27" s="77" t="s">
        <v>2303</v>
      </c>
      <c r="B27" s="98">
        <v>-36093</v>
      </c>
      <c r="C27" s="31" t="s">
        <v>2352</v>
      </c>
      <c r="D27" s="28" t="s">
        <v>2346</v>
      </c>
      <c r="E27" s="141"/>
      <c r="F27" s="141"/>
      <c r="G27" s="55"/>
      <c r="L27" s="11" t="s">
        <v>1459</v>
      </c>
      <c r="M27" s="88"/>
    </row>
    <row r="28" spans="1:13" s="11" customFormat="1" ht="15.75" x14ac:dyDescent="0.25">
      <c r="A28" s="77" t="s">
        <v>2304</v>
      </c>
      <c r="B28" s="98">
        <v>-36954</v>
      </c>
      <c r="C28" s="31">
        <v>45533</v>
      </c>
      <c r="D28" s="28">
        <v>45538</v>
      </c>
      <c r="E28" s="141"/>
      <c r="F28" s="141"/>
      <c r="G28" s="55"/>
      <c r="L28" s="11" t="s">
        <v>1369</v>
      </c>
      <c r="M28" s="88"/>
    </row>
    <row r="29" spans="1:13" s="11" customFormat="1" ht="15.75" x14ac:dyDescent="0.25">
      <c r="A29" s="77" t="s">
        <v>2305</v>
      </c>
      <c r="B29" s="98">
        <v>-36954</v>
      </c>
      <c r="C29" s="31">
        <v>45533</v>
      </c>
      <c r="D29" s="28">
        <v>45538</v>
      </c>
      <c r="E29" s="141"/>
      <c r="F29" s="141"/>
      <c r="G29" s="55"/>
      <c r="L29" s="11" t="s">
        <v>1460</v>
      </c>
      <c r="M29" s="88"/>
    </row>
    <row r="30" spans="1:13" s="11" customFormat="1" ht="15.75" x14ac:dyDescent="0.25">
      <c r="A30" s="77" t="s">
        <v>2306</v>
      </c>
      <c r="B30" s="98">
        <v>-36954</v>
      </c>
      <c r="C30" s="31">
        <v>45534</v>
      </c>
      <c r="D30" s="28">
        <v>45538</v>
      </c>
      <c r="E30" s="141"/>
      <c r="F30" s="141"/>
      <c r="G30" s="55"/>
      <c r="M30" s="88"/>
    </row>
    <row r="31" spans="1:13" s="11" customFormat="1" ht="15.75" x14ac:dyDescent="0.25">
      <c r="A31" s="77" t="s">
        <v>2307</v>
      </c>
      <c r="B31" s="98">
        <v>-36954</v>
      </c>
      <c r="C31" s="31">
        <v>45533</v>
      </c>
      <c r="D31" s="28">
        <v>45538</v>
      </c>
      <c r="E31" s="141"/>
      <c r="F31" s="141"/>
      <c r="G31" s="55"/>
      <c r="M31" s="88"/>
    </row>
    <row r="32" spans="1:13" s="11" customFormat="1" ht="15.75" x14ac:dyDescent="0.25">
      <c r="A32" s="77" t="s">
        <v>2308</v>
      </c>
      <c r="B32" s="98">
        <v>-36954</v>
      </c>
      <c r="C32" s="31">
        <v>45534</v>
      </c>
      <c r="D32" s="28">
        <v>45538</v>
      </c>
      <c r="E32" s="141"/>
      <c r="F32" s="141"/>
      <c r="G32" s="55"/>
      <c r="M32" s="88"/>
    </row>
    <row r="33" spans="1:13" s="11" customFormat="1" ht="15.75" x14ac:dyDescent="0.25">
      <c r="A33" s="77" t="s">
        <v>2309</v>
      </c>
      <c r="B33" s="98">
        <v>-37182</v>
      </c>
      <c r="C33" s="31" t="s">
        <v>2352</v>
      </c>
      <c r="D33" s="28" t="s">
        <v>2348</v>
      </c>
      <c r="E33" s="141"/>
      <c r="F33" s="141"/>
      <c r="G33" s="55"/>
      <c r="M33" s="88"/>
    </row>
    <row r="34" spans="1:13" s="11" customFormat="1" ht="15.75" x14ac:dyDescent="0.25">
      <c r="A34" s="77" t="s">
        <v>2310</v>
      </c>
      <c r="B34" s="98">
        <v>-37329</v>
      </c>
      <c r="C34" s="31">
        <v>45533</v>
      </c>
      <c r="D34" s="28">
        <v>45538</v>
      </c>
      <c r="E34" s="141"/>
      <c r="F34" s="141"/>
      <c r="G34" s="55"/>
      <c r="M34" s="88"/>
    </row>
    <row r="35" spans="1:13" s="11" customFormat="1" ht="15.75" x14ac:dyDescent="0.25">
      <c r="A35" s="77" t="s">
        <v>2311</v>
      </c>
      <c r="B35" s="98">
        <v>-39402</v>
      </c>
      <c r="C35" s="31">
        <v>45534</v>
      </c>
      <c r="D35" s="28">
        <v>45538</v>
      </c>
      <c r="E35" s="141"/>
      <c r="F35" s="141"/>
      <c r="G35" s="55"/>
      <c r="M35" s="88"/>
    </row>
    <row r="36" spans="1:13" s="11" customFormat="1" ht="15.75" x14ac:dyDescent="0.25">
      <c r="A36" s="77" t="s">
        <v>2312</v>
      </c>
      <c r="B36" s="98">
        <v>-44083</v>
      </c>
      <c r="C36" s="31" t="s">
        <v>2352</v>
      </c>
      <c r="D36" s="28" t="s">
        <v>2347</v>
      </c>
      <c r="E36" s="141"/>
      <c r="F36" s="141"/>
      <c r="G36" s="55"/>
      <c r="M36" s="88"/>
    </row>
    <row r="37" spans="1:13" s="11" customFormat="1" ht="15.75" x14ac:dyDescent="0.25">
      <c r="A37" s="77" t="s">
        <v>2313</v>
      </c>
      <c r="B37" s="98">
        <v>-44799</v>
      </c>
      <c r="C37" s="31">
        <v>45534</v>
      </c>
      <c r="D37" s="28">
        <v>45538</v>
      </c>
      <c r="E37" s="141"/>
      <c r="F37" s="141"/>
      <c r="G37" s="55"/>
      <c r="M37" s="88"/>
    </row>
    <row r="38" spans="1:13" s="11" customFormat="1" ht="15.75" x14ac:dyDescent="0.25">
      <c r="A38" s="77" t="s">
        <v>2127</v>
      </c>
      <c r="B38" s="98">
        <v>-45886</v>
      </c>
      <c r="C38" s="31" t="s">
        <v>2352</v>
      </c>
      <c r="D38" s="28" t="s">
        <v>2347</v>
      </c>
      <c r="E38" s="141"/>
      <c r="F38" s="141"/>
      <c r="G38" s="55"/>
      <c r="M38" s="88"/>
    </row>
    <row r="39" spans="1:13" s="11" customFormat="1" ht="15.75" x14ac:dyDescent="0.25">
      <c r="A39" s="77" t="s">
        <v>2314</v>
      </c>
      <c r="B39" s="98">
        <v>-47751</v>
      </c>
      <c r="C39" s="31">
        <v>45513</v>
      </c>
      <c r="D39" s="28">
        <v>45544</v>
      </c>
      <c r="E39" s="141"/>
      <c r="F39" s="141"/>
      <c r="G39" s="55"/>
      <c r="M39" s="88"/>
    </row>
    <row r="40" spans="1:13" s="11" customFormat="1" ht="15.75" x14ac:dyDescent="0.25">
      <c r="A40" s="77" t="s">
        <v>2315</v>
      </c>
      <c r="B40" s="98">
        <v>-48439</v>
      </c>
      <c r="C40" s="31">
        <v>45534</v>
      </c>
      <c r="D40" s="28">
        <v>45538</v>
      </c>
      <c r="E40" s="141"/>
      <c r="F40" s="141"/>
      <c r="G40" s="55"/>
      <c r="M40" s="88"/>
    </row>
    <row r="41" spans="1:13" s="11" customFormat="1" ht="15.75" x14ac:dyDescent="0.25">
      <c r="A41" s="77" t="s">
        <v>2316</v>
      </c>
      <c r="B41" s="98">
        <v>-59694.75</v>
      </c>
      <c r="C41" s="31">
        <v>45535</v>
      </c>
      <c r="D41" s="28">
        <v>45538</v>
      </c>
      <c r="E41" s="141"/>
      <c r="F41" s="141"/>
      <c r="G41" s="55"/>
      <c r="M41" s="88"/>
    </row>
    <row r="42" spans="1:13" s="11" customFormat="1" ht="15.75" x14ac:dyDescent="0.25">
      <c r="A42" s="77" t="s">
        <v>2317</v>
      </c>
      <c r="B42" s="98">
        <v>-71284.100000000006</v>
      </c>
      <c r="C42" s="31">
        <v>45535</v>
      </c>
      <c r="D42" s="28">
        <v>45538</v>
      </c>
      <c r="E42" s="141"/>
      <c r="F42" s="141"/>
      <c r="G42" s="55"/>
      <c r="M42" s="88"/>
    </row>
    <row r="43" spans="1:13" s="11" customFormat="1" ht="15.75" x14ac:dyDescent="0.25">
      <c r="A43" s="77" t="s">
        <v>2349</v>
      </c>
      <c r="B43" s="98">
        <v>-72713.25</v>
      </c>
      <c r="C43" s="31">
        <v>45533</v>
      </c>
      <c r="D43" s="28">
        <v>45538</v>
      </c>
      <c r="E43" s="141"/>
      <c r="F43" s="141"/>
      <c r="G43" s="55"/>
      <c r="M43" s="88"/>
    </row>
    <row r="44" spans="1:13" s="11" customFormat="1" ht="15.75" x14ac:dyDescent="0.25">
      <c r="A44" s="77" t="s">
        <v>2318</v>
      </c>
      <c r="B44" s="98">
        <v>-74774.7</v>
      </c>
      <c r="C44" s="31">
        <v>45535</v>
      </c>
      <c r="D44" s="28">
        <v>45538</v>
      </c>
      <c r="E44" s="141"/>
      <c r="F44" s="141"/>
      <c r="G44" s="55"/>
      <c r="M44" s="88"/>
    </row>
    <row r="45" spans="1:13" s="11" customFormat="1" ht="15.75" x14ac:dyDescent="0.25">
      <c r="A45" s="77" t="s">
        <v>2319</v>
      </c>
      <c r="B45" s="98">
        <v>-74774.7</v>
      </c>
      <c r="C45" s="31">
        <v>45535</v>
      </c>
      <c r="D45" s="28">
        <v>45538</v>
      </c>
      <c r="E45" s="141"/>
      <c r="F45" s="141"/>
      <c r="G45" s="55"/>
      <c r="M45" s="88"/>
    </row>
    <row r="46" spans="1:13" s="11" customFormat="1" ht="15.75" x14ac:dyDescent="0.25">
      <c r="A46" s="77" t="s">
        <v>2320</v>
      </c>
      <c r="B46" s="98">
        <v>-86641.45</v>
      </c>
      <c r="C46" s="31">
        <v>45533</v>
      </c>
      <c r="D46" s="28">
        <v>45538</v>
      </c>
      <c r="E46" s="141"/>
      <c r="F46" s="141"/>
      <c r="G46" s="55"/>
      <c r="M46" s="88"/>
    </row>
    <row r="47" spans="1:13" s="11" customFormat="1" ht="15.75" x14ac:dyDescent="0.25">
      <c r="A47" s="278">
        <v>114360</v>
      </c>
      <c r="B47" s="280">
        <v>-124734.77</v>
      </c>
      <c r="C47" s="273" t="s">
        <v>2350</v>
      </c>
      <c r="D47" s="274"/>
      <c r="E47" s="141"/>
      <c r="F47" s="141"/>
      <c r="G47" s="55"/>
      <c r="M47" s="88"/>
    </row>
    <row r="48" spans="1:13" s="11" customFormat="1" ht="15.75" x14ac:dyDescent="0.25">
      <c r="A48" s="279"/>
      <c r="B48" s="281"/>
      <c r="C48" s="276"/>
      <c r="D48" s="277"/>
      <c r="E48" s="141"/>
      <c r="F48" s="141"/>
      <c r="G48" s="55"/>
      <c r="M48" s="88"/>
    </row>
    <row r="49" spans="1:13" s="11" customFormat="1" ht="15.75" x14ac:dyDescent="0.25">
      <c r="B49" s="25">
        <f>SUM(B9:B48)</f>
        <v>-1680193.3699999999</v>
      </c>
      <c r="C49" s="28"/>
      <c r="D49" s="28"/>
      <c r="E49" s="141"/>
      <c r="F49" s="141"/>
      <c r="G49" s="55"/>
    </row>
    <row r="50" spans="1:13" s="11" customFormat="1" ht="16.5" customHeight="1" x14ac:dyDescent="0.25">
      <c r="A50" s="11" t="s">
        <v>2</v>
      </c>
      <c r="B50" s="25"/>
      <c r="C50" s="30" t="s">
        <v>626</v>
      </c>
      <c r="D50" s="114" t="s">
        <v>628</v>
      </c>
      <c r="E50" s="141"/>
      <c r="F50" s="141"/>
      <c r="G50" s="55"/>
    </row>
    <row r="51" spans="1:13" s="11" customFormat="1" ht="16.5" customHeight="1" x14ac:dyDescent="0.25">
      <c r="A51" s="11" t="s">
        <v>2321</v>
      </c>
      <c r="B51" s="119">
        <v>25374.65</v>
      </c>
      <c r="C51" s="142">
        <v>45463</v>
      </c>
      <c r="D51" s="13">
        <v>45540</v>
      </c>
      <c r="E51" s="141"/>
      <c r="F51" s="141"/>
      <c r="G51" s="55"/>
    </row>
    <row r="52" spans="1:13" s="11" customFormat="1" ht="16.5" customHeight="1" x14ac:dyDescent="0.25">
      <c r="A52" s="11" t="s">
        <v>2322</v>
      </c>
      <c r="B52" s="119">
        <v>26954.45</v>
      </c>
      <c r="C52" s="143">
        <v>45471</v>
      </c>
      <c r="D52" s="13">
        <v>45540</v>
      </c>
      <c r="E52" s="141"/>
      <c r="F52" s="141"/>
      <c r="G52" s="55"/>
      <c r="M52" s="88"/>
    </row>
    <row r="53" spans="1:13" s="11" customFormat="1" ht="16.5" customHeight="1" x14ac:dyDescent="0.25">
      <c r="A53" s="11" t="s">
        <v>2290</v>
      </c>
      <c r="B53" s="119">
        <v>28907.5</v>
      </c>
      <c r="C53" s="143">
        <v>45530</v>
      </c>
      <c r="D53" s="92">
        <v>4200</v>
      </c>
      <c r="E53" s="141"/>
      <c r="F53" s="141"/>
      <c r="G53" s="55"/>
      <c r="M53" s="88"/>
    </row>
    <row r="54" spans="1:13" s="11" customFormat="1" ht="16.5" customHeight="1" x14ac:dyDescent="0.25">
      <c r="A54" s="11" t="s">
        <v>2323</v>
      </c>
      <c r="B54" s="119">
        <v>28907.5</v>
      </c>
      <c r="C54" s="143">
        <v>45527</v>
      </c>
      <c r="D54" s="13">
        <v>45540</v>
      </c>
      <c r="E54" s="141"/>
      <c r="F54" s="141"/>
      <c r="G54" s="55"/>
      <c r="M54" s="88"/>
    </row>
    <row r="55" spans="1:13" s="11" customFormat="1" ht="16.5" customHeight="1" x14ac:dyDescent="0.25">
      <c r="A55" s="11" t="s">
        <v>2324</v>
      </c>
      <c r="B55" s="119">
        <v>30476</v>
      </c>
      <c r="C55" s="143" t="s">
        <v>2346</v>
      </c>
      <c r="D55" s="13" t="s">
        <v>2352</v>
      </c>
      <c r="E55" s="141"/>
      <c r="F55" s="141"/>
      <c r="G55" s="55"/>
    </row>
    <row r="56" spans="1:13" s="11" customFormat="1" ht="16.5" customHeight="1" x14ac:dyDescent="0.25">
      <c r="A56" s="11" t="s">
        <v>2325</v>
      </c>
      <c r="B56" s="119">
        <v>31784</v>
      </c>
      <c r="C56" s="143" t="s">
        <v>2347</v>
      </c>
      <c r="D56" s="13" t="s">
        <v>2352</v>
      </c>
      <c r="E56" s="141"/>
      <c r="F56" s="141"/>
      <c r="G56" s="55"/>
    </row>
    <row r="57" spans="1:13" s="11" customFormat="1" ht="16.5" customHeight="1" x14ac:dyDescent="0.25">
      <c r="A57" s="11" t="s">
        <v>2326</v>
      </c>
      <c r="B57" s="119">
        <v>31784</v>
      </c>
      <c r="C57" s="143" t="s">
        <v>2347</v>
      </c>
      <c r="D57" s="13" t="s">
        <v>2352</v>
      </c>
      <c r="E57" s="141"/>
      <c r="F57" s="141"/>
      <c r="G57" s="55"/>
    </row>
    <row r="58" spans="1:13" s="11" customFormat="1" ht="16.5" customHeight="1" x14ac:dyDescent="0.25">
      <c r="A58" s="11" t="s">
        <v>2327</v>
      </c>
      <c r="B58" s="119">
        <v>32689</v>
      </c>
      <c r="C58" s="143" t="s">
        <v>2347</v>
      </c>
      <c r="D58" s="13" t="s">
        <v>2352</v>
      </c>
      <c r="E58" s="141"/>
      <c r="F58" s="141"/>
      <c r="G58" s="55"/>
    </row>
    <row r="59" spans="1:13" s="11" customFormat="1" ht="16.5" customHeight="1" x14ac:dyDescent="0.25">
      <c r="A59" s="11" t="s">
        <v>2328</v>
      </c>
      <c r="B59" s="119">
        <v>32689</v>
      </c>
      <c r="C59" s="143" t="s">
        <v>2347</v>
      </c>
      <c r="D59" s="13" t="s">
        <v>2352</v>
      </c>
      <c r="E59" s="141"/>
      <c r="F59" s="141"/>
      <c r="G59" s="55"/>
    </row>
    <row r="60" spans="1:13" s="11" customFormat="1" ht="16.5" customHeight="1" x14ac:dyDescent="0.25">
      <c r="A60" s="11" t="s">
        <v>2329</v>
      </c>
      <c r="B60" s="119">
        <v>34375</v>
      </c>
      <c r="C60" s="143" t="s">
        <v>2346</v>
      </c>
      <c r="D60" s="13" t="s">
        <v>2352</v>
      </c>
      <c r="E60" s="141"/>
      <c r="F60" s="141"/>
      <c r="G60" s="55"/>
    </row>
    <row r="61" spans="1:13" s="11" customFormat="1" ht="16.5" customHeight="1" x14ac:dyDescent="0.25">
      <c r="A61" s="11" t="s">
        <v>2330</v>
      </c>
      <c r="B61" s="119">
        <v>35373</v>
      </c>
      <c r="C61" s="143" t="s">
        <v>2347</v>
      </c>
      <c r="D61" s="13" t="s">
        <v>2352</v>
      </c>
      <c r="E61" s="141"/>
      <c r="F61" s="141"/>
      <c r="G61" s="55"/>
    </row>
    <row r="62" spans="1:13" s="11" customFormat="1" ht="16.5" customHeight="1" x14ac:dyDescent="0.25">
      <c r="A62" s="11" t="s">
        <v>2353</v>
      </c>
      <c r="B62" s="119">
        <v>38624.839999999997</v>
      </c>
      <c r="C62" s="143">
        <v>45518</v>
      </c>
      <c r="D62" s="13">
        <v>45546</v>
      </c>
      <c r="E62" s="141"/>
      <c r="F62" s="141"/>
      <c r="G62" s="55"/>
    </row>
    <row r="63" spans="1:13" s="11" customFormat="1" ht="16.5" customHeight="1" x14ac:dyDescent="0.25">
      <c r="A63" s="11" t="s">
        <v>2331</v>
      </c>
      <c r="B63" s="119">
        <v>38624.839999999997</v>
      </c>
      <c r="C63" s="143">
        <v>45531</v>
      </c>
      <c r="D63" s="13">
        <v>45542</v>
      </c>
      <c r="E63" s="141"/>
      <c r="F63" s="141"/>
      <c r="G63" s="55"/>
    </row>
    <row r="64" spans="1:13" s="11" customFormat="1" ht="16.5" customHeight="1" x14ac:dyDescent="0.25">
      <c r="A64" s="11" t="s">
        <v>2332</v>
      </c>
      <c r="B64" s="119">
        <v>41962</v>
      </c>
      <c r="C64" s="143" t="s">
        <v>2347</v>
      </c>
      <c r="D64" s="13" t="s">
        <v>2352</v>
      </c>
      <c r="E64" s="141"/>
      <c r="F64" s="141"/>
      <c r="G64" s="55"/>
    </row>
    <row r="65" spans="1:13" s="11" customFormat="1" ht="16.5" customHeight="1" x14ac:dyDescent="0.25">
      <c r="A65" s="11" t="s">
        <v>2333</v>
      </c>
      <c r="B65" s="119">
        <v>43669</v>
      </c>
      <c r="C65" s="143" t="s">
        <v>2351</v>
      </c>
      <c r="D65" s="13" t="s">
        <v>2352</v>
      </c>
      <c r="E65" s="141"/>
      <c r="F65" s="141"/>
      <c r="G65" s="55"/>
    </row>
    <row r="66" spans="1:13" s="11" customFormat="1" ht="16.5" customHeight="1" x14ac:dyDescent="0.25">
      <c r="A66" s="11" t="s">
        <v>2334</v>
      </c>
      <c r="B66" s="119">
        <v>49072.75</v>
      </c>
      <c r="C66" s="143">
        <v>45520</v>
      </c>
      <c r="D66" s="13">
        <v>45541</v>
      </c>
      <c r="E66" s="141"/>
      <c r="F66" s="141"/>
      <c r="G66" s="55"/>
    </row>
    <row r="67" spans="1:13" s="11" customFormat="1" ht="16.5" customHeight="1" x14ac:dyDescent="0.25">
      <c r="A67" s="11" t="s">
        <v>2186</v>
      </c>
      <c r="B67" s="119">
        <v>52483</v>
      </c>
      <c r="C67" s="143">
        <v>45419</v>
      </c>
      <c r="D67" s="92">
        <v>4300</v>
      </c>
      <c r="E67" s="141"/>
      <c r="F67" s="141"/>
      <c r="G67" s="55"/>
    </row>
    <row r="68" spans="1:13" s="11" customFormat="1" ht="16.5" customHeight="1" x14ac:dyDescent="0.25">
      <c r="A68" s="11" t="s">
        <v>2335</v>
      </c>
      <c r="B68" s="119">
        <v>57907</v>
      </c>
      <c r="C68" s="143">
        <v>45534</v>
      </c>
      <c r="D68" s="13">
        <v>45540</v>
      </c>
      <c r="E68" s="141"/>
      <c r="F68" s="141"/>
      <c r="G68" s="55"/>
      <c r="M68" s="88"/>
    </row>
    <row r="69" spans="1:13" s="11" customFormat="1" ht="16.5" customHeight="1" x14ac:dyDescent="0.25">
      <c r="A69" s="11" t="s">
        <v>2336</v>
      </c>
      <c r="B69" s="119">
        <v>61020</v>
      </c>
      <c r="C69" s="143">
        <v>45504</v>
      </c>
      <c r="D69" s="92">
        <v>4150</v>
      </c>
      <c r="E69" s="141"/>
      <c r="F69" s="141"/>
      <c r="G69" s="55"/>
      <c r="M69" s="88"/>
    </row>
    <row r="70" spans="1:13" s="11" customFormat="1" ht="16.5" customHeight="1" x14ac:dyDescent="0.25">
      <c r="A70" s="11" t="s">
        <v>2337</v>
      </c>
      <c r="B70" s="119">
        <v>67125.45</v>
      </c>
      <c r="C70" s="143">
        <v>45532</v>
      </c>
      <c r="D70" s="92">
        <v>4800</v>
      </c>
      <c r="E70" s="141"/>
      <c r="F70" s="141"/>
      <c r="G70" s="55"/>
      <c r="M70" s="88"/>
    </row>
    <row r="71" spans="1:13" s="11" customFormat="1" ht="16.5" customHeight="1" x14ac:dyDescent="0.25">
      <c r="A71" s="11" t="s">
        <v>2338</v>
      </c>
      <c r="B71" s="119">
        <v>85366.85</v>
      </c>
      <c r="C71" s="143">
        <v>45492</v>
      </c>
      <c r="D71" s="13">
        <v>45541</v>
      </c>
      <c r="E71" s="141"/>
      <c r="F71" s="141"/>
      <c r="G71" s="55"/>
      <c r="M71" s="88"/>
    </row>
    <row r="72" spans="1:13" s="11" customFormat="1" ht="16.5" customHeight="1" x14ac:dyDescent="0.25">
      <c r="A72" s="11" t="s">
        <v>2259</v>
      </c>
      <c r="B72" s="119">
        <v>85366.85</v>
      </c>
      <c r="C72" s="143">
        <v>45499</v>
      </c>
      <c r="D72" s="92">
        <v>4800</v>
      </c>
      <c r="E72" s="141"/>
      <c r="F72" s="141"/>
      <c r="G72" s="55"/>
      <c r="M72" s="88"/>
    </row>
    <row r="73" spans="1:13" s="11" customFormat="1" ht="16.5" customHeight="1" x14ac:dyDescent="0.25">
      <c r="A73" s="11" t="s">
        <v>2260</v>
      </c>
      <c r="B73" s="119">
        <v>85506.35</v>
      </c>
      <c r="C73" s="143">
        <v>45499</v>
      </c>
      <c r="D73" s="92">
        <v>4300</v>
      </c>
      <c r="E73" s="141"/>
      <c r="F73" s="141"/>
      <c r="G73" s="55"/>
      <c r="M73" s="88"/>
    </row>
    <row r="74" spans="1:13" s="11" customFormat="1" ht="16.5" customHeight="1" x14ac:dyDescent="0.25">
      <c r="A74" s="11" t="s">
        <v>2345</v>
      </c>
      <c r="B74" s="119">
        <v>86181.1</v>
      </c>
      <c r="C74" s="143">
        <v>45524</v>
      </c>
      <c r="D74" s="92">
        <v>4800</v>
      </c>
      <c r="E74" s="141"/>
      <c r="F74" s="141"/>
      <c r="G74" s="55"/>
      <c r="M74" s="88"/>
    </row>
    <row r="75" spans="1:13" s="11" customFormat="1" ht="16.5" customHeight="1" x14ac:dyDescent="0.25">
      <c r="A75" s="11" t="s">
        <v>2339</v>
      </c>
      <c r="B75" s="119">
        <v>88628</v>
      </c>
      <c r="C75" s="143">
        <v>45523</v>
      </c>
      <c r="D75" s="13">
        <v>45539</v>
      </c>
      <c r="E75" s="141"/>
      <c r="F75" s="141"/>
      <c r="G75" s="55"/>
      <c r="M75" s="88"/>
    </row>
    <row r="76" spans="1:13" s="11" customFormat="1" ht="16.5" customHeight="1" x14ac:dyDescent="0.25">
      <c r="A76" s="11" t="s">
        <v>2340</v>
      </c>
      <c r="B76" s="119">
        <v>88628</v>
      </c>
      <c r="C76" s="143">
        <v>45523</v>
      </c>
      <c r="D76" s="13">
        <v>45540</v>
      </c>
      <c r="E76" s="141"/>
      <c r="F76" s="141"/>
      <c r="G76" s="55"/>
      <c r="M76" s="88"/>
    </row>
    <row r="77" spans="1:13" s="11" customFormat="1" ht="16.5" customHeight="1" x14ac:dyDescent="0.25">
      <c r="A77" s="11" t="s">
        <v>2341</v>
      </c>
      <c r="B77" s="119">
        <v>91188.65</v>
      </c>
      <c r="C77" s="143">
        <v>45524</v>
      </c>
      <c r="D77" s="13">
        <v>45539</v>
      </c>
      <c r="E77" s="141"/>
      <c r="F77" s="141"/>
      <c r="G77" s="55"/>
      <c r="M77" s="88"/>
    </row>
    <row r="78" spans="1:13" s="11" customFormat="1" ht="16.5" customHeight="1" x14ac:dyDescent="0.25">
      <c r="A78" s="11" t="s">
        <v>2342</v>
      </c>
      <c r="B78" s="119">
        <v>91188.65</v>
      </c>
      <c r="C78" s="143">
        <v>45526</v>
      </c>
      <c r="D78" s="13">
        <v>45544</v>
      </c>
      <c r="E78" s="141"/>
      <c r="F78" s="141"/>
      <c r="G78" s="55"/>
      <c r="M78" s="88"/>
    </row>
    <row r="79" spans="1:13" s="11" customFormat="1" ht="16.5" customHeight="1" x14ac:dyDescent="0.25">
      <c r="A79" s="11" t="s">
        <v>2343</v>
      </c>
      <c r="B79" s="119">
        <v>91188.65</v>
      </c>
      <c r="C79" s="143">
        <v>45527</v>
      </c>
      <c r="D79" s="13">
        <v>45544</v>
      </c>
      <c r="E79" s="141"/>
      <c r="F79" s="141"/>
      <c r="G79" s="55"/>
      <c r="M79" s="88"/>
    </row>
    <row r="80" spans="1:13" s="11" customFormat="1" ht="16.5" customHeight="1" x14ac:dyDescent="0.25">
      <c r="A80" s="11" t="s">
        <v>2344</v>
      </c>
      <c r="B80" s="119">
        <v>91746.65</v>
      </c>
      <c r="C80" s="143">
        <v>45534</v>
      </c>
      <c r="D80" s="13">
        <v>45541</v>
      </c>
      <c r="E80" s="141"/>
      <c r="F80" s="141"/>
      <c r="G80" s="55"/>
      <c r="M80" s="88"/>
    </row>
    <row r="81" spans="1:13" s="11" customFormat="1" ht="16.5" customHeight="1" x14ac:dyDescent="0.25">
      <c r="A81" s="11" t="s">
        <v>2273</v>
      </c>
      <c r="B81" s="119">
        <v>121925</v>
      </c>
      <c r="C81" s="143">
        <v>45482</v>
      </c>
      <c r="D81" s="13" t="s">
        <v>2354</v>
      </c>
      <c r="E81" s="141"/>
      <c r="F81" s="141"/>
      <c r="G81" s="55"/>
      <c r="M81" s="88"/>
    </row>
    <row r="82" spans="1:13" s="11" customFormat="1" ht="16.5" customHeight="1" x14ac:dyDescent="0.25">
      <c r="A82" s="269" t="s">
        <v>2262</v>
      </c>
      <c r="B82" s="271">
        <v>128785</v>
      </c>
      <c r="C82" s="273" t="s">
        <v>2350</v>
      </c>
      <c r="D82" s="274"/>
      <c r="E82" s="141"/>
      <c r="F82" s="141"/>
      <c r="G82" s="55"/>
      <c r="M82" s="88"/>
    </row>
    <row r="83" spans="1:13" s="11" customFormat="1" ht="16.5" customHeight="1" thickBot="1" x14ac:dyDescent="0.3">
      <c r="A83" s="270"/>
      <c r="B83" s="272"/>
      <c r="C83" s="220"/>
      <c r="D83" s="275"/>
      <c r="E83" s="141"/>
      <c r="F83" s="141"/>
      <c r="G83" s="55"/>
      <c r="M83" s="88"/>
    </row>
    <row r="84" spans="1:13" s="11" customFormat="1" ht="15.75" x14ac:dyDescent="0.25">
      <c r="B84" s="25">
        <f>SUM(B51:B83)</f>
        <v>1925502.7299999995</v>
      </c>
      <c r="C84" s="246" t="s">
        <v>1457</v>
      </c>
      <c r="D84" s="247"/>
      <c r="E84" s="141"/>
      <c r="F84" s="141"/>
      <c r="G84" s="55"/>
    </row>
    <row r="85" spans="1:13" s="11" customFormat="1" ht="15.75" x14ac:dyDescent="0.25">
      <c r="A85" s="11" t="s">
        <v>1</v>
      </c>
      <c r="B85" s="17">
        <f>B84+B49</f>
        <v>245309.35999999964</v>
      </c>
      <c r="C85" s="248" t="s">
        <v>1368</v>
      </c>
      <c r="D85" s="249"/>
      <c r="E85" s="141"/>
      <c r="F85" s="141"/>
      <c r="G85" s="55"/>
    </row>
    <row r="86" spans="1:13" s="11" customFormat="1" ht="15.75" x14ac:dyDescent="0.25">
      <c r="A86" s="11" t="s">
        <v>0</v>
      </c>
      <c r="B86" s="17">
        <f>B85-B7</f>
        <v>2.3283064365386963E-10</v>
      </c>
      <c r="C86" s="248" t="s">
        <v>1459</v>
      </c>
      <c r="D86" s="249"/>
      <c r="E86" s="141"/>
      <c r="F86" s="141"/>
      <c r="G86" s="55"/>
    </row>
    <row r="87" spans="1:13" s="11" customFormat="1" ht="16.5" thickBot="1" x14ac:dyDescent="0.3">
      <c r="C87" s="250" t="s">
        <v>1369</v>
      </c>
      <c r="D87" s="251"/>
      <c r="E87" s="141"/>
      <c r="F87" s="141"/>
      <c r="G87" s="55"/>
    </row>
    <row r="88" spans="1:13" s="11" customFormat="1" ht="15.75" x14ac:dyDescent="0.25">
      <c r="E88" s="141"/>
      <c r="F88" s="141"/>
      <c r="G88" s="55"/>
    </row>
    <row r="89" spans="1:13" s="11" customFormat="1" ht="15.75" x14ac:dyDescent="0.25">
      <c r="E89" s="141"/>
      <c r="F89" s="141"/>
      <c r="G89" s="55"/>
    </row>
    <row r="90" spans="1:13" s="11" customFormat="1" ht="15.75" x14ac:dyDescent="0.25">
      <c r="E90" s="141"/>
      <c r="F90" s="141"/>
      <c r="G90" s="55"/>
    </row>
    <row r="91" spans="1:13" s="11" customFormat="1" ht="15.75" x14ac:dyDescent="0.25">
      <c r="E91" s="141"/>
      <c r="F91" s="141"/>
      <c r="G91" s="55"/>
    </row>
    <row r="92" spans="1:13" s="11" customFormat="1" ht="15.75" x14ac:dyDescent="0.25">
      <c r="E92" s="141"/>
      <c r="F92" s="141"/>
      <c r="G92" s="55"/>
    </row>
    <row r="93" spans="1:13" s="11" customFormat="1" ht="15.75" x14ac:dyDescent="0.25">
      <c r="E93" s="141"/>
      <c r="F93" s="141"/>
      <c r="G93" s="55"/>
    </row>
    <row r="94" spans="1:13" s="11" customFormat="1" ht="15.75" x14ac:dyDescent="0.25">
      <c r="E94" s="141"/>
      <c r="F94" s="141"/>
      <c r="G94" s="55"/>
    </row>
    <row r="95" spans="1:13" s="11" customFormat="1" ht="15.75" x14ac:dyDescent="0.25">
      <c r="E95" s="141"/>
      <c r="F95" s="141"/>
      <c r="G95" s="55"/>
    </row>
    <row r="96" spans="1:13" s="11" customFormat="1" ht="15.75" x14ac:dyDescent="0.25">
      <c r="E96" s="141"/>
      <c r="F96" s="141"/>
      <c r="G96" s="55"/>
    </row>
    <row r="97" spans="1:7" s="11" customFormat="1" ht="15.75" x14ac:dyDescent="0.25">
      <c r="E97" s="141"/>
      <c r="F97" s="141"/>
      <c r="G97" s="55"/>
    </row>
    <row r="98" spans="1:7" s="11" customFormat="1" ht="15.75" x14ac:dyDescent="0.25">
      <c r="E98" s="141"/>
      <c r="F98" s="141"/>
      <c r="G98" s="55"/>
    </row>
    <row r="99" spans="1:7" s="11" customFormat="1" ht="15.95" customHeight="1" x14ac:dyDescent="0.25">
      <c r="E99" s="141"/>
      <c r="F99" s="141"/>
    </row>
    <row r="100" spans="1:7" s="11" customFormat="1" ht="15.95" customHeight="1" x14ac:dyDescent="0.25">
      <c r="E100" s="141"/>
      <c r="F100" s="141"/>
    </row>
    <row r="101" spans="1:7" s="11" customFormat="1" ht="15.95" customHeight="1" x14ac:dyDescent="0.25">
      <c r="E101" s="141"/>
      <c r="F101" s="141"/>
    </row>
    <row r="102" spans="1:7" s="11" customFormat="1" ht="15.95" customHeight="1" x14ac:dyDescent="0.25">
      <c r="E102" s="141"/>
      <c r="F102" s="141"/>
    </row>
    <row r="103" spans="1:7" s="11" customFormat="1" ht="15.95" customHeight="1" x14ac:dyDescent="0.25">
      <c r="E103" s="141"/>
      <c r="F103" s="141"/>
    </row>
    <row r="104" spans="1:7" s="11" customFormat="1" ht="15.95" customHeight="1" x14ac:dyDescent="0.25">
      <c r="B104" s="17"/>
      <c r="E104" s="141"/>
      <c r="F104" s="141"/>
    </row>
    <row r="105" spans="1:7" s="11" customFormat="1" ht="15.95" customHeight="1" x14ac:dyDescent="0.25">
      <c r="A105" s="39"/>
      <c r="B105" s="93"/>
      <c r="C105" s="18"/>
      <c r="D105" s="18"/>
      <c r="E105" s="141"/>
      <c r="F105" s="141"/>
    </row>
    <row r="106" spans="1:7" s="11" customFormat="1" ht="15.95" customHeight="1" x14ac:dyDescent="0.3">
      <c r="A106" s="1"/>
      <c r="B106" s="10"/>
      <c r="C106" s="13"/>
      <c r="D106" s="47"/>
      <c r="E106" s="141"/>
      <c r="F106" s="141"/>
    </row>
    <row r="107" spans="1:7" s="11" customFormat="1" ht="15.95" customHeight="1" x14ac:dyDescent="0.3">
      <c r="A107" s="1"/>
      <c r="B107" s="10"/>
      <c r="C107" s="13"/>
      <c r="D107" s="47"/>
      <c r="E107" s="141"/>
      <c r="F107" s="141"/>
    </row>
    <row r="108" spans="1:7" s="11" customFormat="1" ht="15.95" customHeight="1" x14ac:dyDescent="0.3">
      <c r="A108" s="1"/>
      <c r="B108" s="10"/>
      <c r="C108" s="13"/>
      <c r="D108" s="47"/>
      <c r="E108" s="141"/>
      <c r="F108" s="141"/>
    </row>
    <row r="109" spans="1:7" s="11" customFormat="1" ht="15.95" customHeight="1" x14ac:dyDescent="0.25">
      <c r="E109" s="141"/>
      <c r="F109" s="141"/>
    </row>
    <row r="110" spans="1:7" s="11" customFormat="1" ht="15.95" customHeight="1" x14ac:dyDescent="0.25">
      <c r="E110" s="141"/>
      <c r="F110" s="141"/>
    </row>
    <row r="111" spans="1:7" s="11" customFormat="1" ht="15.95" customHeight="1" x14ac:dyDescent="0.25">
      <c r="E111" s="141"/>
      <c r="F111" s="141"/>
    </row>
    <row r="112" spans="1:7" s="11" customFormat="1" ht="15.95" customHeight="1" x14ac:dyDescent="0.25">
      <c r="E112" s="141"/>
      <c r="F112" s="141"/>
    </row>
    <row r="113" spans="1:19" s="11" customFormat="1" ht="15.95" customHeight="1" x14ac:dyDescent="0.25">
      <c r="E113" s="141"/>
      <c r="F113" s="141"/>
    </row>
    <row r="114" spans="1:19" s="11" customFormat="1" ht="15.95" customHeight="1" x14ac:dyDescent="0.25">
      <c r="E114" s="141"/>
      <c r="F114" s="141"/>
      <c r="H114" s="88"/>
    </row>
    <row r="115" spans="1:19" s="11" customFormat="1" ht="15.95" customHeight="1" x14ac:dyDescent="0.25">
      <c r="E115" s="141"/>
      <c r="F115" s="141"/>
      <c r="H115" s="88"/>
    </row>
    <row r="116" spans="1:19" s="11" customFormat="1" ht="15.95" customHeight="1" x14ac:dyDescent="0.25">
      <c r="E116" s="141"/>
      <c r="F116" s="141"/>
      <c r="G116" s="126"/>
      <c r="H116" s="88"/>
    </row>
    <row r="117" spans="1:19" s="11" customFormat="1" ht="15.95" customHeight="1" x14ac:dyDescent="0.25">
      <c r="E117" s="141"/>
      <c r="F117" s="141"/>
      <c r="H117" s="88"/>
    </row>
    <row r="118" spans="1:19" s="11" customFormat="1" ht="20.100000000000001" customHeight="1" x14ac:dyDescent="0.25">
      <c r="E118" s="141"/>
      <c r="F118" s="141"/>
      <c r="H118" s="88"/>
    </row>
    <row r="119" spans="1:19" s="11" customFormat="1" ht="20.100000000000001" customHeight="1" x14ac:dyDescent="0.25">
      <c r="E119" s="141"/>
      <c r="F119" s="141"/>
      <c r="H119" s="88"/>
    </row>
    <row r="120" spans="1:19" s="11" customFormat="1" ht="20.100000000000001" customHeight="1" x14ac:dyDescent="0.25">
      <c r="E120" s="141"/>
      <c r="F120" s="141"/>
      <c r="G120" s="126"/>
      <c r="H120" s="88"/>
    </row>
    <row r="121" spans="1:19" s="11" customFormat="1" ht="20.100000000000001" customHeight="1" x14ac:dyDescent="0.25">
      <c r="E121" s="141"/>
      <c r="F121" s="141"/>
      <c r="H121" s="88"/>
    </row>
    <row r="122" spans="1:19" s="13" customFormat="1" ht="20.100000000000001" customHeight="1" x14ac:dyDescent="0.3">
      <c r="A122" s="1"/>
      <c r="B122" s="10"/>
      <c r="D122" s="47"/>
      <c r="E122" s="141"/>
      <c r="F122" s="141"/>
      <c r="H122" s="88"/>
      <c r="I122" s="11"/>
    </row>
    <row r="123" spans="1:19" s="13" customFormat="1" ht="20.100000000000001" customHeight="1" x14ac:dyDescent="0.3">
      <c r="A123" s="1"/>
      <c r="B123" s="10"/>
      <c r="D123" s="47"/>
      <c r="E123" s="141"/>
      <c r="F123" s="141"/>
      <c r="H123" s="88"/>
      <c r="I123" s="11"/>
    </row>
    <row r="124" spans="1:19" s="13" customFormat="1" ht="20.100000000000001" customHeight="1" x14ac:dyDescent="0.3">
      <c r="A124" s="1"/>
      <c r="B124" s="10"/>
      <c r="D124" s="47"/>
      <c r="E124" s="141"/>
      <c r="F124" s="141"/>
      <c r="H124" s="88"/>
      <c r="I124" s="11"/>
    </row>
    <row r="125" spans="1:19" s="90" customFormat="1" ht="20.100000000000001" customHeight="1" x14ac:dyDescent="0.3">
      <c r="A125" s="1"/>
      <c r="B125" s="10"/>
      <c r="C125" s="6"/>
      <c r="D125" s="116"/>
      <c r="E125" s="141"/>
      <c r="F125" s="141"/>
      <c r="G125" s="1"/>
      <c r="I125" s="1"/>
      <c r="J125" s="1"/>
      <c r="K125" s="1"/>
      <c r="M125" s="1"/>
      <c r="N125" s="1"/>
      <c r="O125" s="1"/>
      <c r="P125" s="1"/>
      <c r="Q125" s="1"/>
      <c r="R125" s="1"/>
      <c r="S125" s="1"/>
    </row>
    <row r="126" spans="1:19" s="90" customFormat="1" ht="20.100000000000001" customHeight="1" x14ac:dyDescent="0.3">
      <c r="A126" s="1"/>
      <c r="B126" s="10"/>
      <c r="C126" s="6"/>
      <c r="D126" s="116"/>
      <c r="E126" s="141"/>
      <c r="F126" s="141"/>
      <c r="G126" s="1"/>
      <c r="I126" s="1"/>
      <c r="J126" s="1"/>
      <c r="K126" s="1"/>
      <c r="M126" s="1"/>
      <c r="N126" s="1"/>
      <c r="O126" s="1"/>
      <c r="P126" s="1"/>
      <c r="Q126" s="1"/>
      <c r="R126" s="1"/>
      <c r="S126" s="1"/>
    </row>
    <row r="127" spans="1:19" s="90" customFormat="1" ht="20.100000000000001" customHeight="1" x14ac:dyDescent="0.3">
      <c r="A127" s="1"/>
      <c r="B127" s="10"/>
      <c r="C127" s="6"/>
      <c r="D127" s="116"/>
      <c r="E127" s="141"/>
      <c r="F127" s="141"/>
      <c r="G127" s="1"/>
      <c r="I127" s="1"/>
      <c r="J127" s="1"/>
      <c r="K127" s="1"/>
      <c r="M127" s="1"/>
      <c r="N127" s="1"/>
      <c r="O127" s="1"/>
      <c r="P127" s="1"/>
      <c r="Q127" s="1"/>
      <c r="R127" s="1"/>
      <c r="S127" s="1"/>
    </row>
    <row r="128" spans="1:19" s="90" customFormat="1" ht="20.100000000000001" customHeight="1" x14ac:dyDescent="0.3">
      <c r="A128" s="1"/>
      <c r="B128" s="10"/>
      <c r="C128" s="6"/>
      <c r="D128" s="116"/>
      <c r="E128" s="141"/>
      <c r="F128" s="141"/>
      <c r="G128" s="11"/>
      <c r="I128" s="1"/>
      <c r="J128" s="1"/>
      <c r="K128" s="1"/>
      <c r="M128" s="1"/>
      <c r="N128" s="1"/>
      <c r="O128" s="1"/>
      <c r="P128" s="1"/>
      <c r="Q128" s="1"/>
      <c r="R128" s="1"/>
      <c r="S128" s="1"/>
    </row>
  </sheetData>
  <mergeCells count="10">
    <mergeCell ref="C47:D48"/>
    <mergeCell ref="A47:A48"/>
    <mergeCell ref="B47:B48"/>
    <mergeCell ref="C84:D84"/>
    <mergeCell ref="C85:D85"/>
    <mergeCell ref="C86:D86"/>
    <mergeCell ref="C87:D87"/>
    <mergeCell ref="A82:A83"/>
    <mergeCell ref="B82:B83"/>
    <mergeCell ref="C82:D83"/>
  </mergeCells>
  <pageMargins left="0.7" right="0.7" top="0.75" bottom="0.75" header="0.3" footer="0.3"/>
  <pageSetup scale="94" fitToHeight="0"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84A7C-3DB8-4F89-8FA3-6DCFA631CAC0}">
  <sheetPr>
    <pageSetUpPr fitToPage="1"/>
  </sheetPr>
  <dimension ref="A1:S115"/>
  <sheetViews>
    <sheetView topLeftCell="A35" zoomScale="98" zoomScaleNormal="98" workbookViewId="0">
      <selection activeCell="A59" sqref="A59:XFD59"/>
    </sheetView>
  </sheetViews>
  <sheetFormatPr defaultRowHeight="18.75" x14ac:dyDescent="0.3"/>
  <cols>
    <col min="1" max="1" width="20.7109375" style="1" customWidth="1"/>
    <col min="2" max="2" width="16.85546875" style="10" customWidth="1"/>
    <col min="3" max="3" width="25" style="6" bestFit="1" customWidth="1"/>
    <col min="4" max="4" width="25.140625" style="116" customWidth="1"/>
    <col min="5" max="5" width="9.7109375" style="141" customWidth="1"/>
    <col min="6" max="6" width="16.5703125" style="141" customWidth="1"/>
    <col min="7" max="7" width="35" style="1" bestFit="1" customWidth="1"/>
    <col min="8" max="8" width="5.5703125" style="90" bestFit="1" customWidth="1"/>
    <col min="9" max="11" width="9.140625" style="1"/>
    <col min="12" max="12" width="57.5703125" style="1" bestFit="1" customWidth="1"/>
    <col min="13" max="16384" width="9.140625" style="1"/>
  </cols>
  <sheetData>
    <row r="1" spans="1:19" s="11" customFormat="1" ht="20.100000000000001" customHeight="1" x14ac:dyDescent="0.25">
      <c r="A1" s="11" t="s">
        <v>1203</v>
      </c>
      <c r="B1" s="17"/>
      <c r="C1" s="13"/>
      <c r="D1" s="47"/>
      <c r="E1" s="141"/>
      <c r="H1" s="88"/>
    </row>
    <row r="2" spans="1:19" s="11" customFormat="1" ht="20.100000000000001" customHeight="1" x14ac:dyDescent="0.25">
      <c r="A2" s="14">
        <v>45565</v>
      </c>
      <c r="B2" s="17"/>
      <c r="C2" s="13"/>
      <c r="D2" s="47"/>
      <c r="E2" s="141"/>
      <c r="H2" s="88"/>
    </row>
    <row r="3" spans="1:19" s="11" customFormat="1" ht="20.100000000000001" customHeight="1" x14ac:dyDescent="0.25">
      <c r="A3" s="11" t="s">
        <v>311</v>
      </c>
      <c r="B3" s="17">
        <v>28501811.329999998</v>
      </c>
      <c r="C3" s="13"/>
      <c r="D3" s="47"/>
      <c r="E3" s="141"/>
      <c r="H3" s="88"/>
      <c r="L3" s="11" t="s">
        <v>1437</v>
      </c>
      <c r="M3" s="89"/>
    </row>
    <row r="4" spans="1:19" s="11" customFormat="1" ht="20.100000000000001" customHeight="1" x14ac:dyDescent="0.25">
      <c r="A4" s="11" t="s">
        <v>6</v>
      </c>
      <c r="B4" s="17"/>
      <c r="C4" s="13"/>
      <c r="D4" s="47"/>
      <c r="E4" s="141"/>
      <c r="H4" s="88"/>
      <c r="L4" s="11" t="s">
        <v>1438</v>
      </c>
      <c r="M4" s="89"/>
    </row>
    <row r="5" spans="1:19" s="11" customFormat="1" ht="20.100000000000001" customHeight="1" x14ac:dyDescent="0.25">
      <c r="A5" s="11">
        <v>2100</v>
      </c>
      <c r="B5" s="17">
        <v>-28094466.170000002</v>
      </c>
      <c r="C5" s="13"/>
      <c r="D5" s="47"/>
      <c r="E5" s="141"/>
      <c r="H5" s="88"/>
      <c r="L5" s="11" t="s">
        <v>1439</v>
      </c>
      <c r="M5" s="89"/>
    </row>
    <row r="6" spans="1:19" s="11" customFormat="1" ht="20.100000000000001" customHeight="1" x14ac:dyDescent="0.25">
      <c r="A6" s="11" t="s">
        <v>5</v>
      </c>
      <c r="B6" s="17">
        <f>SUM(B5)</f>
        <v>-28094466.170000002</v>
      </c>
      <c r="C6" s="13"/>
      <c r="D6" s="47"/>
      <c r="E6" s="141"/>
      <c r="H6" s="88"/>
      <c r="L6" s="11" t="s">
        <v>1440</v>
      </c>
      <c r="M6" s="89"/>
      <c r="O6" s="62"/>
      <c r="P6" s="62"/>
      <c r="Q6" s="62"/>
      <c r="R6" s="62"/>
      <c r="S6" s="62"/>
    </row>
    <row r="7" spans="1:19" s="11" customFormat="1" ht="20.100000000000001" customHeight="1" x14ac:dyDescent="0.25">
      <c r="A7" s="11" t="s">
        <v>4</v>
      </c>
      <c r="B7" s="17">
        <f>B6+B3</f>
        <v>407345.15999999642</v>
      </c>
      <c r="C7" s="13"/>
      <c r="D7" s="47"/>
      <c r="E7" s="141"/>
      <c r="H7" s="88"/>
      <c r="L7" s="11" t="s">
        <v>1441</v>
      </c>
      <c r="M7" s="88"/>
    </row>
    <row r="8" spans="1:19" s="11" customFormat="1" ht="15.95" customHeight="1" x14ac:dyDescent="0.25">
      <c r="A8" s="11" t="s">
        <v>3</v>
      </c>
      <c r="B8" s="17"/>
      <c r="C8" s="44" t="s">
        <v>628</v>
      </c>
      <c r="D8" s="114" t="s">
        <v>626</v>
      </c>
      <c r="E8" s="141"/>
      <c r="H8" s="88"/>
      <c r="L8" s="11" t="s">
        <v>1442</v>
      </c>
      <c r="M8" s="88"/>
    </row>
    <row r="9" spans="1:19" s="11" customFormat="1" ht="15.75" x14ac:dyDescent="0.25">
      <c r="A9" s="77" t="s">
        <v>2355</v>
      </c>
      <c r="B9" s="98">
        <v>-26608</v>
      </c>
      <c r="C9" s="31">
        <v>45565</v>
      </c>
      <c r="D9" s="28">
        <v>45567</v>
      </c>
      <c r="E9" s="141"/>
      <c r="F9" s="141"/>
      <c r="G9" s="55"/>
      <c r="L9" s="11" t="s">
        <v>1443</v>
      </c>
      <c r="M9" s="88"/>
    </row>
    <row r="10" spans="1:19" s="11" customFormat="1" ht="15.75" x14ac:dyDescent="0.25">
      <c r="A10" s="77" t="s">
        <v>2356</v>
      </c>
      <c r="B10" s="98">
        <v>-28227</v>
      </c>
      <c r="C10" s="31">
        <v>45565</v>
      </c>
      <c r="D10" s="28">
        <v>45567</v>
      </c>
      <c r="E10" s="141"/>
      <c r="F10" s="141"/>
      <c r="G10" s="55"/>
      <c r="L10" s="11" t="s">
        <v>1444</v>
      </c>
      <c r="M10" s="88"/>
    </row>
    <row r="11" spans="1:19" s="11" customFormat="1" ht="15.75" x14ac:dyDescent="0.25">
      <c r="A11" s="77" t="s">
        <v>2357</v>
      </c>
      <c r="B11" s="98">
        <v>-28776</v>
      </c>
      <c r="C11" s="31">
        <v>45565</v>
      </c>
      <c r="D11" s="28">
        <v>45567</v>
      </c>
      <c r="E11" s="141"/>
      <c r="F11" s="141"/>
      <c r="G11" s="55"/>
      <c r="L11" s="11" t="s">
        <v>1445</v>
      </c>
      <c r="M11" s="88"/>
    </row>
    <row r="12" spans="1:19" s="11" customFormat="1" ht="15.75" x14ac:dyDescent="0.25">
      <c r="A12" s="77" t="s">
        <v>2358</v>
      </c>
      <c r="B12" s="98">
        <v>-28776</v>
      </c>
      <c r="C12" s="31">
        <v>45565</v>
      </c>
      <c r="D12" s="28">
        <v>45567</v>
      </c>
      <c r="E12" s="141"/>
      <c r="F12" s="141"/>
      <c r="G12" s="55"/>
      <c r="L12" s="11" t="s">
        <v>1446</v>
      </c>
      <c r="M12" s="88"/>
    </row>
    <row r="13" spans="1:19" s="11" customFormat="1" ht="15.75" x14ac:dyDescent="0.25">
      <c r="A13" s="77" t="s">
        <v>2359</v>
      </c>
      <c r="B13" s="98">
        <v>-28776</v>
      </c>
      <c r="C13" s="31">
        <v>45565</v>
      </c>
      <c r="D13" s="28">
        <v>45567</v>
      </c>
      <c r="E13" s="141"/>
      <c r="F13" s="141"/>
      <c r="G13" s="55"/>
      <c r="L13" s="11" t="s">
        <v>1447</v>
      </c>
      <c r="M13" s="88"/>
    </row>
    <row r="14" spans="1:19" s="11" customFormat="1" ht="15.75" x14ac:dyDescent="0.25">
      <c r="A14" s="77" t="s">
        <v>2360</v>
      </c>
      <c r="B14" s="98">
        <v>-29202</v>
      </c>
      <c r="C14" s="31" t="s">
        <v>2413</v>
      </c>
      <c r="D14" s="28" t="s">
        <v>2411</v>
      </c>
      <c r="E14" s="141"/>
      <c r="F14" s="141"/>
      <c r="G14" s="55"/>
      <c r="L14" s="11" t="s">
        <v>1448</v>
      </c>
      <c r="M14" s="88"/>
    </row>
    <row r="15" spans="1:19" s="11" customFormat="1" ht="15.75" x14ac:dyDescent="0.25">
      <c r="A15" s="77" t="s">
        <v>2361</v>
      </c>
      <c r="B15" s="98">
        <v>-30986</v>
      </c>
      <c r="C15" s="31">
        <v>45565</v>
      </c>
      <c r="D15" s="28">
        <v>45567</v>
      </c>
      <c r="E15" s="141"/>
      <c r="F15" s="141"/>
      <c r="G15" s="55"/>
      <c r="L15" s="11" t="s">
        <v>1449</v>
      </c>
      <c r="M15" s="88"/>
    </row>
    <row r="16" spans="1:19" s="11" customFormat="1" ht="15.75" x14ac:dyDescent="0.25">
      <c r="A16" s="77" t="s">
        <v>2362</v>
      </c>
      <c r="B16" s="98">
        <v>-32050</v>
      </c>
      <c r="C16" s="31" t="s">
        <v>2413</v>
      </c>
      <c r="D16" s="28" t="s">
        <v>2411</v>
      </c>
      <c r="E16" s="141"/>
      <c r="F16" s="141"/>
      <c r="G16" s="55"/>
      <c r="L16" s="11" t="s">
        <v>1450</v>
      </c>
      <c r="M16" s="88"/>
    </row>
    <row r="17" spans="1:13" s="11" customFormat="1" ht="15.75" x14ac:dyDescent="0.25">
      <c r="A17" s="77" t="s">
        <v>2363</v>
      </c>
      <c r="B17" s="98">
        <v>-33380</v>
      </c>
      <c r="C17" s="31" t="s">
        <v>2413</v>
      </c>
      <c r="D17" s="28" t="s">
        <v>2411</v>
      </c>
      <c r="E17" s="141"/>
      <c r="F17" s="141"/>
      <c r="G17" s="55"/>
      <c r="L17" s="11" t="s">
        <v>1451</v>
      </c>
      <c r="M17" s="88"/>
    </row>
    <row r="18" spans="1:13" s="11" customFormat="1" ht="15.75" x14ac:dyDescent="0.25">
      <c r="A18" s="77" t="s">
        <v>2364</v>
      </c>
      <c r="B18" s="98">
        <v>-33525</v>
      </c>
      <c r="C18" s="31">
        <v>45565</v>
      </c>
      <c r="D18" s="28">
        <v>45567</v>
      </c>
      <c r="E18" s="141"/>
      <c r="F18" s="141"/>
      <c r="G18" s="55"/>
      <c r="L18" s="11" t="s">
        <v>1452</v>
      </c>
      <c r="M18" s="88"/>
    </row>
    <row r="19" spans="1:13" s="11" customFormat="1" ht="15.75" x14ac:dyDescent="0.25">
      <c r="A19" s="77" t="s">
        <v>2365</v>
      </c>
      <c r="B19" s="98">
        <v>-33952</v>
      </c>
      <c r="C19" s="31" t="s">
        <v>2413</v>
      </c>
      <c r="D19" s="28" t="s">
        <v>2411</v>
      </c>
      <c r="E19" s="141"/>
      <c r="F19" s="141"/>
      <c r="G19" s="55"/>
      <c r="L19" s="11" t="s">
        <v>1453</v>
      </c>
      <c r="M19" s="88"/>
    </row>
    <row r="20" spans="1:13" s="11" customFormat="1" ht="15.75" x14ac:dyDescent="0.25">
      <c r="A20" s="77" t="s">
        <v>2366</v>
      </c>
      <c r="B20" s="98">
        <v>-34342</v>
      </c>
      <c r="C20" s="31" t="s">
        <v>2413</v>
      </c>
      <c r="D20" s="28" t="s">
        <v>2411</v>
      </c>
      <c r="E20" s="141"/>
      <c r="F20" s="141"/>
      <c r="G20" s="55"/>
      <c r="L20" s="11" t="s">
        <v>1436</v>
      </c>
      <c r="M20" s="88"/>
    </row>
    <row r="21" spans="1:13" s="11" customFormat="1" ht="15.75" x14ac:dyDescent="0.25">
      <c r="A21" s="77" t="s">
        <v>2367</v>
      </c>
      <c r="B21" s="98">
        <v>-37256</v>
      </c>
      <c r="C21" s="31" t="s">
        <v>2413</v>
      </c>
      <c r="D21" s="28" t="s">
        <v>2411</v>
      </c>
      <c r="E21" s="141"/>
      <c r="F21" s="141"/>
      <c r="G21" s="55"/>
      <c r="L21" s="11" t="s">
        <v>1454</v>
      </c>
      <c r="M21" s="88"/>
    </row>
    <row r="22" spans="1:13" s="11" customFormat="1" ht="15.75" x14ac:dyDescent="0.25">
      <c r="A22" s="77" t="s">
        <v>2368</v>
      </c>
      <c r="B22" s="98">
        <v>-37256</v>
      </c>
      <c r="C22" s="31" t="s">
        <v>2413</v>
      </c>
      <c r="D22" s="28" t="s">
        <v>2411</v>
      </c>
      <c r="E22" s="141"/>
      <c r="F22" s="141"/>
      <c r="G22" s="55"/>
      <c r="L22" s="11" t="s">
        <v>1455</v>
      </c>
      <c r="M22" s="88"/>
    </row>
    <row r="23" spans="1:13" s="11" customFormat="1" ht="15.75" x14ac:dyDescent="0.25">
      <c r="A23" s="11" t="s">
        <v>2369</v>
      </c>
      <c r="B23" s="98">
        <v>-37577</v>
      </c>
      <c r="C23" s="31" t="s">
        <v>2413</v>
      </c>
      <c r="D23" s="28" t="s">
        <v>2411</v>
      </c>
      <c r="E23" s="141"/>
      <c r="F23" s="141"/>
      <c r="G23" s="55"/>
      <c r="L23" s="11" t="s">
        <v>1456</v>
      </c>
      <c r="M23" s="88"/>
    </row>
    <row r="24" spans="1:13" s="11" customFormat="1" ht="15.75" x14ac:dyDescent="0.25">
      <c r="A24" s="77" t="s">
        <v>2370</v>
      </c>
      <c r="B24" s="98">
        <v>-37577</v>
      </c>
      <c r="C24" s="31" t="s">
        <v>2413</v>
      </c>
      <c r="D24" s="28" t="s">
        <v>2411</v>
      </c>
      <c r="E24" s="141"/>
      <c r="F24" s="141"/>
      <c r="G24" s="55"/>
      <c r="L24" s="11" t="s">
        <v>1457</v>
      </c>
      <c r="M24" s="88"/>
    </row>
    <row r="25" spans="1:13" s="11" customFormat="1" ht="15.75" x14ac:dyDescent="0.25">
      <c r="A25" s="77" t="s">
        <v>2371</v>
      </c>
      <c r="B25" s="98">
        <v>-37593</v>
      </c>
      <c r="C25" s="31">
        <v>45565</v>
      </c>
      <c r="D25" s="28">
        <v>45567</v>
      </c>
      <c r="E25" s="141"/>
      <c r="F25" s="141"/>
      <c r="G25" s="55"/>
      <c r="L25" s="11" t="s">
        <v>1458</v>
      </c>
      <c r="M25" s="88"/>
    </row>
    <row r="26" spans="1:13" s="11" customFormat="1" ht="15.75" x14ac:dyDescent="0.25">
      <c r="A26" s="77" t="s">
        <v>2412</v>
      </c>
      <c r="B26" s="98">
        <v>-40667.300000000003</v>
      </c>
      <c r="C26" s="31">
        <v>45544</v>
      </c>
      <c r="D26" s="28">
        <v>45568</v>
      </c>
      <c r="E26" s="141"/>
      <c r="F26" s="141"/>
      <c r="G26" s="55"/>
      <c r="L26" s="11" t="s">
        <v>1368</v>
      </c>
      <c r="M26" s="88"/>
    </row>
    <row r="27" spans="1:13" s="11" customFormat="1" ht="15.75" x14ac:dyDescent="0.25">
      <c r="A27" s="77" t="s">
        <v>2372</v>
      </c>
      <c r="B27" s="98">
        <v>-40935</v>
      </c>
      <c r="C27" s="31">
        <v>45565</v>
      </c>
      <c r="D27" s="28">
        <v>45567</v>
      </c>
      <c r="E27" s="141"/>
      <c r="F27" s="141"/>
      <c r="G27" s="55"/>
      <c r="L27" s="11" t="s">
        <v>1459</v>
      </c>
      <c r="M27" s="88"/>
    </row>
    <row r="28" spans="1:13" s="11" customFormat="1" ht="15.75" x14ac:dyDescent="0.25">
      <c r="A28" s="77" t="s">
        <v>2373</v>
      </c>
      <c r="B28" s="98">
        <v>-41225.300000000003</v>
      </c>
      <c r="C28" s="31">
        <v>45544</v>
      </c>
      <c r="D28" s="28">
        <v>45573</v>
      </c>
      <c r="E28" s="141"/>
      <c r="F28" s="141"/>
      <c r="G28" s="55"/>
      <c r="L28" s="11" t="s">
        <v>1369</v>
      </c>
      <c r="M28" s="88"/>
    </row>
    <row r="29" spans="1:13" s="11" customFormat="1" ht="15.75" x14ac:dyDescent="0.25">
      <c r="A29" s="77" t="s">
        <v>2374</v>
      </c>
      <c r="B29" s="98">
        <v>-44068</v>
      </c>
      <c r="C29" s="31" t="s">
        <v>2413</v>
      </c>
      <c r="D29" s="28" t="s">
        <v>2411</v>
      </c>
      <c r="E29" s="141"/>
      <c r="F29" s="141"/>
      <c r="G29" s="55"/>
      <c r="L29" s="11" t="s">
        <v>1460</v>
      </c>
      <c r="M29" s="88"/>
    </row>
    <row r="30" spans="1:13" s="11" customFormat="1" ht="15.75" x14ac:dyDescent="0.25">
      <c r="A30" s="77" t="s">
        <v>2375</v>
      </c>
      <c r="B30" s="98">
        <v>-44068</v>
      </c>
      <c r="C30" s="31" t="s">
        <v>2413</v>
      </c>
      <c r="D30" s="28" t="s">
        <v>2411</v>
      </c>
      <c r="E30" s="141"/>
      <c r="F30" s="141"/>
      <c r="G30" s="55"/>
      <c r="M30" s="88"/>
    </row>
    <row r="31" spans="1:13" s="11" customFormat="1" ht="15.75" x14ac:dyDescent="0.25">
      <c r="A31" s="77" t="s">
        <v>2376</v>
      </c>
      <c r="B31" s="98">
        <v>-45314</v>
      </c>
      <c r="C31" s="31" t="s">
        <v>2413</v>
      </c>
      <c r="D31" s="28" t="s">
        <v>2411</v>
      </c>
      <c r="E31" s="141"/>
      <c r="F31" s="141"/>
      <c r="G31" s="55"/>
      <c r="M31" s="88"/>
    </row>
    <row r="32" spans="1:13" s="11" customFormat="1" ht="15.75" x14ac:dyDescent="0.25">
      <c r="A32" s="77" t="s">
        <v>2380</v>
      </c>
      <c r="B32" s="98">
        <v>-76728.070000000007</v>
      </c>
      <c r="C32" s="31" t="s">
        <v>2416</v>
      </c>
      <c r="D32" s="28" t="s">
        <v>2415</v>
      </c>
      <c r="E32" s="141"/>
      <c r="F32" s="141"/>
      <c r="G32" s="55"/>
      <c r="M32" s="88"/>
    </row>
    <row r="33" spans="1:13" s="11" customFormat="1" ht="15.75" x14ac:dyDescent="0.25">
      <c r="A33" s="77" t="s">
        <v>2381</v>
      </c>
      <c r="B33" s="98">
        <v>-88804.7</v>
      </c>
      <c r="C33" s="31">
        <v>45561</v>
      </c>
      <c r="D33" s="28">
        <v>45567</v>
      </c>
      <c r="E33" s="141"/>
      <c r="F33" s="141"/>
      <c r="G33" s="55"/>
      <c r="L33" s="11" t="s">
        <v>1459</v>
      </c>
      <c r="M33" s="88"/>
    </row>
    <row r="34" spans="1:13" s="11" customFormat="1" ht="15.75" x14ac:dyDescent="0.25">
      <c r="A34" s="77" t="s">
        <v>2382</v>
      </c>
      <c r="B34" s="98">
        <v>-88804.7</v>
      </c>
      <c r="C34" s="31">
        <v>45565</v>
      </c>
      <c r="D34" s="28">
        <v>45569</v>
      </c>
      <c r="E34" s="141"/>
      <c r="F34" s="141"/>
      <c r="G34" s="55"/>
      <c r="L34" s="11" t="s">
        <v>1460</v>
      </c>
      <c r="M34" s="88"/>
    </row>
    <row r="35" spans="1:13" s="11" customFormat="1" ht="15.75" x14ac:dyDescent="0.25">
      <c r="A35" s="77" t="s">
        <v>2383</v>
      </c>
      <c r="B35" s="98">
        <v>-99470</v>
      </c>
      <c r="C35" s="31">
        <v>45565</v>
      </c>
      <c r="D35" s="28">
        <v>45567</v>
      </c>
      <c r="E35" s="141"/>
      <c r="F35" s="141"/>
      <c r="G35" s="55"/>
      <c r="M35" s="88"/>
    </row>
    <row r="36" spans="1:13" s="11" customFormat="1" ht="15.75" x14ac:dyDescent="0.25">
      <c r="A36" s="77"/>
      <c r="B36" s="98"/>
      <c r="C36" s="31"/>
      <c r="D36" s="28"/>
      <c r="E36" s="141"/>
      <c r="F36" s="141"/>
      <c r="G36" s="55"/>
      <c r="M36" s="88"/>
    </row>
    <row r="37" spans="1:13" s="11" customFormat="1" ht="15.75" x14ac:dyDescent="0.25">
      <c r="B37" s="25">
        <f>SUM(B9:B36)</f>
        <v>-1165944.07</v>
      </c>
      <c r="C37" s="28"/>
      <c r="D37" s="28"/>
      <c r="E37" s="141"/>
      <c r="F37" s="141"/>
      <c r="G37" s="55"/>
    </row>
    <row r="38" spans="1:13" s="11" customFormat="1" ht="16.5" customHeight="1" x14ac:dyDescent="0.25">
      <c r="A38" s="11" t="s">
        <v>2</v>
      </c>
      <c r="B38" s="25"/>
      <c r="C38" s="30" t="s">
        <v>626</v>
      </c>
      <c r="D38" s="114" t="s">
        <v>628</v>
      </c>
      <c r="E38" s="141"/>
      <c r="F38" s="141"/>
      <c r="G38" s="55"/>
    </row>
    <row r="39" spans="1:13" s="11" customFormat="1" ht="16.5" customHeight="1" x14ac:dyDescent="0.25">
      <c r="A39" s="11" t="s">
        <v>2410</v>
      </c>
      <c r="B39" s="119">
        <v>26221</v>
      </c>
      <c r="C39" s="144" t="s">
        <v>2411</v>
      </c>
      <c r="D39" s="13" t="s">
        <v>2413</v>
      </c>
      <c r="E39" s="141"/>
      <c r="F39" s="141"/>
      <c r="G39" s="55"/>
    </row>
    <row r="40" spans="1:13" s="11" customFormat="1" ht="16.5" customHeight="1" x14ac:dyDescent="0.25">
      <c r="A40" s="11" t="s">
        <v>2384</v>
      </c>
      <c r="B40" s="119">
        <v>30483</v>
      </c>
      <c r="C40" s="33" t="s">
        <v>2411</v>
      </c>
      <c r="D40" s="13" t="s">
        <v>2413</v>
      </c>
      <c r="E40" s="141"/>
      <c r="F40" s="141"/>
      <c r="G40" s="55"/>
      <c r="M40" s="88"/>
    </row>
    <row r="41" spans="1:13" s="11" customFormat="1" ht="16.5" customHeight="1" x14ac:dyDescent="0.25">
      <c r="A41" s="11" t="s">
        <v>2385</v>
      </c>
      <c r="B41" s="119">
        <v>31749</v>
      </c>
      <c r="C41" s="33" t="s">
        <v>2411</v>
      </c>
      <c r="D41" s="100" t="s">
        <v>2413</v>
      </c>
      <c r="E41" s="141"/>
      <c r="F41" s="141"/>
      <c r="G41" s="55"/>
      <c r="M41" s="88"/>
    </row>
    <row r="42" spans="1:13" s="11" customFormat="1" ht="16.5" customHeight="1" x14ac:dyDescent="0.25">
      <c r="A42" s="11" t="s">
        <v>2386</v>
      </c>
      <c r="B42" s="119">
        <v>32348</v>
      </c>
      <c r="C42" s="33" t="s">
        <v>2411</v>
      </c>
      <c r="D42" s="100" t="s">
        <v>2413</v>
      </c>
      <c r="E42" s="141"/>
      <c r="F42" s="141"/>
      <c r="G42" s="55"/>
      <c r="M42" s="88"/>
    </row>
    <row r="43" spans="1:13" s="11" customFormat="1" ht="16.5" customHeight="1" x14ac:dyDescent="0.25">
      <c r="A43" s="11" t="s">
        <v>2387</v>
      </c>
      <c r="B43" s="119">
        <v>32702</v>
      </c>
      <c r="C43" s="33" t="s">
        <v>2411</v>
      </c>
      <c r="D43" s="13" t="s">
        <v>2413</v>
      </c>
      <c r="E43" s="141"/>
      <c r="F43" s="141"/>
      <c r="G43" s="55"/>
    </row>
    <row r="44" spans="1:13" s="11" customFormat="1" ht="16.5" customHeight="1" x14ac:dyDescent="0.25">
      <c r="A44" s="11" t="s">
        <v>2388</v>
      </c>
      <c r="B44" s="119">
        <v>35508</v>
      </c>
      <c r="C44" s="33" t="s">
        <v>2411</v>
      </c>
      <c r="D44" s="13" t="s">
        <v>2413</v>
      </c>
      <c r="E44" s="141"/>
      <c r="F44" s="141"/>
      <c r="G44" s="55"/>
    </row>
    <row r="45" spans="1:13" s="11" customFormat="1" ht="16.5" customHeight="1" x14ac:dyDescent="0.25">
      <c r="A45" s="11" t="s">
        <v>2389</v>
      </c>
      <c r="B45" s="119">
        <v>35508</v>
      </c>
      <c r="C45" s="33" t="s">
        <v>2411</v>
      </c>
      <c r="D45" s="13" t="s">
        <v>2413</v>
      </c>
      <c r="E45" s="141"/>
      <c r="F45" s="141"/>
      <c r="G45" s="55"/>
    </row>
    <row r="46" spans="1:13" s="11" customFormat="1" ht="16.5" customHeight="1" x14ac:dyDescent="0.25">
      <c r="A46" s="11" t="s">
        <v>2390</v>
      </c>
      <c r="B46" s="119">
        <v>35813</v>
      </c>
      <c r="C46" s="33" t="s">
        <v>2411</v>
      </c>
      <c r="D46" s="13" t="s">
        <v>2413</v>
      </c>
      <c r="E46" s="141"/>
      <c r="F46" s="141"/>
      <c r="G46" s="55"/>
    </row>
    <row r="47" spans="1:13" s="11" customFormat="1" ht="16.5" customHeight="1" x14ac:dyDescent="0.25">
      <c r="A47" s="11" t="s">
        <v>2391</v>
      </c>
      <c r="B47" s="119">
        <v>35813</v>
      </c>
      <c r="C47" s="33" t="s">
        <v>2411</v>
      </c>
      <c r="D47" s="13" t="s">
        <v>2413</v>
      </c>
      <c r="E47" s="141"/>
      <c r="F47" s="141"/>
      <c r="G47" s="55"/>
    </row>
    <row r="48" spans="1:13" s="11" customFormat="1" ht="16.5" customHeight="1" x14ac:dyDescent="0.25">
      <c r="A48" s="11" t="s">
        <v>2392</v>
      </c>
      <c r="B48" s="119">
        <v>41966</v>
      </c>
      <c r="C48" s="33" t="s">
        <v>2411</v>
      </c>
      <c r="D48" s="13" t="s">
        <v>2413</v>
      </c>
      <c r="E48" s="141"/>
      <c r="F48" s="141"/>
      <c r="G48" s="55"/>
    </row>
    <row r="49" spans="1:13" s="11" customFormat="1" ht="16.5" customHeight="1" x14ac:dyDescent="0.25">
      <c r="A49" s="11" t="s">
        <v>2393</v>
      </c>
      <c r="B49" s="119">
        <v>41966</v>
      </c>
      <c r="C49" s="33" t="s">
        <v>2411</v>
      </c>
      <c r="D49" s="13" t="s">
        <v>2413</v>
      </c>
      <c r="E49" s="141"/>
      <c r="F49" s="141"/>
      <c r="G49" s="55"/>
    </row>
    <row r="50" spans="1:13" s="11" customFormat="1" ht="16.5" customHeight="1" x14ac:dyDescent="0.25">
      <c r="A50" s="11" t="s">
        <v>2394</v>
      </c>
      <c r="B50" s="119">
        <v>42223.25</v>
      </c>
      <c r="C50" s="143">
        <v>45565</v>
      </c>
      <c r="D50" s="14">
        <v>45566</v>
      </c>
      <c r="E50" s="141"/>
      <c r="F50" s="141"/>
      <c r="G50" s="55"/>
    </row>
    <row r="51" spans="1:13" s="11" customFormat="1" ht="16.5" customHeight="1" x14ac:dyDescent="0.25">
      <c r="A51" s="11" t="s">
        <v>2395</v>
      </c>
      <c r="B51" s="119">
        <v>43078.85</v>
      </c>
      <c r="C51" s="143">
        <v>45558</v>
      </c>
      <c r="D51" s="14">
        <v>45566</v>
      </c>
      <c r="E51" s="141"/>
      <c r="F51" s="141"/>
      <c r="G51" s="55"/>
    </row>
    <row r="52" spans="1:13" s="11" customFormat="1" ht="16.5" customHeight="1" x14ac:dyDescent="0.25">
      <c r="A52" s="11" t="s">
        <v>2396</v>
      </c>
      <c r="B52" s="119">
        <v>43160</v>
      </c>
      <c r="C52" s="33" t="s">
        <v>2411</v>
      </c>
      <c r="D52" s="13" t="s">
        <v>2413</v>
      </c>
      <c r="E52" s="141"/>
      <c r="F52" s="141"/>
      <c r="G52" s="55"/>
    </row>
    <row r="53" spans="1:13" s="11" customFormat="1" ht="16.5" customHeight="1" x14ac:dyDescent="0.25">
      <c r="A53" s="11" t="s">
        <v>2397</v>
      </c>
      <c r="B53" s="119">
        <v>43364.25</v>
      </c>
      <c r="C53" s="143">
        <v>45560</v>
      </c>
      <c r="D53" s="14">
        <v>45568</v>
      </c>
      <c r="E53" s="141"/>
      <c r="F53" s="141"/>
      <c r="G53" s="55"/>
    </row>
    <row r="54" spans="1:13" s="11" customFormat="1" ht="16.5" customHeight="1" x14ac:dyDescent="0.25">
      <c r="A54" s="11" t="s">
        <v>2398</v>
      </c>
      <c r="B54" s="119">
        <v>43503.75</v>
      </c>
      <c r="C54" s="143">
        <v>45560</v>
      </c>
      <c r="D54" s="14">
        <v>45568</v>
      </c>
      <c r="E54" s="141"/>
      <c r="F54" s="141"/>
      <c r="G54" s="55"/>
    </row>
    <row r="55" spans="1:13" s="11" customFormat="1" ht="16.5" customHeight="1" x14ac:dyDescent="0.25">
      <c r="A55" s="11" t="s">
        <v>2399</v>
      </c>
      <c r="B55" s="119">
        <v>43922.25</v>
      </c>
      <c r="C55" s="143">
        <v>45555</v>
      </c>
      <c r="D55" s="14">
        <v>45568</v>
      </c>
      <c r="E55" s="141"/>
      <c r="F55" s="141"/>
      <c r="G55" s="55"/>
      <c r="M55" s="88"/>
    </row>
    <row r="56" spans="1:13" s="11" customFormat="1" ht="16.5" customHeight="1" x14ac:dyDescent="0.25">
      <c r="A56" s="11" t="s">
        <v>2400</v>
      </c>
      <c r="B56" s="119">
        <v>45410.25</v>
      </c>
      <c r="C56" s="143">
        <v>45561</v>
      </c>
      <c r="D56" s="14">
        <v>45568</v>
      </c>
      <c r="E56" s="141"/>
      <c r="F56" s="141"/>
      <c r="G56" s="55"/>
      <c r="M56" s="88"/>
    </row>
    <row r="57" spans="1:13" s="11" customFormat="1" ht="16.5" customHeight="1" x14ac:dyDescent="0.25">
      <c r="A57" s="11" t="s">
        <v>2401</v>
      </c>
      <c r="B57" s="119">
        <v>45705.35</v>
      </c>
      <c r="C57" s="143">
        <v>45561</v>
      </c>
      <c r="D57" s="14">
        <v>45572</v>
      </c>
      <c r="E57" s="141"/>
      <c r="F57" s="141"/>
      <c r="G57" s="55"/>
      <c r="M57" s="88"/>
    </row>
    <row r="58" spans="1:13" s="11" customFormat="1" ht="16.5" customHeight="1" x14ac:dyDescent="0.25">
      <c r="A58" s="11" t="s">
        <v>2402</v>
      </c>
      <c r="B58" s="119">
        <v>47323.55</v>
      </c>
      <c r="C58" s="143">
        <v>45565</v>
      </c>
      <c r="D58" s="14">
        <v>45573</v>
      </c>
      <c r="E58" s="141"/>
      <c r="F58" s="141"/>
      <c r="G58" s="55"/>
      <c r="M58" s="88"/>
    </row>
    <row r="59" spans="1:13" s="11" customFormat="1" ht="16.5" customHeight="1" x14ac:dyDescent="0.25">
      <c r="A59" s="11" t="s">
        <v>2186</v>
      </c>
      <c r="B59" s="119">
        <v>52483</v>
      </c>
      <c r="C59" s="143">
        <v>45419</v>
      </c>
      <c r="D59" s="145">
        <v>4300</v>
      </c>
      <c r="E59" s="141"/>
      <c r="F59" s="141"/>
      <c r="G59" s="55"/>
      <c r="M59" s="88"/>
    </row>
    <row r="60" spans="1:13" s="11" customFormat="1" ht="16.5" customHeight="1" x14ac:dyDescent="0.25">
      <c r="A60" s="11" t="s">
        <v>2377</v>
      </c>
      <c r="B60" s="119">
        <v>54227.45</v>
      </c>
      <c r="C60" s="143">
        <v>45558</v>
      </c>
      <c r="D60" s="145" t="s">
        <v>2414</v>
      </c>
      <c r="E60" s="141"/>
      <c r="F60" s="141"/>
      <c r="G60" s="55"/>
      <c r="M60" s="88"/>
    </row>
    <row r="61" spans="1:13" s="11" customFormat="1" ht="16.5" customHeight="1" x14ac:dyDescent="0.25">
      <c r="A61" s="11" t="s">
        <v>2378</v>
      </c>
      <c r="B61" s="119">
        <v>54687.8</v>
      </c>
      <c r="C61" s="143">
        <v>45558</v>
      </c>
      <c r="D61" s="145" t="s">
        <v>2414</v>
      </c>
      <c r="E61" s="141"/>
      <c r="F61" s="141"/>
      <c r="G61" s="55"/>
      <c r="M61" s="88"/>
    </row>
    <row r="62" spans="1:13" s="11" customFormat="1" ht="16.5" customHeight="1" x14ac:dyDescent="0.25">
      <c r="A62" s="11" t="s">
        <v>2379</v>
      </c>
      <c r="B62" s="119">
        <v>54827.3</v>
      </c>
      <c r="C62" s="143">
        <v>45558</v>
      </c>
      <c r="D62" s="145" t="s">
        <v>2414</v>
      </c>
      <c r="E62" s="141"/>
      <c r="F62" s="141"/>
      <c r="G62" s="55"/>
      <c r="M62" s="88"/>
    </row>
    <row r="63" spans="1:13" s="11" customFormat="1" ht="16.5" customHeight="1" x14ac:dyDescent="0.25">
      <c r="A63" s="11" t="s">
        <v>2403</v>
      </c>
      <c r="B63" s="119">
        <v>62771.65</v>
      </c>
      <c r="C63" s="143">
        <v>45554</v>
      </c>
      <c r="D63" s="14">
        <v>45568</v>
      </c>
      <c r="E63" s="141"/>
      <c r="F63" s="141"/>
      <c r="G63" s="55"/>
      <c r="M63" s="88"/>
    </row>
    <row r="64" spans="1:13" s="11" customFormat="1" ht="16.5" customHeight="1" x14ac:dyDescent="0.25">
      <c r="A64" s="11" t="s">
        <v>2404</v>
      </c>
      <c r="B64" s="119">
        <v>74796.45</v>
      </c>
      <c r="C64" s="143">
        <v>45565</v>
      </c>
      <c r="D64" s="14">
        <v>45568</v>
      </c>
      <c r="E64" s="141"/>
      <c r="F64" s="141"/>
      <c r="G64" s="55"/>
      <c r="M64" s="88"/>
    </row>
    <row r="65" spans="1:13" s="11" customFormat="1" ht="16.5" customHeight="1" x14ac:dyDescent="0.25">
      <c r="A65" s="11" t="s">
        <v>2405</v>
      </c>
      <c r="B65" s="119">
        <v>75214.95</v>
      </c>
      <c r="C65" s="143">
        <v>45548</v>
      </c>
      <c r="D65" s="14">
        <v>45576</v>
      </c>
      <c r="E65" s="141"/>
      <c r="F65" s="141"/>
      <c r="G65" s="55"/>
      <c r="M65" s="88"/>
    </row>
    <row r="66" spans="1:13" s="11" customFormat="1" ht="16.5" customHeight="1" x14ac:dyDescent="0.25">
      <c r="A66" s="11" t="s">
        <v>2406</v>
      </c>
      <c r="B66" s="119">
        <v>85506.35</v>
      </c>
      <c r="C66" s="143">
        <v>45499</v>
      </c>
      <c r="D66" s="14">
        <v>45568</v>
      </c>
      <c r="E66" s="141"/>
      <c r="F66" s="141"/>
      <c r="G66" s="55"/>
      <c r="M66" s="88"/>
    </row>
    <row r="67" spans="1:13" s="11" customFormat="1" ht="16.5" customHeight="1" x14ac:dyDescent="0.25">
      <c r="A67" s="11" t="s">
        <v>2407</v>
      </c>
      <c r="B67" s="119">
        <v>89362.7</v>
      </c>
      <c r="C67" s="143">
        <v>45565</v>
      </c>
      <c r="D67" s="14">
        <v>45568</v>
      </c>
      <c r="E67" s="141"/>
      <c r="F67" s="141"/>
      <c r="G67" s="55"/>
      <c r="M67" s="88"/>
    </row>
    <row r="68" spans="1:13" s="11" customFormat="1" ht="16.5" customHeight="1" x14ac:dyDescent="0.25">
      <c r="A68" s="11" t="s">
        <v>2408</v>
      </c>
      <c r="B68" s="119">
        <v>90988.54</v>
      </c>
      <c r="C68" s="143">
        <v>45562</v>
      </c>
      <c r="D68" s="14">
        <v>45568</v>
      </c>
      <c r="E68" s="141"/>
      <c r="F68" s="141"/>
      <c r="G68" s="55"/>
      <c r="M68" s="88"/>
    </row>
    <row r="69" spans="1:13" s="11" customFormat="1" ht="16.5" customHeight="1" x14ac:dyDescent="0.25">
      <c r="A69" s="11" t="s">
        <v>2409</v>
      </c>
      <c r="B69" s="119">
        <v>100654.54</v>
      </c>
      <c r="C69" s="143">
        <v>45562</v>
      </c>
      <c r="D69" s="14">
        <v>45568</v>
      </c>
      <c r="E69" s="141"/>
      <c r="F69" s="141"/>
      <c r="G69" s="55"/>
      <c r="M69" s="88"/>
    </row>
    <row r="70" spans="1:13" s="11" customFormat="1" ht="16.5" customHeight="1" thickBot="1" x14ac:dyDescent="0.3">
      <c r="B70" s="119"/>
      <c r="C70" s="143"/>
      <c r="D70" s="13"/>
      <c r="E70" s="141"/>
      <c r="F70" s="141"/>
      <c r="G70" s="55"/>
      <c r="M70" s="88"/>
    </row>
    <row r="71" spans="1:13" s="11" customFormat="1" ht="15.75" x14ac:dyDescent="0.25">
      <c r="B71" s="25">
        <f>SUM(B39:B70)</f>
        <v>1573289.23</v>
      </c>
      <c r="C71" s="147" t="s">
        <v>1459</v>
      </c>
      <c r="D71" s="148"/>
      <c r="E71" s="141"/>
      <c r="F71" s="141"/>
      <c r="G71" s="55"/>
    </row>
    <row r="72" spans="1:13" s="11" customFormat="1" ht="16.5" thickBot="1" x14ac:dyDescent="0.3">
      <c r="A72" s="11" t="s">
        <v>1</v>
      </c>
      <c r="B72" s="17">
        <f>B71+B37</f>
        <v>407345.15999999992</v>
      </c>
      <c r="C72" s="146" t="s">
        <v>1460</v>
      </c>
      <c r="D72" s="149"/>
      <c r="E72" s="141"/>
      <c r="F72" s="141"/>
      <c r="G72" s="55"/>
    </row>
    <row r="73" spans="1:13" s="11" customFormat="1" ht="15.75" x14ac:dyDescent="0.25">
      <c r="A73" s="11" t="s">
        <v>0</v>
      </c>
      <c r="B73" s="17">
        <f>B72-B7</f>
        <v>3.4924596548080444E-9</v>
      </c>
      <c r="E73" s="141"/>
      <c r="F73" s="141"/>
      <c r="G73" s="55"/>
    </row>
    <row r="74" spans="1:13" s="11" customFormat="1" ht="15.75" x14ac:dyDescent="0.25">
      <c r="E74" s="141"/>
      <c r="F74" s="141"/>
      <c r="G74" s="55"/>
    </row>
    <row r="75" spans="1:13" s="11" customFormat="1" ht="15.75" x14ac:dyDescent="0.25">
      <c r="E75" s="141"/>
      <c r="F75" s="141"/>
      <c r="G75" s="55"/>
    </row>
    <row r="76" spans="1:13" s="11" customFormat="1" ht="15.75" x14ac:dyDescent="0.25">
      <c r="E76" s="141"/>
      <c r="F76" s="141"/>
      <c r="G76" s="55"/>
    </row>
    <row r="77" spans="1:13" s="11" customFormat="1" ht="15.75" x14ac:dyDescent="0.25">
      <c r="E77" s="141"/>
      <c r="F77" s="141"/>
      <c r="G77" s="55"/>
    </row>
    <row r="78" spans="1:13" s="11" customFormat="1" ht="15.75" x14ac:dyDescent="0.25">
      <c r="E78" s="141"/>
      <c r="F78" s="141"/>
      <c r="G78" s="55"/>
    </row>
    <row r="79" spans="1:13" s="11" customFormat="1" ht="15.75" x14ac:dyDescent="0.25">
      <c r="E79" s="141"/>
      <c r="F79" s="141"/>
      <c r="G79" s="55"/>
    </row>
    <row r="80" spans="1:13" s="11" customFormat="1" ht="15.75" x14ac:dyDescent="0.25">
      <c r="E80" s="141"/>
      <c r="F80" s="141"/>
      <c r="G80" s="55"/>
    </row>
    <row r="81" spans="1:7" s="11" customFormat="1" ht="15.75" x14ac:dyDescent="0.25">
      <c r="E81" s="141"/>
      <c r="F81" s="141"/>
      <c r="G81" s="55"/>
    </row>
    <row r="82" spans="1:7" s="11" customFormat="1" ht="15.75" x14ac:dyDescent="0.25">
      <c r="E82" s="141"/>
      <c r="F82" s="141"/>
      <c r="G82" s="55"/>
    </row>
    <row r="83" spans="1:7" s="11" customFormat="1" ht="15.75" x14ac:dyDescent="0.25">
      <c r="E83" s="141"/>
      <c r="F83" s="141"/>
      <c r="G83" s="55"/>
    </row>
    <row r="84" spans="1:7" s="11" customFormat="1" ht="15.75" x14ac:dyDescent="0.25">
      <c r="E84" s="141"/>
      <c r="F84" s="141"/>
      <c r="G84" s="55"/>
    </row>
    <row r="85" spans="1:7" s="11" customFormat="1" ht="15.75" x14ac:dyDescent="0.25">
      <c r="E85" s="141"/>
      <c r="F85" s="141"/>
      <c r="G85" s="55"/>
    </row>
    <row r="86" spans="1:7" s="11" customFormat="1" ht="15.95" customHeight="1" x14ac:dyDescent="0.25">
      <c r="E86" s="141"/>
      <c r="F86" s="141"/>
    </row>
    <row r="87" spans="1:7" s="11" customFormat="1" ht="15.95" customHeight="1" x14ac:dyDescent="0.25">
      <c r="E87" s="141"/>
      <c r="F87" s="141"/>
    </row>
    <row r="88" spans="1:7" s="11" customFormat="1" ht="15.95" customHeight="1" x14ac:dyDescent="0.25">
      <c r="E88" s="141"/>
      <c r="F88" s="141"/>
    </row>
    <row r="89" spans="1:7" s="11" customFormat="1" ht="15.95" customHeight="1" x14ac:dyDescent="0.25">
      <c r="E89" s="141"/>
      <c r="F89" s="141"/>
    </row>
    <row r="90" spans="1:7" s="11" customFormat="1" ht="15.95" customHeight="1" x14ac:dyDescent="0.25">
      <c r="E90" s="141"/>
      <c r="F90" s="141"/>
    </row>
    <row r="91" spans="1:7" s="11" customFormat="1" ht="15.95" customHeight="1" x14ac:dyDescent="0.25">
      <c r="B91" s="17"/>
      <c r="E91" s="141"/>
      <c r="F91" s="141"/>
    </row>
    <row r="92" spans="1:7" s="11" customFormat="1" ht="15.95" customHeight="1" x14ac:dyDescent="0.25">
      <c r="A92" s="39"/>
      <c r="B92" s="93"/>
      <c r="C92" s="18"/>
      <c r="D92" s="18"/>
      <c r="E92" s="141"/>
      <c r="F92" s="141"/>
    </row>
    <row r="93" spans="1:7" s="11" customFormat="1" ht="15.95" customHeight="1" x14ac:dyDescent="0.3">
      <c r="A93" s="1"/>
      <c r="B93" s="10"/>
      <c r="C93" s="13"/>
      <c r="D93" s="47"/>
      <c r="E93" s="141"/>
      <c r="F93" s="141"/>
    </row>
    <row r="94" spans="1:7" s="11" customFormat="1" ht="15.95" customHeight="1" x14ac:dyDescent="0.3">
      <c r="A94" s="1"/>
      <c r="B94" s="10"/>
      <c r="C94" s="13"/>
      <c r="D94" s="47"/>
      <c r="E94" s="141"/>
      <c r="F94" s="141"/>
    </row>
    <row r="95" spans="1:7" s="11" customFormat="1" ht="15.95" customHeight="1" x14ac:dyDescent="0.3">
      <c r="A95" s="1"/>
      <c r="B95" s="10"/>
      <c r="C95" s="13"/>
      <c r="D95" s="47"/>
      <c r="E95" s="141"/>
      <c r="F95" s="141"/>
    </row>
    <row r="96" spans="1:7" s="11" customFormat="1" ht="15.95" customHeight="1" x14ac:dyDescent="0.25">
      <c r="E96" s="141"/>
      <c r="F96" s="141"/>
    </row>
    <row r="97" spans="1:19" s="11" customFormat="1" ht="15.95" customHeight="1" x14ac:dyDescent="0.25">
      <c r="E97" s="141"/>
      <c r="F97" s="141"/>
    </row>
    <row r="98" spans="1:19" s="11" customFormat="1" ht="15.95" customHeight="1" x14ac:dyDescent="0.25">
      <c r="E98" s="141"/>
      <c r="F98" s="141"/>
    </row>
    <row r="99" spans="1:19" s="11" customFormat="1" ht="15.95" customHeight="1" x14ac:dyDescent="0.25">
      <c r="E99" s="141"/>
      <c r="F99" s="141"/>
    </row>
    <row r="100" spans="1:19" s="11" customFormat="1" ht="15.95" customHeight="1" x14ac:dyDescent="0.25">
      <c r="E100" s="141"/>
      <c r="F100" s="141"/>
    </row>
    <row r="101" spans="1:19" s="11" customFormat="1" ht="15.95" customHeight="1" x14ac:dyDescent="0.25">
      <c r="E101" s="141"/>
      <c r="F101" s="141"/>
      <c r="H101" s="88"/>
    </row>
    <row r="102" spans="1:19" s="11" customFormat="1" ht="15.95" customHeight="1" x14ac:dyDescent="0.25">
      <c r="E102" s="141"/>
      <c r="F102" s="141"/>
      <c r="H102" s="88"/>
    </row>
    <row r="103" spans="1:19" s="11" customFormat="1" ht="15.95" customHeight="1" x14ac:dyDescent="0.25">
      <c r="E103" s="141"/>
      <c r="F103" s="141"/>
      <c r="G103" s="126"/>
      <c r="H103" s="88"/>
    </row>
    <row r="104" spans="1:19" s="11" customFormat="1" ht="15.95" customHeight="1" x14ac:dyDescent="0.25">
      <c r="E104" s="141"/>
      <c r="F104" s="141"/>
      <c r="H104" s="88"/>
    </row>
    <row r="105" spans="1:19" s="11" customFormat="1" ht="20.100000000000001" customHeight="1" x14ac:dyDescent="0.25">
      <c r="E105" s="141"/>
      <c r="F105" s="141"/>
      <c r="H105" s="88"/>
    </row>
    <row r="106" spans="1:19" s="11" customFormat="1" ht="20.100000000000001" customHeight="1" x14ac:dyDescent="0.25">
      <c r="E106" s="141"/>
      <c r="F106" s="141"/>
      <c r="H106" s="88"/>
    </row>
    <row r="107" spans="1:19" s="11" customFormat="1" ht="20.100000000000001" customHeight="1" x14ac:dyDescent="0.25">
      <c r="E107" s="141"/>
      <c r="F107" s="141"/>
      <c r="G107" s="126"/>
      <c r="H107" s="88"/>
    </row>
    <row r="108" spans="1:19" s="11" customFormat="1" ht="20.100000000000001" customHeight="1" x14ac:dyDescent="0.25">
      <c r="E108" s="141"/>
      <c r="F108" s="141"/>
      <c r="H108" s="88"/>
    </row>
    <row r="109" spans="1:19" s="13" customFormat="1" ht="20.100000000000001" customHeight="1" x14ac:dyDescent="0.3">
      <c r="A109" s="1"/>
      <c r="B109" s="10"/>
      <c r="D109" s="47"/>
      <c r="E109" s="141"/>
      <c r="F109" s="141"/>
      <c r="H109" s="88"/>
      <c r="I109" s="11"/>
    </row>
    <row r="110" spans="1:19" s="13" customFormat="1" ht="20.100000000000001" customHeight="1" x14ac:dyDescent="0.3">
      <c r="A110" s="1"/>
      <c r="B110" s="10"/>
      <c r="D110" s="47"/>
      <c r="E110" s="141"/>
      <c r="F110" s="141"/>
      <c r="H110" s="88"/>
      <c r="I110" s="11"/>
    </row>
    <row r="111" spans="1:19" s="13" customFormat="1" ht="20.100000000000001" customHeight="1" x14ac:dyDescent="0.3">
      <c r="A111" s="1"/>
      <c r="B111" s="10"/>
      <c r="D111" s="47"/>
      <c r="E111" s="141"/>
      <c r="F111" s="141"/>
      <c r="H111" s="88"/>
      <c r="I111" s="11"/>
    </row>
    <row r="112" spans="1:19" s="90" customFormat="1" ht="20.100000000000001" customHeight="1" x14ac:dyDescent="0.3">
      <c r="A112" s="1"/>
      <c r="B112" s="10"/>
      <c r="C112" s="6"/>
      <c r="D112" s="116"/>
      <c r="E112" s="141"/>
      <c r="F112" s="141"/>
      <c r="G112" s="1"/>
      <c r="I112" s="1"/>
      <c r="J112" s="1"/>
      <c r="K112" s="1"/>
      <c r="M112" s="1"/>
      <c r="N112" s="1"/>
      <c r="O112" s="1"/>
      <c r="P112" s="1"/>
      <c r="Q112" s="1"/>
      <c r="R112" s="1"/>
      <c r="S112" s="1"/>
    </row>
    <row r="113" spans="1:19" s="90" customFormat="1" ht="20.100000000000001" customHeight="1" x14ac:dyDescent="0.3">
      <c r="A113" s="1"/>
      <c r="B113" s="10"/>
      <c r="C113" s="6"/>
      <c r="D113" s="116"/>
      <c r="E113" s="141"/>
      <c r="F113" s="141"/>
      <c r="G113" s="1"/>
      <c r="I113" s="1"/>
      <c r="J113" s="1"/>
      <c r="K113" s="1"/>
      <c r="M113" s="1"/>
      <c r="N113" s="1"/>
      <c r="O113" s="1"/>
      <c r="P113" s="1"/>
      <c r="Q113" s="1"/>
      <c r="R113" s="1"/>
      <c r="S113" s="1"/>
    </row>
    <row r="114" spans="1:19" s="90" customFormat="1" ht="20.100000000000001" customHeight="1" x14ac:dyDescent="0.3">
      <c r="A114" s="1"/>
      <c r="B114" s="10"/>
      <c r="C114" s="6"/>
      <c r="D114" s="116"/>
      <c r="E114" s="141"/>
      <c r="F114" s="141"/>
      <c r="G114" s="1"/>
      <c r="I114" s="1"/>
      <c r="J114" s="1"/>
      <c r="K114" s="1"/>
      <c r="M114" s="1"/>
      <c r="N114" s="1"/>
      <c r="O114" s="1"/>
      <c r="P114" s="1"/>
      <c r="Q114" s="1"/>
      <c r="R114" s="1"/>
      <c r="S114" s="1"/>
    </row>
    <row r="115" spans="1:19" s="90" customFormat="1" ht="20.100000000000001" customHeight="1" x14ac:dyDescent="0.3">
      <c r="A115" s="1"/>
      <c r="B115" s="10"/>
      <c r="C115" s="6"/>
      <c r="D115" s="116"/>
      <c r="E115" s="141"/>
      <c r="F115" s="141"/>
      <c r="G115" s="11"/>
      <c r="I115" s="1"/>
      <c r="J115" s="1"/>
      <c r="K115" s="1"/>
      <c r="M115" s="1"/>
      <c r="N115" s="1"/>
      <c r="O115" s="1"/>
      <c r="P115" s="1"/>
      <c r="Q115" s="1"/>
      <c r="R115" s="1"/>
      <c r="S115" s="1"/>
    </row>
  </sheetData>
  <pageMargins left="0.7" right="0.7" top="0.75" bottom="0.75" header="0.3" footer="0.3"/>
  <pageSetup scale="92" fitToHeight="0"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9471C-A667-4E76-82BA-DF6C8DB912C6}">
  <sheetPr>
    <pageSetUpPr fitToPage="1"/>
  </sheetPr>
  <dimension ref="A1:S150"/>
  <sheetViews>
    <sheetView topLeftCell="A59" zoomScale="98" zoomScaleNormal="98" workbookViewId="0">
      <selection activeCell="A75" sqref="A75:XFD75"/>
    </sheetView>
  </sheetViews>
  <sheetFormatPr defaultRowHeight="18.75" x14ac:dyDescent="0.3"/>
  <cols>
    <col min="1" max="1" width="20.7109375" style="1" customWidth="1"/>
    <col min="2" max="2" width="16.85546875" style="10" customWidth="1"/>
    <col min="3" max="3" width="25" style="13" bestFit="1" customWidth="1"/>
    <col min="4" max="4" width="25.140625" style="116" customWidth="1"/>
    <col min="5" max="5" width="9.7109375" style="141" customWidth="1"/>
    <col min="6" max="6" width="16.5703125" style="141" customWidth="1"/>
    <col min="7" max="7" width="35" style="1" bestFit="1" customWidth="1"/>
    <col min="8" max="8" width="5.5703125" style="90" bestFit="1" customWidth="1"/>
    <col min="9" max="11" width="9.140625" style="1"/>
    <col min="12" max="12" width="57.5703125" style="1" bestFit="1" customWidth="1"/>
    <col min="13" max="16384" width="9.140625" style="1"/>
  </cols>
  <sheetData>
    <row r="1" spans="1:19" s="11" customFormat="1" ht="20.100000000000001" customHeight="1" x14ac:dyDescent="0.25">
      <c r="A1" s="11" t="s">
        <v>1203</v>
      </c>
      <c r="B1" s="17"/>
      <c r="C1" s="13"/>
      <c r="D1" s="47"/>
      <c r="E1" s="141"/>
      <c r="H1" s="88"/>
    </row>
    <row r="2" spans="1:19" s="11" customFormat="1" ht="20.100000000000001" customHeight="1" x14ac:dyDescent="0.25">
      <c r="A2" s="14">
        <v>45565</v>
      </c>
      <c r="B2" s="17"/>
      <c r="C2" s="13"/>
      <c r="D2" s="47"/>
      <c r="E2" s="141"/>
      <c r="H2" s="88"/>
    </row>
    <row r="3" spans="1:19" s="11" customFormat="1" ht="20.100000000000001" customHeight="1" x14ac:dyDescent="0.25">
      <c r="A3" s="11" t="s">
        <v>311</v>
      </c>
      <c r="B3" s="17">
        <v>-32803358.16</v>
      </c>
      <c r="C3" s="13"/>
      <c r="D3" s="47"/>
      <c r="E3" s="141"/>
      <c r="H3" s="88"/>
      <c r="L3" s="11" t="s">
        <v>1437</v>
      </c>
      <c r="M3" s="89"/>
    </row>
    <row r="4" spans="1:19" s="11" customFormat="1" ht="20.100000000000001" customHeight="1" x14ac:dyDescent="0.25">
      <c r="A4" s="11" t="s">
        <v>6</v>
      </c>
      <c r="B4" s="17"/>
      <c r="C4" s="13"/>
      <c r="D4" s="47"/>
      <c r="E4" s="141"/>
      <c r="H4" s="88"/>
      <c r="L4" s="11" t="s">
        <v>1438</v>
      </c>
      <c r="M4" s="89"/>
    </row>
    <row r="5" spans="1:19" s="11" customFormat="1" ht="20.100000000000001" customHeight="1" x14ac:dyDescent="0.25">
      <c r="A5" s="11">
        <v>2100</v>
      </c>
      <c r="B5" s="17">
        <v>34286111.409999996</v>
      </c>
      <c r="C5" s="13"/>
      <c r="D5" s="47"/>
      <c r="E5" s="141"/>
      <c r="H5" s="88"/>
      <c r="L5" s="11" t="s">
        <v>1439</v>
      </c>
      <c r="M5" s="89"/>
    </row>
    <row r="6" spans="1:19" s="11" customFormat="1" ht="20.100000000000001" customHeight="1" x14ac:dyDescent="0.25">
      <c r="A6" s="11" t="s">
        <v>5</v>
      </c>
      <c r="B6" s="17">
        <f>SUM(B5)</f>
        <v>34286111.409999996</v>
      </c>
      <c r="C6" s="13"/>
      <c r="D6" s="47"/>
      <c r="E6" s="141"/>
      <c r="H6" s="88"/>
      <c r="L6" s="11" t="s">
        <v>1440</v>
      </c>
      <c r="M6" s="89"/>
      <c r="O6" s="62"/>
      <c r="P6" s="62"/>
      <c r="Q6" s="62"/>
      <c r="R6" s="62"/>
      <c r="S6" s="62"/>
    </row>
    <row r="7" spans="1:19" s="11" customFormat="1" ht="20.100000000000001" customHeight="1" x14ac:dyDescent="0.25">
      <c r="A7" s="11" t="s">
        <v>4</v>
      </c>
      <c r="B7" s="17">
        <f>B6+B3</f>
        <v>1482753.2499999963</v>
      </c>
      <c r="C7" s="13"/>
      <c r="D7" s="47"/>
      <c r="E7" s="141"/>
      <c r="H7" s="88"/>
      <c r="L7" s="11" t="s">
        <v>1441</v>
      </c>
      <c r="M7" s="88"/>
    </row>
    <row r="8" spans="1:19" s="11" customFormat="1" ht="15.95" customHeight="1" x14ac:dyDescent="0.25">
      <c r="A8" s="11" t="s">
        <v>3</v>
      </c>
      <c r="B8" s="17"/>
      <c r="C8" s="44" t="s">
        <v>628</v>
      </c>
      <c r="D8" s="114" t="s">
        <v>626</v>
      </c>
      <c r="E8" s="141"/>
      <c r="H8" s="88"/>
      <c r="L8" s="11" t="s">
        <v>1442</v>
      </c>
      <c r="M8" s="88"/>
    </row>
    <row r="9" spans="1:19" s="11" customFormat="1" ht="15.75" x14ac:dyDescent="0.25">
      <c r="A9" s="77" t="s">
        <v>2417</v>
      </c>
      <c r="B9" s="98">
        <v>-25312</v>
      </c>
      <c r="C9" s="31">
        <v>45596</v>
      </c>
      <c r="D9" s="28">
        <v>45600</v>
      </c>
      <c r="E9" s="141"/>
      <c r="F9" s="141"/>
      <c r="G9" s="55"/>
      <c r="L9" s="11" t="s">
        <v>1443</v>
      </c>
      <c r="M9" s="88"/>
    </row>
    <row r="10" spans="1:19" s="11" customFormat="1" ht="15.75" x14ac:dyDescent="0.25">
      <c r="A10" s="77" t="s">
        <v>2418</v>
      </c>
      <c r="B10" s="98">
        <v>-26452</v>
      </c>
      <c r="C10" s="31">
        <v>45596</v>
      </c>
      <c r="D10" s="28">
        <v>45600</v>
      </c>
      <c r="E10" s="141"/>
      <c r="F10" s="141"/>
      <c r="G10" s="55"/>
      <c r="L10" s="11" t="s">
        <v>1444</v>
      </c>
      <c r="M10" s="88"/>
    </row>
    <row r="11" spans="1:19" s="11" customFormat="1" ht="15.75" x14ac:dyDescent="0.25">
      <c r="A11" s="77" t="s">
        <v>2419</v>
      </c>
      <c r="B11" s="98">
        <v>-26835</v>
      </c>
      <c r="C11" s="31">
        <v>45596</v>
      </c>
      <c r="D11" s="28">
        <v>45600</v>
      </c>
      <c r="E11" s="141"/>
      <c r="F11" s="141"/>
      <c r="G11" s="55"/>
      <c r="L11" s="11" t="s">
        <v>1445</v>
      </c>
      <c r="M11" s="88"/>
    </row>
    <row r="12" spans="1:19" s="11" customFormat="1" ht="15.75" x14ac:dyDescent="0.25">
      <c r="A12" s="77" t="s">
        <v>2420</v>
      </c>
      <c r="B12" s="98">
        <v>-28829</v>
      </c>
      <c r="C12" s="31">
        <v>45596</v>
      </c>
      <c r="D12" s="28">
        <v>45600</v>
      </c>
      <c r="E12" s="141"/>
      <c r="F12" s="141"/>
      <c r="G12" s="55"/>
      <c r="L12" s="11" t="s">
        <v>1446</v>
      </c>
      <c r="M12" s="88"/>
    </row>
    <row r="13" spans="1:19" s="11" customFormat="1" ht="15.75" x14ac:dyDescent="0.25">
      <c r="A13" s="77" t="s">
        <v>2421</v>
      </c>
      <c r="B13" s="98">
        <v>-28829</v>
      </c>
      <c r="C13" s="31">
        <v>45596</v>
      </c>
      <c r="D13" s="28">
        <v>45600</v>
      </c>
      <c r="E13" s="141"/>
      <c r="F13" s="141"/>
      <c r="G13" s="55"/>
      <c r="L13" s="11" t="s">
        <v>1447</v>
      </c>
      <c r="M13" s="88"/>
    </row>
    <row r="14" spans="1:19" s="11" customFormat="1" ht="15.75" x14ac:dyDescent="0.25">
      <c r="A14" s="77" t="s">
        <v>2422</v>
      </c>
      <c r="B14" s="98">
        <v>-28829</v>
      </c>
      <c r="C14" s="31">
        <v>45596</v>
      </c>
      <c r="D14" s="28">
        <v>45600</v>
      </c>
      <c r="E14" s="141"/>
      <c r="F14" s="141"/>
      <c r="G14" s="55"/>
      <c r="L14" s="11" t="s">
        <v>1448</v>
      </c>
      <c r="M14" s="88"/>
    </row>
    <row r="15" spans="1:19" s="11" customFormat="1" ht="15.75" x14ac:dyDescent="0.25">
      <c r="A15" s="77" t="s">
        <v>2423</v>
      </c>
      <c r="B15" s="98">
        <v>-29317</v>
      </c>
      <c r="C15" s="31">
        <v>45596</v>
      </c>
      <c r="D15" s="28">
        <v>45600</v>
      </c>
      <c r="E15" s="141"/>
      <c r="F15" s="141"/>
      <c r="G15" s="55"/>
      <c r="L15" s="11" t="s">
        <v>1449</v>
      </c>
      <c r="M15" s="88"/>
    </row>
    <row r="16" spans="1:19" s="11" customFormat="1" ht="15.75" x14ac:dyDescent="0.25">
      <c r="A16" s="77" t="s">
        <v>2424</v>
      </c>
      <c r="B16" s="98">
        <v>-29786</v>
      </c>
      <c r="C16" s="31" t="s">
        <v>2504</v>
      </c>
      <c r="D16" s="28" t="s">
        <v>2467</v>
      </c>
      <c r="E16" s="141"/>
      <c r="F16" s="141"/>
      <c r="G16" s="55"/>
      <c r="L16" s="11" t="s">
        <v>1450</v>
      </c>
      <c r="M16" s="88"/>
    </row>
    <row r="17" spans="1:13" s="11" customFormat="1" ht="15.75" x14ac:dyDescent="0.25">
      <c r="A17" s="77" t="s">
        <v>2425</v>
      </c>
      <c r="B17" s="98">
        <v>-30883</v>
      </c>
      <c r="C17" s="31" t="s">
        <v>2504</v>
      </c>
      <c r="D17" s="28" t="s">
        <v>2467</v>
      </c>
      <c r="E17" s="141"/>
      <c r="F17" s="141"/>
      <c r="G17" s="55"/>
      <c r="L17" s="11" t="s">
        <v>1451</v>
      </c>
      <c r="M17" s="88"/>
    </row>
    <row r="18" spans="1:13" s="11" customFormat="1" ht="15.75" x14ac:dyDescent="0.25">
      <c r="A18" s="77" t="s">
        <v>2426</v>
      </c>
      <c r="B18" s="98">
        <v>-31021</v>
      </c>
      <c r="C18" s="31">
        <v>45596</v>
      </c>
      <c r="D18" s="28">
        <v>45600</v>
      </c>
      <c r="E18" s="141"/>
      <c r="F18" s="141"/>
      <c r="G18" s="55"/>
      <c r="L18" s="11" t="s">
        <v>1452</v>
      </c>
      <c r="M18" s="88"/>
    </row>
    <row r="19" spans="1:13" s="11" customFormat="1" ht="15.75" x14ac:dyDescent="0.25">
      <c r="A19" s="77" t="s">
        <v>2427</v>
      </c>
      <c r="B19" s="98">
        <v>-31443.85</v>
      </c>
      <c r="C19" s="31">
        <v>45595</v>
      </c>
      <c r="D19" s="28">
        <v>45600</v>
      </c>
      <c r="E19" s="141"/>
      <c r="F19" s="141"/>
      <c r="G19" s="55"/>
      <c r="L19" s="11" t="s">
        <v>1453</v>
      </c>
      <c r="M19" s="88"/>
    </row>
    <row r="20" spans="1:13" s="11" customFormat="1" ht="15.75" x14ac:dyDescent="0.25">
      <c r="A20" s="77" t="s">
        <v>2428</v>
      </c>
      <c r="B20" s="98">
        <v>-31443.85</v>
      </c>
      <c r="C20" s="31">
        <v>45595</v>
      </c>
      <c r="D20" s="28">
        <v>45600</v>
      </c>
      <c r="E20" s="141"/>
      <c r="F20" s="141"/>
      <c r="G20" s="55"/>
      <c r="L20" s="11" t="s">
        <v>1436</v>
      </c>
      <c r="M20" s="88"/>
    </row>
    <row r="21" spans="1:13" s="11" customFormat="1" ht="15.75" x14ac:dyDescent="0.25">
      <c r="A21" s="77" t="s">
        <v>2429</v>
      </c>
      <c r="B21" s="98">
        <v>-32503</v>
      </c>
      <c r="C21" s="31" t="s">
        <v>2504</v>
      </c>
      <c r="D21" s="28" t="s">
        <v>2467</v>
      </c>
      <c r="E21" s="141"/>
      <c r="F21" s="141"/>
      <c r="G21" s="55"/>
      <c r="L21" s="11" t="s">
        <v>1454</v>
      </c>
      <c r="M21" s="88"/>
    </row>
    <row r="22" spans="1:13" s="11" customFormat="1" ht="15.75" x14ac:dyDescent="0.25">
      <c r="A22" s="77" t="s">
        <v>2430</v>
      </c>
      <c r="B22" s="98">
        <v>-32503</v>
      </c>
      <c r="C22" s="31" t="s">
        <v>2504</v>
      </c>
      <c r="D22" s="28" t="s">
        <v>2467</v>
      </c>
      <c r="E22" s="141"/>
      <c r="F22" s="141"/>
      <c r="G22" s="55"/>
      <c r="L22" s="11" t="s">
        <v>1455</v>
      </c>
      <c r="M22" s="88"/>
    </row>
    <row r="23" spans="1:13" s="11" customFormat="1" ht="15.75" x14ac:dyDescent="0.25">
      <c r="A23" s="11" t="s">
        <v>2431</v>
      </c>
      <c r="B23" s="98">
        <v>-33120</v>
      </c>
      <c r="C23" s="31">
        <v>45596</v>
      </c>
      <c r="D23" s="28">
        <v>45600</v>
      </c>
      <c r="E23" s="141"/>
      <c r="F23" s="141"/>
      <c r="G23" s="55"/>
      <c r="L23" s="11" t="s">
        <v>1456</v>
      </c>
      <c r="M23" s="88"/>
    </row>
    <row r="24" spans="1:13" s="11" customFormat="1" ht="15.75" x14ac:dyDescent="0.25">
      <c r="A24" s="77" t="s">
        <v>2432</v>
      </c>
      <c r="B24" s="98">
        <v>-33120</v>
      </c>
      <c r="C24" s="31">
        <v>45596</v>
      </c>
      <c r="D24" s="28">
        <v>45600</v>
      </c>
      <c r="E24" s="141"/>
      <c r="F24" s="141"/>
      <c r="G24" s="55"/>
      <c r="L24" s="11" t="s">
        <v>1457</v>
      </c>
      <c r="M24" s="88"/>
    </row>
    <row r="25" spans="1:13" s="11" customFormat="1" ht="15.75" x14ac:dyDescent="0.25">
      <c r="A25" s="77" t="s">
        <v>2433</v>
      </c>
      <c r="B25" s="98">
        <v>-33528</v>
      </c>
      <c r="C25" s="31">
        <v>45596</v>
      </c>
      <c r="D25" s="28">
        <v>45600</v>
      </c>
      <c r="E25" s="141"/>
      <c r="F25" s="141"/>
      <c r="G25" s="55"/>
      <c r="L25" s="11" t="s">
        <v>2506</v>
      </c>
      <c r="M25" s="88"/>
    </row>
    <row r="26" spans="1:13" s="11" customFormat="1" ht="15.75" x14ac:dyDescent="0.25">
      <c r="A26" s="77" t="s">
        <v>2434</v>
      </c>
      <c r="B26" s="98">
        <v>-34483</v>
      </c>
      <c r="C26" s="31" t="s">
        <v>2504</v>
      </c>
      <c r="D26" s="28" t="s">
        <v>2467</v>
      </c>
      <c r="E26" s="141"/>
      <c r="F26" s="141"/>
      <c r="G26" s="55"/>
      <c r="L26" s="11" t="s">
        <v>1458</v>
      </c>
      <c r="M26" s="88"/>
    </row>
    <row r="27" spans="1:13" s="11" customFormat="1" ht="15.75" x14ac:dyDescent="0.25">
      <c r="A27" s="77" t="s">
        <v>2435</v>
      </c>
      <c r="B27" s="98">
        <v>-34601</v>
      </c>
      <c r="C27" s="31" t="s">
        <v>2504</v>
      </c>
      <c r="D27" s="28" t="s">
        <v>2467</v>
      </c>
      <c r="E27" s="141"/>
      <c r="F27" s="141"/>
      <c r="G27" s="55"/>
      <c r="L27" s="11" t="s">
        <v>1368</v>
      </c>
      <c r="M27" s="88"/>
    </row>
    <row r="28" spans="1:13" s="11" customFormat="1" ht="15.75" x14ac:dyDescent="0.25">
      <c r="A28" s="77" t="s">
        <v>2436</v>
      </c>
      <c r="B28" s="98">
        <v>-34709</v>
      </c>
      <c r="C28" s="31" t="s">
        <v>2504</v>
      </c>
      <c r="D28" s="28" t="s">
        <v>2467</v>
      </c>
      <c r="E28" s="141"/>
      <c r="F28" s="141"/>
      <c r="G28" s="55"/>
      <c r="L28" s="11" t="s">
        <v>1459</v>
      </c>
      <c r="M28" s="88"/>
    </row>
    <row r="29" spans="1:13" s="11" customFormat="1" ht="15.75" x14ac:dyDescent="0.25">
      <c r="A29" s="77" t="s">
        <v>2437</v>
      </c>
      <c r="B29" s="98">
        <v>-35741</v>
      </c>
      <c r="C29" s="31">
        <v>45596</v>
      </c>
      <c r="D29" s="28">
        <v>45600</v>
      </c>
      <c r="E29" s="141"/>
      <c r="F29" s="141"/>
      <c r="G29" s="55"/>
      <c r="L29" s="11" t="s">
        <v>1369</v>
      </c>
      <c r="M29" s="88"/>
    </row>
    <row r="30" spans="1:13" s="11" customFormat="1" ht="15.75" x14ac:dyDescent="0.25">
      <c r="A30" s="77" t="s">
        <v>2304</v>
      </c>
      <c r="B30" s="98">
        <v>-36954</v>
      </c>
      <c r="C30" s="31" t="s">
        <v>2503</v>
      </c>
      <c r="D30" s="28" t="s">
        <v>2468</v>
      </c>
      <c r="E30" s="141"/>
      <c r="F30" s="141"/>
      <c r="G30" s="55"/>
      <c r="L30" s="11" t="s">
        <v>1460</v>
      </c>
      <c r="M30" s="88"/>
    </row>
    <row r="31" spans="1:13" s="11" customFormat="1" ht="15.75" x14ac:dyDescent="0.25">
      <c r="A31" s="77" t="s">
        <v>2438</v>
      </c>
      <c r="B31" s="98">
        <v>-37288.199999999997</v>
      </c>
      <c r="C31" s="31">
        <v>45596</v>
      </c>
      <c r="D31" s="28">
        <v>45597</v>
      </c>
      <c r="E31" s="141"/>
      <c r="F31" s="141"/>
      <c r="G31" s="55"/>
      <c r="M31" s="88"/>
    </row>
    <row r="32" spans="1:13" s="11" customFormat="1" ht="15.75" x14ac:dyDescent="0.25">
      <c r="A32" s="77" t="s">
        <v>2439</v>
      </c>
      <c r="B32" s="98">
        <v>-37288.199999999997</v>
      </c>
      <c r="C32" s="31">
        <v>45595</v>
      </c>
      <c r="D32" s="28">
        <v>45600</v>
      </c>
      <c r="E32" s="141"/>
      <c r="F32" s="141"/>
      <c r="G32" s="55"/>
      <c r="M32" s="88"/>
    </row>
    <row r="33" spans="1:13" s="11" customFormat="1" ht="15.75" x14ac:dyDescent="0.25">
      <c r="A33" s="77" t="s">
        <v>2440</v>
      </c>
      <c r="B33" s="98">
        <v>-37295</v>
      </c>
      <c r="C33" s="31">
        <v>45596</v>
      </c>
      <c r="D33" s="28">
        <v>45600</v>
      </c>
      <c r="E33" s="141"/>
      <c r="F33" s="141"/>
      <c r="G33" s="55"/>
      <c r="M33" s="88"/>
    </row>
    <row r="34" spans="1:13" s="11" customFormat="1" ht="15.75" x14ac:dyDescent="0.25">
      <c r="A34" s="77" t="s">
        <v>2441</v>
      </c>
      <c r="B34" s="98">
        <v>-37335</v>
      </c>
      <c r="C34" s="31" t="s">
        <v>2504</v>
      </c>
      <c r="D34" s="28" t="s">
        <v>2468</v>
      </c>
      <c r="E34" s="141"/>
      <c r="F34" s="141"/>
      <c r="G34" s="55"/>
      <c r="M34" s="88"/>
    </row>
    <row r="35" spans="1:13" s="11" customFormat="1" ht="15.75" x14ac:dyDescent="0.25">
      <c r="A35" s="77" t="s">
        <v>2442</v>
      </c>
      <c r="B35" s="98">
        <v>-37335</v>
      </c>
      <c r="C35" s="31" t="s">
        <v>2504</v>
      </c>
      <c r="D35" s="28" t="s">
        <v>2468</v>
      </c>
      <c r="E35" s="141"/>
      <c r="F35" s="141"/>
      <c r="G35" s="55"/>
      <c r="M35" s="88"/>
    </row>
    <row r="36" spans="1:13" s="11" customFormat="1" ht="15.75" x14ac:dyDescent="0.25">
      <c r="A36" s="77" t="s">
        <v>2443</v>
      </c>
      <c r="B36" s="98">
        <v>-37709</v>
      </c>
      <c r="C36" s="31" t="s">
        <v>2504</v>
      </c>
      <c r="D36" s="28" t="s">
        <v>2467</v>
      </c>
      <c r="E36" s="141"/>
      <c r="F36" s="141"/>
      <c r="G36" s="55"/>
      <c r="M36" s="88"/>
    </row>
    <row r="37" spans="1:13" s="11" customFormat="1" ht="15.75" x14ac:dyDescent="0.25">
      <c r="A37" s="77" t="s">
        <v>2444</v>
      </c>
      <c r="B37" s="98">
        <v>-39055</v>
      </c>
      <c r="C37" s="31" t="s">
        <v>2504</v>
      </c>
      <c r="D37" s="28" t="s">
        <v>2467</v>
      </c>
      <c r="E37" s="141"/>
      <c r="F37" s="141"/>
      <c r="G37" s="55"/>
    </row>
    <row r="38" spans="1:13" s="11" customFormat="1" ht="15.75" x14ac:dyDescent="0.25">
      <c r="A38" s="77" t="s">
        <v>2445</v>
      </c>
      <c r="B38" s="98">
        <v>-42034</v>
      </c>
      <c r="C38" s="31">
        <v>45596</v>
      </c>
      <c r="D38" s="28">
        <v>45600</v>
      </c>
      <c r="E38" s="141"/>
      <c r="F38" s="141"/>
      <c r="G38" s="55"/>
    </row>
    <row r="39" spans="1:13" s="11" customFormat="1" ht="15.75" x14ac:dyDescent="0.25">
      <c r="A39" s="77" t="s">
        <v>2451</v>
      </c>
      <c r="B39" s="98">
        <v>-44116.800000000003</v>
      </c>
      <c r="C39" s="31">
        <v>45596</v>
      </c>
      <c r="D39" s="28">
        <v>45597</v>
      </c>
      <c r="E39" s="141"/>
      <c r="F39" s="141"/>
      <c r="G39" s="55"/>
      <c r="M39" s="88"/>
    </row>
    <row r="40" spans="1:13" s="11" customFormat="1" ht="15.75" x14ac:dyDescent="0.25">
      <c r="A40" s="77" t="s">
        <v>2454</v>
      </c>
      <c r="B40" s="98">
        <v>-47425</v>
      </c>
      <c r="C40" s="31" t="s">
        <v>2504</v>
      </c>
      <c r="D40" s="28" t="s">
        <v>2467</v>
      </c>
      <c r="E40" s="141"/>
      <c r="F40" s="141"/>
      <c r="G40" s="55"/>
      <c r="M40" s="88"/>
    </row>
    <row r="41" spans="1:13" s="11" customFormat="1" ht="15.75" x14ac:dyDescent="0.25">
      <c r="A41" s="77" t="s">
        <v>2456</v>
      </c>
      <c r="B41" s="98">
        <v>-47803</v>
      </c>
      <c r="C41" s="31" t="s">
        <v>2504</v>
      </c>
      <c r="D41" s="28" t="s">
        <v>2467</v>
      </c>
      <c r="E41" s="141"/>
      <c r="F41" s="141"/>
      <c r="G41" s="55"/>
      <c r="M41" s="88"/>
    </row>
    <row r="42" spans="1:13" s="11" customFormat="1" ht="15.75" x14ac:dyDescent="0.25">
      <c r="A42" s="77" t="s">
        <v>2460</v>
      </c>
      <c r="B42" s="98">
        <v>-82461.100000000006</v>
      </c>
      <c r="C42" s="31">
        <v>45595</v>
      </c>
      <c r="D42" s="28">
        <v>45600</v>
      </c>
      <c r="E42" s="141"/>
      <c r="F42" s="141"/>
      <c r="G42" s="55"/>
      <c r="M42" s="88"/>
    </row>
    <row r="43" spans="1:13" s="11" customFormat="1" ht="15.75" x14ac:dyDescent="0.25">
      <c r="A43" s="77" t="s">
        <v>2461</v>
      </c>
      <c r="B43" s="98">
        <v>-88297.85</v>
      </c>
      <c r="C43" s="31">
        <v>45596</v>
      </c>
      <c r="D43" s="28">
        <v>45602</v>
      </c>
      <c r="E43" s="141"/>
      <c r="F43" s="141"/>
      <c r="G43" s="55"/>
      <c r="M43" s="88"/>
    </row>
    <row r="44" spans="1:13" s="11" customFormat="1" ht="15.75" x14ac:dyDescent="0.25">
      <c r="A44" s="77" t="s">
        <v>2462</v>
      </c>
      <c r="B44" s="98">
        <v>-88297.85</v>
      </c>
      <c r="C44" s="31">
        <v>45596</v>
      </c>
      <c r="D44" s="28">
        <v>45602</v>
      </c>
      <c r="E44" s="141"/>
      <c r="F44" s="141"/>
      <c r="G44" s="55"/>
      <c r="M44" s="88"/>
    </row>
    <row r="45" spans="1:13" s="11" customFormat="1" ht="15.75" x14ac:dyDescent="0.25">
      <c r="A45" s="77" t="s">
        <v>2463</v>
      </c>
      <c r="B45" s="98">
        <v>-91069.25</v>
      </c>
      <c r="C45" s="31">
        <v>45593</v>
      </c>
      <c r="D45" s="28">
        <v>45600</v>
      </c>
      <c r="E45" s="141"/>
      <c r="F45" s="141"/>
      <c r="G45" s="55"/>
      <c r="M45" s="88"/>
    </row>
    <row r="46" spans="1:13" s="11" customFormat="1" ht="15.75" x14ac:dyDescent="0.25">
      <c r="A46" s="77"/>
      <c r="B46" s="98"/>
      <c r="C46" s="31"/>
      <c r="D46" s="28"/>
      <c r="E46" s="141"/>
      <c r="F46" s="141"/>
      <c r="G46" s="55"/>
      <c r="M46" s="88"/>
    </row>
    <row r="47" spans="1:13" s="11" customFormat="1" ht="15.75" x14ac:dyDescent="0.25">
      <c r="A47" s="77"/>
      <c r="B47" s="98"/>
      <c r="C47" s="31"/>
      <c r="D47" s="28"/>
      <c r="E47" s="141"/>
      <c r="F47" s="141"/>
      <c r="G47" s="55"/>
      <c r="M47" s="88"/>
    </row>
    <row r="48" spans="1:13" s="11" customFormat="1" ht="15.75" x14ac:dyDescent="0.25">
      <c r="A48" s="77"/>
      <c r="B48" s="98"/>
      <c r="C48" s="31"/>
      <c r="D48" s="28"/>
      <c r="E48" s="141"/>
      <c r="F48" s="141"/>
      <c r="G48" s="55"/>
      <c r="M48" s="88"/>
    </row>
    <row r="49" spans="1:13" s="11" customFormat="1" ht="15.75" x14ac:dyDescent="0.25">
      <c r="A49" s="77"/>
      <c r="B49" s="98"/>
      <c r="C49" s="31"/>
      <c r="D49" s="28"/>
      <c r="E49" s="141"/>
      <c r="F49" s="141"/>
      <c r="G49" s="55"/>
      <c r="M49" s="88"/>
    </row>
    <row r="50" spans="1:13" s="11" customFormat="1" ht="15.75" x14ac:dyDescent="0.25">
      <c r="B50" s="25">
        <f>SUM(B9:B49)</f>
        <v>-1485052.9500000002</v>
      </c>
      <c r="C50" s="28"/>
      <c r="D50" s="28"/>
      <c r="E50" s="141"/>
      <c r="F50" s="141"/>
      <c r="G50" s="55"/>
    </row>
    <row r="51" spans="1:13" s="11" customFormat="1" ht="16.5" customHeight="1" x14ac:dyDescent="0.25">
      <c r="A51" s="11" t="s">
        <v>2</v>
      </c>
      <c r="B51" s="25"/>
      <c r="C51" s="30" t="s">
        <v>626</v>
      </c>
      <c r="D51" s="114" t="s">
        <v>628</v>
      </c>
      <c r="E51" s="141"/>
      <c r="F51" s="141"/>
      <c r="G51" s="55"/>
    </row>
    <row r="52" spans="1:13" s="11" customFormat="1" ht="16.5" customHeight="1" x14ac:dyDescent="0.25">
      <c r="A52" s="11" t="s">
        <v>2472</v>
      </c>
      <c r="B52" s="119">
        <v>28350</v>
      </c>
      <c r="C52" s="144" t="s">
        <v>2467</v>
      </c>
      <c r="D52" s="13" t="s">
        <v>2504</v>
      </c>
      <c r="E52" s="141"/>
      <c r="F52" s="141"/>
      <c r="G52" s="55"/>
    </row>
    <row r="53" spans="1:13" s="11" customFormat="1" ht="16.5" customHeight="1" x14ac:dyDescent="0.25">
      <c r="A53" s="11" t="s">
        <v>2471</v>
      </c>
      <c r="B53" s="119">
        <v>29372</v>
      </c>
      <c r="C53" s="33" t="s">
        <v>2467</v>
      </c>
      <c r="D53" s="13" t="s">
        <v>2504</v>
      </c>
      <c r="E53" s="141"/>
      <c r="F53" s="141"/>
      <c r="G53" s="55"/>
      <c r="M53" s="88"/>
    </row>
    <row r="54" spans="1:13" s="11" customFormat="1" ht="16.5" customHeight="1" x14ac:dyDescent="0.25">
      <c r="A54" s="11" t="s">
        <v>2473</v>
      </c>
      <c r="B54" s="119">
        <v>30912</v>
      </c>
      <c r="C54" s="33" t="s">
        <v>2467</v>
      </c>
      <c r="D54" s="100" t="s">
        <v>2504</v>
      </c>
      <c r="E54" s="141"/>
      <c r="F54" s="141"/>
      <c r="G54" s="55"/>
      <c r="M54" s="88"/>
    </row>
    <row r="55" spans="1:13" s="11" customFormat="1" ht="16.5" customHeight="1" x14ac:dyDescent="0.25">
      <c r="A55" s="11" t="s">
        <v>2474</v>
      </c>
      <c r="B55" s="119">
        <v>30912</v>
      </c>
      <c r="C55" s="33" t="s">
        <v>2467</v>
      </c>
      <c r="D55" s="100" t="s">
        <v>2504</v>
      </c>
      <c r="E55" s="141"/>
      <c r="F55" s="141"/>
      <c r="G55" s="55"/>
      <c r="M55" s="88"/>
    </row>
    <row r="56" spans="1:13" s="11" customFormat="1" ht="16.5" customHeight="1" x14ac:dyDescent="0.25">
      <c r="A56" s="11" t="s">
        <v>2475</v>
      </c>
      <c r="B56" s="119">
        <v>32843</v>
      </c>
      <c r="C56" s="33" t="s">
        <v>2467</v>
      </c>
      <c r="D56" s="13" t="s">
        <v>2504</v>
      </c>
      <c r="E56" s="141"/>
      <c r="F56" s="141"/>
      <c r="G56" s="55"/>
    </row>
    <row r="57" spans="1:13" s="11" customFormat="1" ht="16.5" customHeight="1" x14ac:dyDescent="0.25">
      <c r="A57" s="11" t="s">
        <v>2476</v>
      </c>
      <c r="B57" s="119">
        <v>32957</v>
      </c>
      <c r="C57" s="33" t="s">
        <v>2467</v>
      </c>
      <c r="D57" s="13" t="s">
        <v>2504</v>
      </c>
      <c r="E57" s="141"/>
      <c r="F57" s="141"/>
      <c r="G57" s="55"/>
    </row>
    <row r="58" spans="1:13" s="11" customFormat="1" ht="16.5" customHeight="1" x14ac:dyDescent="0.25">
      <c r="A58" s="11" t="s">
        <v>2477</v>
      </c>
      <c r="B58" s="119">
        <v>33091</v>
      </c>
      <c r="C58" s="33" t="s">
        <v>2467</v>
      </c>
      <c r="D58" s="13" t="s">
        <v>2504</v>
      </c>
      <c r="E58" s="141"/>
      <c r="F58" s="141"/>
      <c r="G58" s="55"/>
    </row>
    <row r="59" spans="1:13" s="11" customFormat="1" ht="16.5" customHeight="1" x14ac:dyDescent="0.25">
      <c r="A59" s="11" t="s">
        <v>2478</v>
      </c>
      <c r="B59" s="119">
        <v>35175</v>
      </c>
      <c r="C59" s="33" t="s">
        <v>2468</v>
      </c>
      <c r="D59" s="13" t="s">
        <v>2504</v>
      </c>
      <c r="E59" s="141"/>
      <c r="F59" s="141"/>
      <c r="G59" s="55"/>
    </row>
    <row r="60" spans="1:13" s="11" customFormat="1" ht="16.5" customHeight="1" x14ac:dyDescent="0.25">
      <c r="A60" s="11" t="s">
        <v>2479</v>
      </c>
      <c r="B60" s="119">
        <v>35581</v>
      </c>
      <c r="C60" s="33" t="s">
        <v>2468</v>
      </c>
      <c r="D60" s="13" t="s">
        <v>2504</v>
      </c>
      <c r="E60" s="141"/>
      <c r="F60" s="141"/>
      <c r="G60" s="55"/>
    </row>
    <row r="61" spans="1:13" s="11" customFormat="1" ht="16.5" customHeight="1" x14ac:dyDescent="0.25">
      <c r="A61" s="11" t="s">
        <v>2480</v>
      </c>
      <c r="B61" s="119">
        <v>35581</v>
      </c>
      <c r="C61" s="33" t="s">
        <v>2468</v>
      </c>
      <c r="D61" s="13" t="s">
        <v>2504</v>
      </c>
      <c r="E61" s="141"/>
      <c r="F61" s="141"/>
      <c r="G61" s="55"/>
    </row>
    <row r="62" spans="1:13" s="11" customFormat="1" ht="16.5" customHeight="1" x14ac:dyDescent="0.25">
      <c r="A62" s="11" t="s">
        <v>2481</v>
      </c>
      <c r="B62" s="119">
        <v>35954</v>
      </c>
      <c r="C62" s="33" t="s">
        <v>2467</v>
      </c>
      <c r="D62" s="13" t="s">
        <v>2504</v>
      </c>
      <c r="E62" s="141"/>
      <c r="F62" s="141"/>
      <c r="G62" s="55"/>
    </row>
    <row r="63" spans="1:13" s="11" customFormat="1" ht="16.5" customHeight="1" x14ac:dyDescent="0.25">
      <c r="A63" s="11" t="s">
        <v>2482</v>
      </c>
      <c r="B63" s="119">
        <v>37184</v>
      </c>
      <c r="C63" s="33" t="s">
        <v>2467</v>
      </c>
      <c r="D63" s="14" t="s">
        <v>2504</v>
      </c>
      <c r="E63" s="141"/>
      <c r="F63" s="141"/>
      <c r="G63" s="55"/>
    </row>
    <row r="64" spans="1:13" s="11" customFormat="1" ht="16.5" customHeight="1" x14ac:dyDescent="0.25">
      <c r="A64" s="11" t="s">
        <v>2446</v>
      </c>
      <c r="B64" s="119">
        <v>42387.8</v>
      </c>
      <c r="C64" s="150">
        <v>45590</v>
      </c>
      <c r="D64" s="92" t="s">
        <v>2505</v>
      </c>
      <c r="E64" s="141"/>
      <c r="F64" s="141"/>
      <c r="G64" s="55"/>
    </row>
    <row r="65" spans="1:13" s="11" customFormat="1" ht="16.5" customHeight="1" x14ac:dyDescent="0.25">
      <c r="A65" s="11" t="s">
        <v>2447</v>
      </c>
      <c r="B65" s="119">
        <v>42387.8</v>
      </c>
      <c r="C65" s="33">
        <v>45590</v>
      </c>
      <c r="D65" s="92" t="s">
        <v>2505</v>
      </c>
      <c r="E65" s="141"/>
      <c r="F65" s="141"/>
      <c r="G65" s="55"/>
    </row>
    <row r="66" spans="1:13" s="11" customFormat="1" ht="16.5" customHeight="1" x14ac:dyDescent="0.25">
      <c r="A66" s="11" t="s">
        <v>2448</v>
      </c>
      <c r="B66" s="119">
        <v>42387.8</v>
      </c>
      <c r="C66" s="150">
        <v>45590</v>
      </c>
      <c r="D66" s="92" t="s">
        <v>2505</v>
      </c>
      <c r="E66" s="141"/>
      <c r="F66" s="141"/>
      <c r="G66" s="55"/>
    </row>
    <row r="67" spans="1:13" s="11" customFormat="1" ht="16.5" customHeight="1" x14ac:dyDescent="0.25">
      <c r="A67" s="11" t="s">
        <v>2449</v>
      </c>
      <c r="B67" s="119">
        <v>42387.8</v>
      </c>
      <c r="C67" s="150">
        <v>45593</v>
      </c>
      <c r="D67" s="92" t="s">
        <v>2505</v>
      </c>
      <c r="E67" s="141"/>
      <c r="F67" s="141"/>
      <c r="G67" s="55"/>
    </row>
    <row r="68" spans="1:13" s="11" customFormat="1" ht="16.5" customHeight="1" x14ac:dyDescent="0.25">
      <c r="A68" s="11" t="s">
        <v>2450</v>
      </c>
      <c r="B68" s="119">
        <v>42387.8</v>
      </c>
      <c r="C68" s="150">
        <v>45590</v>
      </c>
      <c r="D68" s="92" t="s">
        <v>2505</v>
      </c>
      <c r="E68" s="141"/>
      <c r="F68" s="141"/>
      <c r="G68" s="55"/>
      <c r="M68" s="88"/>
    </row>
    <row r="69" spans="1:13" s="11" customFormat="1" ht="16.5" customHeight="1" x14ac:dyDescent="0.25">
      <c r="A69" s="11" t="s">
        <v>2469</v>
      </c>
      <c r="B69" s="119">
        <v>42945.8</v>
      </c>
      <c r="C69" s="150">
        <v>45590</v>
      </c>
      <c r="D69" s="92" t="s">
        <v>2505</v>
      </c>
      <c r="E69" s="141"/>
      <c r="F69" s="141"/>
      <c r="G69" s="55"/>
      <c r="M69" s="88"/>
    </row>
    <row r="70" spans="1:13" s="11" customFormat="1" ht="16.5" customHeight="1" x14ac:dyDescent="0.25">
      <c r="A70" s="11" t="s">
        <v>2483</v>
      </c>
      <c r="B70" s="119">
        <v>45207</v>
      </c>
      <c r="C70" s="57" t="s">
        <v>2467</v>
      </c>
      <c r="D70" s="14" t="s">
        <v>2504</v>
      </c>
      <c r="E70" s="141"/>
      <c r="F70" s="141"/>
      <c r="G70" s="55"/>
      <c r="M70" s="88"/>
    </row>
    <row r="71" spans="1:13" s="11" customFormat="1" ht="16.5" customHeight="1" x14ac:dyDescent="0.25">
      <c r="A71" s="11" t="s">
        <v>2484</v>
      </c>
      <c r="B71" s="119">
        <v>45585</v>
      </c>
      <c r="C71" s="57" t="s">
        <v>2467</v>
      </c>
      <c r="D71" s="14" t="s">
        <v>2504</v>
      </c>
      <c r="E71" s="141"/>
      <c r="F71" s="141"/>
      <c r="G71" s="55"/>
      <c r="M71" s="88"/>
    </row>
    <row r="72" spans="1:13" s="11" customFormat="1" ht="16.5" customHeight="1" x14ac:dyDescent="0.25">
      <c r="A72" s="11" t="s">
        <v>2452</v>
      </c>
      <c r="B72" s="119">
        <v>47193</v>
      </c>
      <c r="C72" s="150">
        <v>45590</v>
      </c>
      <c r="D72" s="92" t="s">
        <v>2505</v>
      </c>
      <c r="E72" s="141"/>
      <c r="F72" s="141"/>
      <c r="G72" s="55"/>
      <c r="M72" s="88"/>
    </row>
    <row r="73" spans="1:13" s="11" customFormat="1" ht="16.5" customHeight="1" x14ac:dyDescent="0.25">
      <c r="A73" s="11" t="s">
        <v>2453</v>
      </c>
      <c r="B73" s="119">
        <v>47193</v>
      </c>
      <c r="C73" s="150">
        <v>45593</v>
      </c>
      <c r="D73" s="92" t="s">
        <v>2505</v>
      </c>
      <c r="E73" s="141"/>
      <c r="F73" s="141"/>
      <c r="G73" s="55"/>
      <c r="M73" s="88"/>
    </row>
    <row r="74" spans="1:13" s="11" customFormat="1" ht="16.5" customHeight="1" x14ac:dyDescent="0.25">
      <c r="A74" s="11" t="s">
        <v>2455</v>
      </c>
      <c r="B74" s="119">
        <v>47751</v>
      </c>
      <c r="C74" s="150">
        <v>45590</v>
      </c>
      <c r="D74" s="92" t="s">
        <v>2505</v>
      </c>
      <c r="E74" s="141"/>
      <c r="F74" s="141"/>
      <c r="G74" s="55"/>
      <c r="M74" s="88"/>
    </row>
    <row r="75" spans="1:13" s="11" customFormat="1" ht="16.5" customHeight="1" x14ac:dyDescent="0.25">
      <c r="A75" s="11" t="s">
        <v>2186</v>
      </c>
      <c r="B75" s="119">
        <v>52483</v>
      </c>
      <c r="C75" s="150">
        <v>45419</v>
      </c>
      <c r="D75" s="92">
        <v>4300</v>
      </c>
      <c r="E75" s="141"/>
      <c r="F75" s="141"/>
      <c r="G75" s="55"/>
      <c r="M75" s="88"/>
    </row>
    <row r="76" spans="1:13" s="11" customFormat="1" ht="16.5" customHeight="1" x14ac:dyDescent="0.25">
      <c r="A76" s="11" t="s">
        <v>2377</v>
      </c>
      <c r="B76" s="119">
        <v>54227.45</v>
      </c>
      <c r="C76" s="150">
        <v>45558</v>
      </c>
      <c r="D76" s="92" t="s">
        <v>2505</v>
      </c>
      <c r="E76" s="141"/>
      <c r="F76" s="141"/>
      <c r="G76" s="55"/>
      <c r="M76" s="88"/>
    </row>
    <row r="77" spans="1:13" s="11" customFormat="1" ht="16.5" customHeight="1" x14ac:dyDescent="0.25">
      <c r="A77" s="11" t="s">
        <v>2378</v>
      </c>
      <c r="B77" s="119">
        <v>54687.8</v>
      </c>
      <c r="C77" s="150">
        <v>45558</v>
      </c>
      <c r="D77" s="92" t="s">
        <v>2505</v>
      </c>
      <c r="E77" s="141"/>
      <c r="F77" s="141"/>
      <c r="G77" s="55"/>
      <c r="M77" s="88"/>
    </row>
    <row r="78" spans="1:13" s="11" customFormat="1" ht="16.5" customHeight="1" x14ac:dyDescent="0.25">
      <c r="A78" s="11" t="s">
        <v>2379</v>
      </c>
      <c r="B78" s="119">
        <v>54827.3</v>
      </c>
      <c r="C78" s="150">
        <v>45558</v>
      </c>
      <c r="D78" s="92" t="s">
        <v>2505</v>
      </c>
      <c r="E78" s="141"/>
      <c r="F78" s="141"/>
      <c r="G78" s="55"/>
      <c r="M78" s="88"/>
    </row>
    <row r="79" spans="1:13" s="11" customFormat="1" ht="16.5" customHeight="1" x14ac:dyDescent="0.25">
      <c r="A79" s="11" t="s">
        <v>2485</v>
      </c>
      <c r="B79" s="119">
        <v>59959.8</v>
      </c>
      <c r="C79" s="150">
        <v>45593</v>
      </c>
      <c r="D79" s="14">
        <v>45600</v>
      </c>
      <c r="E79" s="141"/>
      <c r="F79" s="141"/>
      <c r="G79" s="55"/>
      <c r="M79" s="88"/>
    </row>
    <row r="80" spans="1:13" s="11" customFormat="1" ht="16.5" customHeight="1" x14ac:dyDescent="0.25">
      <c r="A80" s="11" t="s">
        <v>2498</v>
      </c>
      <c r="B80" s="119">
        <v>60420.15</v>
      </c>
      <c r="C80" s="150">
        <v>45593</v>
      </c>
      <c r="D80" s="14">
        <v>45609</v>
      </c>
      <c r="E80" s="141"/>
      <c r="F80" s="141"/>
      <c r="G80" s="55"/>
      <c r="M80" s="88"/>
    </row>
    <row r="81" spans="1:13" s="11" customFormat="1" ht="16.5" customHeight="1" x14ac:dyDescent="0.25">
      <c r="A81" s="11" t="s">
        <v>2486</v>
      </c>
      <c r="B81" s="119">
        <v>60420.15</v>
      </c>
      <c r="C81" s="150">
        <v>45590</v>
      </c>
      <c r="D81" s="14">
        <v>45600</v>
      </c>
      <c r="E81" s="141"/>
      <c r="F81" s="141"/>
      <c r="G81" s="55"/>
      <c r="M81" s="88"/>
    </row>
    <row r="82" spans="1:13" s="11" customFormat="1" ht="16.5" customHeight="1" x14ac:dyDescent="0.25">
      <c r="A82" s="11" t="s">
        <v>2487</v>
      </c>
      <c r="B82" s="119">
        <v>60420.15</v>
      </c>
      <c r="C82" s="150">
        <v>45594</v>
      </c>
      <c r="D82" s="14">
        <v>45600</v>
      </c>
      <c r="E82" s="141"/>
      <c r="F82" s="141"/>
      <c r="G82" s="55"/>
      <c r="M82" s="88"/>
    </row>
    <row r="83" spans="1:13" s="11" customFormat="1" ht="16.5" customHeight="1" x14ac:dyDescent="0.25">
      <c r="A83" s="11" t="s">
        <v>2488</v>
      </c>
      <c r="B83" s="119">
        <v>60420.15</v>
      </c>
      <c r="C83" s="150">
        <v>45594</v>
      </c>
      <c r="D83" s="14">
        <v>45602</v>
      </c>
      <c r="E83" s="141"/>
      <c r="F83" s="141"/>
      <c r="G83" s="55"/>
      <c r="M83" s="88"/>
    </row>
    <row r="84" spans="1:13" s="11" customFormat="1" ht="16.5" customHeight="1" x14ac:dyDescent="0.25">
      <c r="A84" s="11" t="s">
        <v>2489</v>
      </c>
      <c r="B84" s="119">
        <v>60420.15</v>
      </c>
      <c r="C84" s="150">
        <v>45594</v>
      </c>
      <c r="D84" s="14">
        <v>45600</v>
      </c>
      <c r="E84" s="141"/>
      <c r="F84" s="141"/>
      <c r="G84" s="55"/>
      <c r="M84" s="88"/>
    </row>
    <row r="85" spans="1:13" s="11" customFormat="1" ht="16.5" customHeight="1" x14ac:dyDescent="0.25">
      <c r="A85" s="11" t="s">
        <v>2490</v>
      </c>
      <c r="B85" s="119">
        <v>60420.15</v>
      </c>
      <c r="C85" s="150">
        <v>45594</v>
      </c>
      <c r="D85" s="14">
        <v>45603</v>
      </c>
      <c r="E85" s="141"/>
      <c r="F85" s="141"/>
      <c r="G85" s="55"/>
      <c r="M85" s="88"/>
    </row>
    <row r="86" spans="1:13" s="11" customFormat="1" ht="16.5" customHeight="1" x14ac:dyDescent="0.25">
      <c r="A86" s="11" t="s">
        <v>2491</v>
      </c>
      <c r="B86" s="119">
        <v>60420.15</v>
      </c>
      <c r="C86" s="150">
        <v>45594</v>
      </c>
      <c r="D86" s="14">
        <v>45602</v>
      </c>
      <c r="E86" s="141"/>
      <c r="F86" s="141"/>
      <c r="G86" s="55"/>
      <c r="M86" s="88"/>
    </row>
    <row r="87" spans="1:13" s="11" customFormat="1" ht="16.5" customHeight="1" x14ac:dyDescent="0.25">
      <c r="A87" s="11" t="s">
        <v>2492</v>
      </c>
      <c r="B87" s="119">
        <v>60420.15</v>
      </c>
      <c r="C87" s="150">
        <v>45594</v>
      </c>
      <c r="D87" s="14">
        <v>45602</v>
      </c>
      <c r="E87" s="141"/>
      <c r="F87" s="141"/>
      <c r="G87" s="55"/>
      <c r="M87" s="88"/>
    </row>
    <row r="88" spans="1:13" s="11" customFormat="1" ht="16.5" customHeight="1" x14ac:dyDescent="0.25">
      <c r="A88" s="11" t="s">
        <v>2493</v>
      </c>
      <c r="B88" s="119">
        <v>60420.15</v>
      </c>
      <c r="C88" s="150">
        <v>45594</v>
      </c>
      <c r="D88" s="14">
        <v>45602</v>
      </c>
      <c r="E88" s="141"/>
      <c r="F88" s="141"/>
      <c r="G88" s="55"/>
      <c r="M88" s="88"/>
    </row>
    <row r="89" spans="1:13" s="11" customFormat="1" ht="16.5" customHeight="1" x14ac:dyDescent="0.25">
      <c r="A89" s="11" t="s">
        <v>2494</v>
      </c>
      <c r="B89" s="119">
        <v>60834</v>
      </c>
      <c r="C89" s="150">
        <v>45589</v>
      </c>
      <c r="D89" s="14">
        <v>45598</v>
      </c>
      <c r="E89" s="141"/>
      <c r="F89" s="141"/>
      <c r="G89" s="55"/>
      <c r="M89" s="88"/>
    </row>
    <row r="90" spans="1:13" s="11" customFormat="1" ht="16.5" customHeight="1" x14ac:dyDescent="0.25">
      <c r="A90" s="11" t="s">
        <v>2499</v>
      </c>
      <c r="B90" s="119">
        <v>61980.4</v>
      </c>
      <c r="C90" s="150">
        <v>45566</v>
      </c>
      <c r="D90" s="92" t="s">
        <v>2505</v>
      </c>
      <c r="E90" s="141"/>
      <c r="F90" s="141"/>
      <c r="G90" s="55"/>
      <c r="M90" s="88"/>
    </row>
    <row r="91" spans="1:13" s="11" customFormat="1" ht="16.5" customHeight="1" x14ac:dyDescent="0.25">
      <c r="A91" s="11" t="s">
        <v>2457</v>
      </c>
      <c r="B91" s="119">
        <v>61980.4</v>
      </c>
      <c r="C91" s="150">
        <v>45568</v>
      </c>
      <c r="D91" s="92" t="s">
        <v>2505</v>
      </c>
      <c r="E91" s="141"/>
      <c r="F91" s="141"/>
      <c r="G91" s="55"/>
      <c r="M91" s="88"/>
    </row>
    <row r="92" spans="1:13" s="11" customFormat="1" ht="16.5" customHeight="1" x14ac:dyDescent="0.25">
      <c r="A92" s="11" t="s">
        <v>2495</v>
      </c>
      <c r="B92" s="119">
        <v>63131.1</v>
      </c>
      <c r="C92" s="150">
        <v>45593</v>
      </c>
      <c r="D92" s="14">
        <v>45603</v>
      </c>
      <c r="E92" s="141"/>
      <c r="F92" s="141"/>
      <c r="G92" s="55"/>
      <c r="M92" s="88"/>
    </row>
    <row r="93" spans="1:13" s="11" customFormat="1" ht="16.5" customHeight="1" x14ac:dyDescent="0.25">
      <c r="A93" s="11" t="s">
        <v>2500</v>
      </c>
      <c r="B93" s="119">
        <v>63591.45</v>
      </c>
      <c r="C93" s="150">
        <v>45590</v>
      </c>
      <c r="D93" s="14">
        <v>45609</v>
      </c>
      <c r="E93" s="141"/>
      <c r="F93" s="141"/>
      <c r="G93" s="55"/>
      <c r="M93" s="88"/>
    </row>
    <row r="94" spans="1:13" s="11" customFormat="1" ht="16.5" customHeight="1" x14ac:dyDescent="0.25">
      <c r="A94" s="11" t="s">
        <v>2458</v>
      </c>
      <c r="B94" s="119">
        <v>63591.45</v>
      </c>
      <c r="C94" s="150">
        <v>45590</v>
      </c>
      <c r="D94" s="92">
        <v>4200</v>
      </c>
      <c r="E94" s="141"/>
      <c r="F94" s="141"/>
      <c r="G94" s="55"/>
      <c r="M94" s="88"/>
    </row>
    <row r="95" spans="1:13" s="11" customFormat="1" ht="16.5" customHeight="1" x14ac:dyDescent="0.25">
      <c r="A95" s="11" t="s">
        <v>2496</v>
      </c>
      <c r="B95" s="119">
        <v>63591.45</v>
      </c>
      <c r="C95" s="150">
        <v>45594</v>
      </c>
      <c r="D95" s="14">
        <v>45602</v>
      </c>
      <c r="E95" s="141"/>
      <c r="F95" s="141"/>
      <c r="G95" s="55"/>
      <c r="M95" s="88"/>
    </row>
    <row r="96" spans="1:13" s="11" customFormat="1" ht="16.5" customHeight="1" x14ac:dyDescent="0.25">
      <c r="A96" s="11" t="s">
        <v>2497</v>
      </c>
      <c r="B96" s="119">
        <v>76537.05</v>
      </c>
      <c r="C96" s="150">
        <v>45593</v>
      </c>
      <c r="D96" s="14">
        <v>45603</v>
      </c>
      <c r="E96" s="141"/>
      <c r="F96" s="141"/>
      <c r="G96" s="55"/>
      <c r="M96" s="88"/>
    </row>
    <row r="97" spans="1:13" s="11" customFormat="1" ht="16.5" customHeight="1" x14ac:dyDescent="0.25">
      <c r="A97" s="11" t="s">
        <v>2459</v>
      </c>
      <c r="B97" s="119">
        <v>81955.5</v>
      </c>
      <c r="C97" s="150">
        <v>45576</v>
      </c>
      <c r="D97" s="92" t="s">
        <v>2505</v>
      </c>
      <c r="E97" s="141"/>
      <c r="F97" s="141"/>
      <c r="G97" s="55"/>
      <c r="M97" s="88"/>
    </row>
    <row r="98" spans="1:13" s="11" customFormat="1" ht="16.5" customHeight="1" x14ac:dyDescent="0.25">
      <c r="A98" s="11" t="s">
        <v>2501</v>
      </c>
      <c r="B98" s="119">
        <v>99340</v>
      </c>
      <c r="C98" s="150">
        <v>45589</v>
      </c>
      <c r="D98" s="14">
        <v>45608</v>
      </c>
      <c r="E98" s="141"/>
      <c r="F98" s="141"/>
      <c r="G98" s="55"/>
      <c r="M98" s="88"/>
    </row>
    <row r="99" spans="1:13" s="11" customFormat="1" ht="16.5" customHeight="1" x14ac:dyDescent="0.25">
      <c r="A99" s="11" t="s">
        <v>2502</v>
      </c>
      <c r="B99" s="119">
        <v>99470</v>
      </c>
      <c r="C99" s="150">
        <v>45589</v>
      </c>
      <c r="D99" s="14">
        <v>45609</v>
      </c>
      <c r="E99" s="141"/>
      <c r="F99" s="141"/>
      <c r="G99" s="55"/>
      <c r="M99" s="88"/>
    </row>
    <row r="100" spans="1:13" s="11" customFormat="1" ht="16.5" customHeight="1" x14ac:dyDescent="0.25">
      <c r="A100" s="11" t="s">
        <v>2464</v>
      </c>
      <c r="B100" s="119">
        <v>102187.65</v>
      </c>
      <c r="C100" s="150">
        <v>45593</v>
      </c>
      <c r="D100" s="92">
        <v>4155</v>
      </c>
      <c r="E100" s="141"/>
      <c r="F100" s="141"/>
      <c r="G100" s="55"/>
      <c r="M100" s="88"/>
    </row>
    <row r="101" spans="1:13" s="11" customFormat="1" ht="16.5" customHeight="1" x14ac:dyDescent="0.25">
      <c r="A101" s="11" t="s">
        <v>2465</v>
      </c>
      <c r="B101" s="119">
        <v>110883.25</v>
      </c>
      <c r="C101" s="150">
        <v>45589</v>
      </c>
      <c r="D101" s="92" t="s">
        <v>2505</v>
      </c>
      <c r="E101" s="141"/>
      <c r="F101" s="141"/>
      <c r="G101" s="55"/>
      <c r="M101" s="88"/>
    </row>
    <row r="102" spans="1:13" s="11" customFormat="1" ht="16.5" customHeight="1" x14ac:dyDescent="0.25">
      <c r="A102" s="11" t="s">
        <v>2470</v>
      </c>
      <c r="B102" s="119">
        <v>112675</v>
      </c>
      <c r="C102" s="150">
        <v>45589</v>
      </c>
      <c r="D102" s="92">
        <v>4150</v>
      </c>
      <c r="E102" s="141"/>
      <c r="F102" s="141"/>
      <c r="G102" s="55"/>
      <c r="M102" s="88"/>
    </row>
    <row r="103" spans="1:13" s="11" customFormat="1" ht="16.5" customHeight="1" x14ac:dyDescent="0.25">
      <c r="A103" s="11" t="s">
        <v>2466</v>
      </c>
      <c r="B103" s="119">
        <v>140365</v>
      </c>
      <c r="C103" s="150">
        <v>45589</v>
      </c>
      <c r="D103" s="92">
        <v>4150</v>
      </c>
      <c r="E103" s="141"/>
      <c r="F103" s="141"/>
      <c r="G103" s="55"/>
      <c r="M103" s="88"/>
    </row>
    <row r="104" spans="1:13" s="11" customFormat="1" ht="16.5" customHeight="1" x14ac:dyDescent="0.25">
      <c r="B104" s="119"/>
      <c r="C104" s="57"/>
      <c r="D104" s="14"/>
      <c r="E104" s="141"/>
      <c r="F104" s="141"/>
      <c r="G104" s="55"/>
      <c r="M104" s="88"/>
    </row>
    <row r="105" spans="1:13" s="11" customFormat="1" ht="16.5" customHeight="1" thickBot="1" x14ac:dyDescent="0.3">
      <c r="B105" s="119"/>
      <c r="C105" s="57"/>
      <c r="D105" s="13"/>
      <c r="E105" s="141"/>
      <c r="F105" s="141"/>
      <c r="G105" s="55"/>
      <c r="M105" s="88"/>
    </row>
    <row r="106" spans="1:13" s="11" customFormat="1" ht="15.75" x14ac:dyDescent="0.25">
      <c r="B106" s="25">
        <f>SUM(B52:B105)</f>
        <v>2967806.1999999988</v>
      </c>
      <c r="C106" s="147" t="s">
        <v>1457</v>
      </c>
      <c r="D106" s="148"/>
      <c r="E106" s="141"/>
      <c r="F106" s="141"/>
      <c r="G106" s="55"/>
    </row>
    <row r="107" spans="1:13" s="11" customFormat="1" ht="15.75" x14ac:dyDescent="0.25">
      <c r="A107" s="11" t="s">
        <v>1</v>
      </c>
      <c r="B107" s="17">
        <f>B106+B50</f>
        <v>1482753.2499999986</v>
      </c>
      <c r="C107" s="151" t="s">
        <v>2506</v>
      </c>
      <c r="D107" s="152"/>
      <c r="E107" s="141"/>
      <c r="F107" s="141"/>
      <c r="G107" s="55"/>
    </row>
    <row r="108" spans="1:13" s="11" customFormat="1" ht="15.75" x14ac:dyDescent="0.25">
      <c r="A108" s="11" t="s">
        <v>0</v>
      </c>
      <c r="B108" s="17">
        <f>B107-B7</f>
        <v>2.3283064365386963E-9</v>
      </c>
      <c r="C108" s="151" t="s">
        <v>1368</v>
      </c>
      <c r="D108" s="152"/>
      <c r="E108" s="141"/>
      <c r="F108" s="141"/>
      <c r="G108" s="55"/>
    </row>
    <row r="109" spans="1:13" s="11" customFormat="1" ht="16.5" thickBot="1" x14ac:dyDescent="0.3">
      <c r="C109" s="146" t="s">
        <v>1459</v>
      </c>
      <c r="D109" s="149"/>
      <c r="E109" s="141"/>
      <c r="F109" s="141"/>
      <c r="G109" s="55"/>
    </row>
    <row r="110" spans="1:13" s="11" customFormat="1" ht="15.75" x14ac:dyDescent="0.25">
      <c r="E110" s="141"/>
      <c r="F110" s="141"/>
      <c r="G110" s="55"/>
    </row>
    <row r="111" spans="1:13" s="11" customFormat="1" ht="15.75" x14ac:dyDescent="0.25">
      <c r="E111" s="141"/>
      <c r="F111" s="141"/>
      <c r="G111" s="55"/>
    </row>
    <row r="112" spans="1:13" s="11" customFormat="1" ht="15.75" x14ac:dyDescent="0.25">
      <c r="E112" s="141"/>
      <c r="F112" s="141"/>
      <c r="G112" s="55"/>
    </row>
    <row r="113" spans="1:7" s="11" customFormat="1" ht="15.75" x14ac:dyDescent="0.25">
      <c r="E113" s="141"/>
      <c r="F113" s="141"/>
      <c r="G113" s="55"/>
    </row>
    <row r="114" spans="1:7" s="11" customFormat="1" ht="15.75" x14ac:dyDescent="0.25">
      <c r="E114" s="141"/>
      <c r="F114" s="141"/>
      <c r="G114" s="55"/>
    </row>
    <row r="115" spans="1:7" s="11" customFormat="1" ht="15.75" x14ac:dyDescent="0.25">
      <c r="E115" s="141"/>
      <c r="F115" s="141"/>
      <c r="G115" s="55"/>
    </row>
    <row r="116" spans="1:7" s="11" customFormat="1" ht="15.75" x14ac:dyDescent="0.25">
      <c r="E116" s="141"/>
      <c r="F116" s="141"/>
      <c r="G116" s="55"/>
    </row>
    <row r="117" spans="1:7" s="11" customFormat="1" ht="15.75" x14ac:dyDescent="0.25">
      <c r="E117" s="141"/>
      <c r="F117" s="141"/>
      <c r="G117" s="55"/>
    </row>
    <row r="118" spans="1:7" s="11" customFormat="1" ht="15.75" x14ac:dyDescent="0.25">
      <c r="E118" s="141"/>
      <c r="F118" s="141"/>
      <c r="G118" s="55"/>
    </row>
    <row r="119" spans="1:7" s="11" customFormat="1" ht="15.75" x14ac:dyDescent="0.25">
      <c r="E119" s="141"/>
      <c r="F119" s="141"/>
      <c r="G119" s="55"/>
    </row>
    <row r="120" spans="1:7" s="11" customFormat="1" ht="15.75" x14ac:dyDescent="0.25">
      <c r="E120" s="141"/>
      <c r="F120" s="141"/>
      <c r="G120" s="55"/>
    </row>
    <row r="121" spans="1:7" s="11" customFormat="1" ht="15.95" customHeight="1" x14ac:dyDescent="0.25">
      <c r="E121" s="141"/>
      <c r="F121" s="141"/>
    </row>
    <row r="122" spans="1:7" s="11" customFormat="1" ht="15.95" customHeight="1" x14ac:dyDescent="0.25">
      <c r="E122" s="141"/>
      <c r="F122" s="141"/>
    </row>
    <row r="123" spans="1:7" s="11" customFormat="1" ht="15.95" customHeight="1" x14ac:dyDescent="0.25">
      <c r="E123" s="141"/>
      <c r="F123" s="141"/>
    </row>
    <row r="124" spans="1:7" s="11" customFormat="1" ht="15.95" customHeight="1" x14ac:dyDescent="0.25">
      <c r="E124" s="141"/>
      <c r="F124" s="141"/>
    </row>
    <row r="125" spans="1:7" s="11" customFormat="1" ht="15.95" customHeight="1" x14ac:dyDescent="0.25">
      <c r="E125" s="141"/>
      <c r="F125" s="141"/>
    </row>
    <row r="126" spans="1:7" s="11" customFormat="1" ht="15.95" customHeight="1" x14ac:dyDescent="0.25">
      <c r="B126" s="17"/>
      <c r="E126" s="141"/>
      <c r="F126" s="141"/>
    </row>
    <row r="127" spans="1:7" s="11" customFormat="1" ht="15.95" customHeight="1" x14ac:dyDescent="0.25">
      <c r="A127" s="39"/>
      <c r="B127" s="93"/>
      <c r="C127" s="18"/>
      <c r="D127" s="18"/>
      <c r="E127" s="141"/>
      <c r="F127" s="141"/>
    </row>
    <row r="128" spans="1:7" s="11" customFormat="1" ht="15.95" customHeight="1" x14ac:dyDescent="0.3">
      <c r="A128" s="1"/>
      <c r="B128" s="10"/>
      <c r="C128" s="13"/>
      <c r="D128" s="47"/>
      <c r="E128" s="141"/>
      <c r="F128" s="141"/>
    </row>
    <row r="129" spans="1:9" s="11" customFormat="1" ht="15.95" customHeight="1" x14ac:dyDescent="0.3">
      <c r="A129" s="1"/>
      <c r="B129" s="10"/>
      <c r="C129" s="13"/>
      <c r="D129" s="47"/>
      <c r="E129" s="141"/>
      <c r="F129" s="141"/>
    </row>
    <row r="130" spans="1:9" s="11" customFormat="1" ht="15.95" customHeight="1" x14ac:dyDescent="0.3">
      <c r="A130" s="1"/>
      <c r="B130" s="10"/>
      <c r="C130" s="13"/>
      <c r="D130" s="47"/>
      <c r="E130" s="141"/>
      <c r="F130" s="141"/>
    </row>
    <row r="131" spans="1:9" s="11" customFormat="1" ht="15.95" customHeight="1" x14ac:dyDescent="0.25">
      <c r="E131" s="141"/>
      <c r="F131" s="141"/>
    </row>
    <row r="132" spans="1:9" s="11" customFormat="1" ht="15.95" customHeight="1" x14ac:dyDescent="0.25">
      <c r="E132" s="141"/>
      <c r="F132" s="141"/>
    </row>
    <row r="133" spans="1:9" s="11" customFormat="1" ht="15.95" customHeight="1" x14ac:dyDescent="0.25">
      <c r="E133" s="141"/>
      <c r="F133" s="141"/>
    </row>
    <row r="134" spans="1:9" s="11" customFormat="1" ht="15.95" customHeight="1" x14ac:dyDescent="0.25">
      <c r="E134" s="141"/>
      <c r="F134" s="141"/>
    </row>
    <row r="135" spans="1:9" s="11" customFormat="1" ht="15.95" customHeight="1" x14ac:dyDescent="0.25">
      <c r="E135" s="141"/>
      <c r="F135" s="141"/>
    </row>
    <row r="136" spans="1:9" s="11" customFormat="1" ht="15.95" customHeight="1" x14ac:dyDescent="0.25">
      <c r="E136" s="141"/>
      <c r="F136" s="141"/>
      <c r="H136" s="88"/>
    </row>
    <row r="137" spans="1:9" s="11" customFormat="1" ht="15.95" customHeight="1" x14ac:dyDescent="0.25">
      <c r="E137" s="141"/>
      <c r="F137" s="141"/>
      <c r="H137" s="88"/>
    </row>
    <row r="138" spans="1:9" s="11" customFormat="1" ht="15.95" customHeight="1" x14ac:dyDescent="0.25">
      <c r="E138" s="141"/>
      <c r="F138" s="141"/>
      <c r="G138" s="126"/>
      <c r="H138" s="88"/>
    </row>
    <row r="139" spans="1:9" s="11" customFormat="1" ht="15.95" customHeight="1" x14ac:dyDescent="0.25">
      <c r="E139" s="141"/>
      <c r="F139" s="141"/>
      <c r="H139" s="88"/>
    </row>
    <row r="140" spans="1:9" s="11" customFormat="1" ht="20.100000000000001" customHeight="1" x14ac:dyDescent="0.25">
      <c r="E140" s="141"/>
      <c r="F140" s="141"/>
      <c r="H140" s="88"/>
    </row>
    <row r="141" spans="1:9" s="11" customFormat="1" ht="20.100000000000001" customHeight="1" x14ac:dyDescent="0.25">
      <c r="E141" s="141"/>
      <c r="F141" s="141"/>
      <c r="H141" s="88"/>
    </row>
    <row r="142" spans="1:9" s="11" customFormat="1" ht="20.100000000000001" customHeight="1" x14ac:dyDescent="0.25">
      <c r="E142" s="141"/>
      <c r="F142" s="141"/>
      <c r="G142" s="126"/>
      <c r="H142" s="88"/>
    </row>
    <row r="143" spans="1:9" s="11" customFormat="1" ht="20.100000000000001" customHeight="1" x14ac:dyDescent="0.25">
      <c r="E143" s="141"/>
      <c r="F143" s="141"/>
      <c r="H143" s="88"/>
    </row>
    <row r="144" spans="1:9" s="13" customFormat="1" ht="20.100000000000001" customHeight="1" x14ac:dyDescent="0.3">
      <c r="A144" s="1"/>
      <c r="B144" s="10"/>
      <c r="D144" s="47"/>
      <c r="E144" s="141"/>
      <c r="F144" s="141"/>
      <c r="H144" s="88"/>
      <c r="I144" s="11"/>
    </row>
    <row r="145" spans="1:19" s="13" customFormat="1" ht="20.100000000000001" customHeight="1" x14ac:dyDescent="0.3">
      <c r="A145" s="1"/>
      <c r="B145" s="10"/>
      <c r="D145" s="47"/>
      <c r="E145" s="141"/>
      <c r="F145" s="141"/>
      <c r="H145" s="88"/>
      <c r="I145" s="11"/>
    </row>
    <row r="146" spans="1:19" s="13" customFormat="1" ht="20.100000000000001" customHeight="1" x14ac:dyDescent="0.3">
      <c r="A146" s="1"/>
      <c r="B146" s="10"/>
      <c r="D146" s="47"/>
      <c r="E146" s="141"/>
      <c r="F146" s="141"/>
      <c r="H146" s="88"/>
      <c r="I146" s="11"/>
    </row>
    <row r="147" spans="1:19" s="90" customFormat="1" ht="20.100000000000001" customHeight="1" x14ac:dyDescent="0.3">
      <c r="A147" s="1"/>
      <c r="B147" s="10"/>
      <c r="C147" s="13"/>
      <c r="D147" s="116"/>
      <c r="E147" s="141"/>
      <c r="F147" s="141"/>
      <c r="G147" s="1"/>
      <c r="I147" s="1"/>
      <c r="J147" s="1"/>
      <c r="K147" s="1"/>
      <c r="M147" s="1"/>
      <c r="N147" s="1"/>
      <c r="O147" s="1"/>
      <c r="P147" s="1"/>
      <c r="Q147" s="1"/>
      <c r="R147" s="1"/>
      <c r="S147" s="1"/>
    </row>
    <row r="148" spans="1:19" s="90" customFormat="1" ht="20.100000000000001" customHeight="1" x14ac:dyDescent="0.3">
      <c r="A148" s="1"/>
      <c r="B148" s="10"/>
      <c r="C148" s="13"/>
      <c r="D148" s="116"/>
      <c r="E148" s="141"/>
      <c r="F148" s="141"/>
      <c r="G148" s="1"/>
      <c r="I148" s="1"/>
      <c r="J148" s="1"/>
      <c r="K148" s="1"/>
      <c r="M148" s="1"/>
      <c r="N148" s="1"/>
      <c r="O148" s="1"/>
      <c r="P148" s="1"/>
      <c r="Q148" s="1"/>
      <c r="R148" s="1"/>
      <c r="S148" s="1"/>
    </row>
    <row r="149" spans="1:19" s="90" customFormat="1" ht="20.100000000000001" customHeight="1" x14ac:dyDescent="0.3">
      <c r="A149" s="1"/>
      <c r="B149" s="10"/>
      <c r="C149" s="13"/>
      <c r="D149" s="116"/>
      <c r="E149" s="141"/>
      <c r="F149" s="141"/>
      <c r="G149" s="1"/>
      <c r="I149" s="1"/>
      <c r="J149" s="1"/>
      <c r="K149" s="1"/>
      <c r="M149" s="1"/>
      <c r="N149" s="1"/>
      <c r="O149" s="1"/>
      <c r="P149" s="1"/>
      <c r="Q149" s="1"/>
      <c r="R149" s="1"/>
      <c r="S149" s="1"/>
    </row>
    <row r="150" spans="1:19" s="90" customFormat="1" ht="20.100000000000001" customHeight="1" x14ac:dyDescent="0.3">
      <c r="A150" s="1"/>
      <c r="B150" s="10"/>
      <c r="C150" s="13"/>
      <c r="D150" s="116"/>
      <c r="E150" s="141"/>
      <c r="F150" s="141"/>
      <c r="G150" s="11"/>
      <c r="I150" s="1"/>
      <c r="J150" s="1"/>
      <c r="K150" s="1"/>
      <c r="M150" s="1"/>
      <c r="N150" s="1"/>
      <c r="O150" s="1"/>
      <c r="P150" s="1"/>
      <c r="Q150" s="1"/>
      <c r="R150" s="1"/>
      <c r="S150" s="1"/>
    </row>
  </sheetData>
  <phoneticPr fontId="6" type="noConversion"/>
  <pageMargins left="0.7" right="0.7" top="0.75" bottom="0.75" header="0.3" footer="0.3"/>
  <pageSetup scale="92" fitToHeight="0"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8456B-677A-4CAE-9B55-68E9B0FB3C2C}">
  <sheetPr>
    <pageSetUpPr fitToPage="1"/>
  </sheetPr>
  <dimension ref="A1:S132"/>
  <sheetViews>
    <sheetView topLeftCell="A47" zoomScale="98" zoomScaleNormal="98" workbookViewId="0">
      <selection activeCell="A56" sqref="A56:XFD56"/>
    </sheetView>
  </sheetViews>
  <sheetFormatPr defaultRowHeight="18.75" x14ac:dyDescent="0.3"/>
  <cols>
    <col min="1" max="1" width="20.7109375" style="1" customWidth="1"/>
    <col min="2" max="2" width="16.85546875" style="10" customWidth="1"/>
    <col min="3" max="3" width="25" style="13" bestFit="1" customWidth="1"/>
    <col min="4" max="4" width="25.140625" style="116" customWidth="1"/>
    <col min="5" max="5" width="9.7109375" style="141" customWidth="1"/>
    <col min="6" max="6" width="16.5703125" style="141" customWidth="1"/>
    <col min="7" max="7" width="35" style="1" bestFit="1" customWidth="1"/>
    <col min="8" max="8" width="5.5703125" style="90" bestFit="1" customWidth="1"/>
    <col min="9" max="11" width="9.140625" style="1"/>
    <col min="12" max="12" width="57.5703125" style="1" bestFit="1" customWidth="1"/>
    <col min="13" max="16384" width="9.140625" style="1"/>
  </cols>
  <sheetData>
    <row r="1" spans="1:19" s="11" customFormat="1" ht="20.100000000000001" customHeight="1" x14ac:dyDescent="0.25">
      <c r="A1" s="11" t="s">
        <v>1203</v>
      </c>
      <c r="B1" s="17"/>
      <c r="C1" s="13"/>
      <c r="D1" s="47"/>
      <c r="E1" s="141"/>
      <c r="H1" s="88"/>
    </row>
    <row r="2" spans="1:19" s="11" customFormat="1" ht="20.100000000000001" customHeight="1" x14ac:dyDescent="0.25">
      <c r="A2" s="14">
        <v>45626</v>
      </c>
      <c r="B2" s="17"/>
      <c r="C2" s="13"/>
      <c r="D2" s="47"/>
      <c r="E2" s="141"/>
      <c r="H2" s="88"/>
    </row>
    <row r="3" spans="1:19" s="11" customFormat="1" ht="20.100000000000001" customHeight="1" x14ac:dyDescent="0.25">
      <c r="A3" s="11" t="s">
        <v>311</v>
      </c>
      <c r="B3" s="17">
        <v>40270799.189999998</v>
      </c>
      <c r="C3" s="13"/>
      <c r="D3" s="47"/>
      <c r="E3" s="141"/>
      <c r="H3" s="88"/>
      <c r="L3" s="11" t="s">
        <v>1437</v>
      </c>
      <c r="M3" s="89"/>
    </row>
    <row r="4" spans="1:19" s="11" customFormat="1" ht="20.100000000000001" customHeight="1" x14ac:dyDescent="0.25">
      <c r="A4" s="11" t="s">
        <v>6</v>
      </c>
      <c r="B4" s="17"/>
      <c r="C4" s="13"/>
      <c r="D4" s="47"/>
      <c r="E4" s="141"/>
      <c r="H4" s="88"/>
      <c r="L4" s="11" t="s">
        <v>1438</v>
      </c>
      <c r="M4" s="89"/>
    </row>
    <row r="5" spans="1:19" s="11" customFormat="1" ht="20.100000000000001" customHeight="1" x14ac:dyDescent="0.25">
      <c r="A5" s="11">
        <v>2100</v>
      </c>
      <c r="B5" s="17">
        <v>-37913172.659999996</v>
      </c>
      <c r="C5" s="13"/>
      <c r="D5" s="47"/>
      <c r="E5" s="141"/>
      <c r="H5" s="88"/>
      <c r="L5" s="11" t="s">
        <v>1439</v>
      </c>
      <c r="M5" s="89"/>
    </row>
    <row r="6" spans="1:19" s="11" customFormat="1" ht="20.100000000000001" customHeight="1" x14ac:dyDescent="0.25">
      <c r="A6" s="11" t="s">
        <v>5</v>
      </c>
      <c r="B6" s="17">
        <f>SUM(B5)</f>
        <v>-37913172.659999996</v>
      </c>
      <c r="C6" s="13"/>
      <c r="D6" s="47"/>
      <c r="E6" s="141"/>
      <c r="H6" s="88"/>
      <c r="L6" s="11" t="s">
        <v>1440</v>
      </c>
      <c r="M6" s="89"/>
      <c r="O6" s="62"/>
      <c r="P6" s="62"/>
      <c r="Q6" s="62"/>
      <c r="R6" s="62"/>
      <c r="S6" s="62"/>
    </row>
    <row r="7" spans="1:19" s="11" customFormat="1" ht="20.100000000000001" customHeight="1" x14ac:dyDescent="0.25">
      <c r="A7" s="11" t="s">
        <v>4</v>
      </c>
      <c r="B7" s="17">
        <f>B6+B3</f>
        <v>2357626.5300000012</v>
      </c>
      <c r="C7" s="13"/>
      <c r="D7" s="47"/>
      <c r="E7" s="141"/>
      <c r="H7" s="88"/>
      <c r="L7" s="11" t="s">
        <v>1441</v>
      </c>
      <c r="M7" s="88"/>
    </row>
    <row r="8" spans="1:19" s="11" customFormat="1" ht="15.95" customHeight="1" x14ac:dyDescent="0.25">
      <c r="A8" s="11" t="s">
        <v>3</v>
      </c>
      <c r="B8" s="17"/>
      <c r="C8" s="44" t="s">
        <v>628</v>
      </c>
      <c r="D8" s="114" t="s">
        <v>626</v>
      </c>
      <c r="E8" s="141"/>
      <c r="H8" s="88"/>
      <c r="L8" s="11" t="s">
        <v>1442</v>
      </c>
      <c r="M8" s="88"/>
    </row>
    <row r="9" spans="1:19" s="11" customFormat="1" ht="15.75" x14ac:dyDescent="0.25">
      <c r="A9" s="77" t="s">
        <v>2507</v>
      </c>
      <c r="B9" s="98">
        <v>-25417</v>
      </c>
      <c r="C9" s="31">
        <v>45623</v>
      </c>
      <c r="D9" s="28">
        <v>45628</v>
      </c>
      <c r="E9" s="141"/>
      <c r="F9" s="141"/>
      <c r="G9" s="55"/>
      <c r="L9" s="11" t="s">
        <v>1443</v>
      </c>
      <c r="M9" s="88"/>
    </row>
    <row r="10" spans="1:19" s="11" customFormat="1" ht="15.75" x14ac:dyDescent="0.25">
      <c r="A10" s="77" t="s">
        <v>2508</v>
      </c>
      <c r="B10" s="98">
        <v>-26983</v>
      </c>
      <c r="C10" s="31">
        <v>45623</v>
      </c>
      <c r="D10" s="28">
        <v>45628</v>
      </c>
      <c r="E10" s="141"/>
      <c r="F10" s="141"/>
      <c r="G10" s="55"/>
      <c r="L10" s="11" t="s">
        <v>1444</v>
      </c>
      <c r="M10" s="88"/>
    </row>
    <row r="11" spans="1:19" s="11" customFormat="1" ht="15.75" x14ac:dyDescent="0.25">
      <c r="A11" s="77" t="s">
        <v>2509</v>
      </c>
      <c r="B11" s="98">
        <v>-31802</v>
      </c>
      <c r="C11" s="31">
        <v>45623</v>
      </c>
      <c r="D11" s="28">
        <v>45628</v>
      </c>
      <c r="E11" s="141"/>
      <c r="F11" s="141"/>
      <c r="G11" s="55"/>
      <c r="L11" s="11" t="s">
        <v>1445</v>
      </c>
      <c r="M11" s="88"/>
    </row>
    <row r="12" spans="1:19" s="11" customFormat="1" ht="15.75" x14ac:dyDescent="0.25">
      <c r="A12" s="77" t="s">
        <v>2510</v>
      </c>
      <c r="B12" s="98">
        <v>-32658</v>
      </c>
      <c r="C12" s="31">
        <v>45623</v>
      </c>
      <c r="D12" s="28">
        <v>45628</v>
      </c>
      <c r="E12" s="141"/>
      <c r="F12" s="141"/>
      <c r="G12" s="55"/>
      <c r="L12" s="11" t="s">
        <v>1446</v>
      </c>
      <c r="M12" s="88"/>
    </row>
    <row r="13" spans="1:19" s="11" customFormat="1" ht="15.75" x14ac:dyDescent="0.25">
      <c r="A13" s="77" t="s">
        <v>2511</v>
      </c>
      <c r="B13" s="98">
        <v>-32848</v>
      </c>
      <c r="C13" s="31">
        <v>45623</v>
      </c>
      <c r="D13" s="28">
        <v>45628</v>
      </c>
      <c r="E13" s="141"/>
      <c r="F13" s="141"/>
      <c r="G13" s="55"/>
      <c r="L13" s="11" t="s">
        <v>1447</v>
      </c>
      <c r="M13" s="88"/>
    </row>
    <row r="14" spans="1:19" s="11" customFormat="1" ht="15.75" x14ac:dyDescent="0.25">
      <c r="A14" s="77" t="s">
        <v>2515</v>
      </c>
      <c r="B14" s="98">
        <v>-33827</v>
      </c>
      <c r="C14" s="31">
        <v>45623</v>
      </c>
      <c r="D14" s="28">
        <v>45628</v>
      </c>
      <c r="E14" s="141"/>
      <c r="F14" s="141"/>
      <c r="G14" s="55"/>
      <c r="L14" s="11" t="s">
        <v>1448</v>
      </c>
      <c r="M14" s="88"/>
    </row>
    <row r="15" spans="1:19" s="11" customFormat="1" ht="15.75" x14ac:dyDescent="0.25">
      <c r="A15" s="77" t="s">
        <v>2516</v>
      </c>
      <c r="B15" s="98">
        <v>-34846</v>
      </c>
      <c r="C15" s="31">
        <v>45623</v>
      </c>
      <c r="D15" s="28">
        <v>45628</v>
      </c>
      <c r="E15" s="141"/>
      <c r="F15" s="141"/>
      <c r="G15" s="55"/>
      <c r="L15" s="11" t="s">
        <v>1449</v>
      </c>
      <c r="M15" s="88"/>
    </row>
    <row r="16" spans="1:19" s="11" customFormat="1" ht="15.75" x14ac:dyDescent="0.25">
      <c r="A16" s="77" t="s">
        <v>2517</v>
      </c>
      <c r="B16" s="98">
        <v>-39387</v>
      </c>
      <c r="C16" s="31">
        <v>45623</v>
      </c>
      <c r="D16" s="28">
        <v>45628</v>
      </c>
      <c r="E16" s="141"/>
      <c r="F16" s="141"/>
      <c r="G16" s="55"/>
      <c r="L16" s="11" t="s">
        <v>1450</v>
      </c>
      <c r="M16" s="88"/>
    </row>
    <row r="17" spans="1:13" s="11" customFormat="1" ht="15.75" x14ac:dyDescent="0.25">
      <c r="A17" s="77" t="s">
        <v>2519</v>
      </c>
      <c r="B17" s="98">
        <v>-42507.199999999997</v>
      </c>
      <c r="C17" s="31">
        <v>45622</v>
      </c>
      <c r="D17" s="28"/>
      <c r="E17" s="141"/>
      <c r="F17" s="141"/>
      <c r="G17" s="55"/>
      <c r="L17" s="11" t="s">
        <v>1451</v>
      </c>
      <c r="M17" s="88"/>
    </row>
    <row r="18" spans="1:13" s="11" customFormat="1" ht="15.75" x14ac:dyDescent="0.25">
      <c r="A18" s="77" t="s">
        <v>2520</v>
      </c>
      <c r="B18" s="98">
        <v>-43065.2</v>
      </c>
      <c r="C18" s="31">
        <v>45622</v>
      </c>
      <c r="D18" s="28"/>
      <c r="E18" s="141"/>
      <c r="F18" s="141"/>
      <c r="G18" s="55"/>
      <c r="L18" s="11" t="s">
        <v>1452</v>
      </c>
      <c r="M18" s="88"/>
    </row>
    <row r="19" spans="1:13" s="11" customFormat="1" ht="15.75" x14ac:dyDescent="0.25">
      <c r="A19" s="77" t="s">
        <v>2564</v>
      </c>
      <c r="B19" s="98">
        <v>-59913.3</v>
      </c>
      <c r="C19" s="31">
        <v>45625</v>
      </c>
      <c r="D19" s="28">
        <v>45628</v>
      </c>
      <c r="E19" s="141"/>
      <c r="F19" s="141"/>
      <c r="G19" s="55"/>
      <c r="L19" s="11" t="s">
        <v>1453</v>
      </c>
      <c r="M19" s="88"/>
    </row>
    <row r="20" spans="1:13" s="11" customFormat="1" ht="15.75" x14ac:dyDescent="0.25">
      <c r="A20" s="77" t="s">
        <v>2524</v>
      </c>
      <c r="B20" s="98">
        <v>-59913.3</v>
      </c>
      <c r="C20" s="31">
        <v>45625</v>
      </c>
      <c r="D20" s="28">
        <v>45628</v>
      </c>
      <c r="E20" s="141"/>
      <c r="F20" s="141"/>
      <c r="G20" s="55"/>
      <c r="L20" s="11" t="s">
        <v>1436</v>
      </c>
      <c r="M20" s="88"/>
    </row>
    <row r="21" spans="1:13" s="11" customFormat="1" ht="15.75" x14ac:dyDescent="0.25">
      <c r="A21" s="77" t="s">
        <v>2525</v>
      </c>
      <c r="B21" s="98">
        <v>-60373.65</v>
      </c>
      <c r="C21" s="31">
        <v>45625</v>
      </c>
      <c r="D21" s="28">
        <v>45628</v>
      </c>
      <c r="E21" s="141"/>
      <c r="F21" s="141"/>
      <c r="G21" s="55"/>
      <c r="L21" s="11" t="s">
        <v>1454</v>
      </c>
      <c r="M21" s="88"/>
    </row>
    <row r="22" spans="1:13" s="11" customFormat="1" ht="15.75" x14ac:dyDescent="0.25">
      <c r="A22" s="77" t="s">
        <v>2526</v>
      </c>
      <c r="B22" s="98">
        <v>-60373.65</v>
      </c>
      <c r="C22" s="31">
        <v>45625</v>
      </c>
      <c r="D22" s="28">
        <v>45628</v>
      </c>
      <c r="E22" s="141"/>
      <c r="F22" s="141"/>
      <c r="G22" s="55"/>
      <c r="L22" s="11" t="s">
        <v>1455</v>
      </c>
      <c r="M22" s="88"/>
    </row>
    <row r="23" spans="1:13" s="11" customFormat="1" ht="15.75" x14ac:dyDescent="0.25">
      <c r="A23" s="11" t="s">
        <v>2527</v>
      </c>
      <c r="B23" s="98">
        <v>-60373.65</v>
      </c>
      <c r="C23" s="31">
        <v>45625</v>
      </c>
      <c r="D23" s="28">
        <v>45628</v>
      </c>
      <c r="E23" s="141"/>
      <c r="F23" s="141"/>
      <c r="G23" s="55"/>
      <c r="L23" s="11" t="s">
        <v>1456</v>
      </c>
      <c r="M23" s="88"/>
    </row>
    <row r="24" spans="1:13" s="11" customFormat="1" ht="15.75" x14ac:dyDescent="0.25">
      <c r="A24" s="77" t="s">
        <v>2528</v>
      </c>
      <c r="B24" s="98">
        <v>-60834</v>
      </c>
      <c r="C24" s="31">
        <v>45625</v>
      </c>
      <c r="D24" s="28">
        <v>45628</v>
      </c>
      <c r="E24" s="141"/>
      <c r="F24" s="141"/>
      <c r="G24" s="55"/>
      <c r="L24" s="11" t="s">
        <v>1457</v>
      </c>
      <c r="M24" s="88"/>
    </row>
    <row r="25" spans="1:13" s="11" customFormat="1" ht="15.75" x14ac:dyDescent="0.25">
      <c r="A25" s="77" t="s">
        <v>2549</v>
      </c>
      <c r="B25" s="98">
        <v>-63544.95</v>
      </c>
      <c r="C25" s="31">
        <v>45625</v>
      </c>
      <c r="D25" s="28">
        <v>45628</v>
      </c>
      <c r="E25" s="141"/>
      <c r="F25" s="141"/>
      <c r="G25" s="55"/>
      <c r="L25" s="11" t="s">
        <v>2506</v>
      </c>
      <c r="M25" s="88"/>
    </row>
    <row r="26" spans="1:13" s="11" customFormat="1" ht="15.75" x14ac:dyDescent="0.25">
      <c r="A26" s="77" t="s">
        <v>2530</v>
      </c>
      <c r="B26" s="98">
        <v>-63544.95</v>
      </c>
      <c r="C26" s="31">
        <v>45625</v>
      </c>
      <c r="D26" s="28">
        <v>45628</v>
      </c>
      <c r="E26" s="141"/>
      <c r="F26" s="141"/>
      <c r="G26" s="55"/>
      <c r="L26" s="11" t="s">
        <v>1458</v>
      </c>
      <c r="M26" s="88"/>
    </row>
    <row r="27" spans="1:13" s="11" customFormat="1" ht="15.75" x14ac:dyDescent="0.25">
      <c r="A27" s="77" t="s">
        <v>2531</v>
      </c>
      <c r="B27" s="98">
        <v>-63544.95</v>
      </c>
      <c r="C27" s="31">
        <v>45625</v>
      </c>
      <c r="D27" s="28">
        <v>45628</v>
      </c>
      <c r="E27" s="141"/>
      <c r="F27" s="141"/>
      <c r="G27" s="55"/>
      <c r="L27" s="11" t="s">
        <v>1368</v>
      </c>
      <c r="M27" s="88"/>
    </row>
    <row r="28" spans="1:13" s="11" customFormat="1" ht="15.75" x14ac:dyDescent="0.25">
      <c r="A28" s="77" t="s">
        <v>2532</v>
      </c>
      <c r="B28" s="98">
        <v>-63544.95</v>
      </c>
      <c r="C28" s="31">
        <v>45625</v>
      </c>
      <c r="D28" s="28">
        <v>45628</v>
      </c>
      <c r="E28" s="141"/>
      <c r="F28" s="141"/>
      <c r="G28" s="55"/>
      <c r="L28" s="11" t="s">
        <v>1459</v>
      </c>
      <c r="M28" s="88"/>
    </row>
    <row r="29" spans="1:13" s="11" customFormat="1" ht="15.75" x14ac:dyDescent="0.25">
      <c r="A29" s="77" t="s">
        <v>2547</v>
      </c>
      <c r="B29" s="98">
        <v>-98845</v>
      </c>
      <c r="C29" s="31">
        <v>45622</v>
      </c>
      <c r="D29" s="28"/>
      <c r="E29" s="141"/>
      <c r="F29" s="141"/>
      <c r="G29" s="55"/>
      <c r="L29" s="11" t="s">
        <v>1369</v>
      </c>
      <c r="M29" s="88"/>
    </row>
    <row r="30" spans="1:13" s="11" customFormat="1" ht="15.75" x14ac:dyDescent="0.25">
      <c r="A30" s="77" t="s">
        <v>2565</v>
      </c>
      <c r="B30" s="98">
        <v>-109335</v>
      </c>
      <c r="C30" s="31">
        <v>45618</v>
      </c>
      <c r="D30" s="28">
        <v>45635</v>
      </c>
      <c r="E30" s="141"/>
      <c r="F30" s="141"/>
      <c r="G30" s="55"/>
      <c r="L30" s="11" t="s">
        <v>1460</v>
      </c>
      <c r="M30" s="88"/>
    </row>
    <row r="31" spans="1:13" s="11" customFormat="1" ht="15.75" x14ac:dyDescent="0.25">
      <c r="A31" s="77"/>
      <c r="B31" s="98"/>
      <c r="C31" s="31"/>
      <c r="D31" s="28"/>
      <c r="E31" s="141"/>
      <c r="F31" s="141"/>
      <c r="G31" s="55"/>
      <c r="M31" s="88"/>
    </row>
    <row r="32" spans="1:13" s="11" customFormat="1" ht="15.75" x14ac:dyDescent="0.25">
      <c r="B32" s="25">
        <f>SUM(B9:B31)</f>
        <v>-1167481.75</v>
      </c>
      <c r="C32" s="28"/>
      <c r="D32" s="28"/>
      <c r="E32" s="141"/>
      <c r="F32" s="141"/>
      <c r="G32" s="55"/>
    </row>
    <row r="33" spans="1:13" s="11" customFormat="1" ht="16.5" customHeight="1" x14ac:dyDescent="0.25">
      <c r="A33" s="11" t="s">
        <v>2</v>
      </c>
      <c r="B33" s="25"/>
      <c r="C33" s="30" t="s">
        <v>626</v>
      </c>
      <c r="D33" s="114" t="s">
        <v>628</v>
      </c>
      <c r="E33" s="141"/>
      <c r="F33" s="141"/>
      <c r="G33" s="55"/>
    </row>
    <row r="34" spans="1:13" s="11" customFormat="1" ht="16.5" customHeight="1" x14ac:dyDescent="0.25">
      <c r="A34" s="11" t="s">
        <v>2550</v>
      </c>
      <c r="B34" s="119">
        <v>28593.01</v>
      </c>
      <c r="C34" s="144">
        <v>45616</v>
      </c>
      <c r="D34" s="28">
        <v>45629</v>
      </c>
      <c r="E34" s="141"/>
      <c r="F34" s="141"/>
      <c r="G34" s="55"/>
    </row>
    <row r="35" spans="1:13" s="11" customFormat="1" ht="16.5" customHeight="1" x14ac:dyDescent="0.25">
      <c r="A35" s="11" t="s">
        <v>2551</v>
      </c>
      <c r="B35" s="119">
        <v>29406.46</v>
      </c>
      <c r="C35" s="33">
        <v>45614</v>
      </c>
      <c r="D35" s="28">
        <v>45629</v>
      </c>
      <c r="E35" s="141"/>
      <c r="F35" s="141"/>
      <c r="G35" s="55"/>
      <c r="M35" s="88"/>
    </row>
    <row r="36" spans="1:13" s="11" customFormat="1" ht="16.5" customHeight="1" x14ac:dyDescent="0.25">
      <c r="A36" s="11" t="s">
        <v>2552</v>
      </c>
      <c r="B36" s="119">
        <v>29406.46</v>
      </c>
      <c r="C36" s="33">
        <v>45614</v>
      </c>
      <c r="D36" s="28">
        <v>45629</v>
      </c>
      <c r="E36" s="141"/>
      <c r="F36" s="141"/>
      <c r="G36" s="55"/>
      <c r="M36" s="88"/>
    </row>
    <row r="37" spans="1:13" s="11" customFormat="1" ht="16.5" customHeight="1" x14ac:dyDescent="0.25">
      <c r="A37" s="11" t="s">
        <v>2512</v>
      </c>
      <c r="B37" s="119">
        <v>33023.35</v>
      </c>
      <c r="C37" s="33">
        <v>45615</v>
      </c>
      <c r="D37" s="11">
        <v>4800</v>
      </c>
      <c r="E37" s="141"/>
      <c r="F37" s="141"/>
      <c r="G37" s="55"/>
      <c r="M37" s="88"/>
    </row>
    <row r="38" spans="1:13" s="11" customFormat="1" ht="16.5" customHeight="1" x14ac:dyDescent="0.25">
      <c r="A38" s="11" t="s">
        <v>2513</v>
      </c>
      <c r="B38" s="119">
        <v>33023.35</v>
      </c>
      <c r="C38" s="33">
        <v>45615</v>
      </c>
      <c r="D38" s="11">
        <v>4800</v>
      </c>
      <c r="E38" s="141"/>
      <c r="F38" s="141"/>
      <c r="G38" s="55"/>
    </row>
    <row r="39" spans="1:13" s="11" customFormat="1" ht="16.5" customHeight="1" x14ac:dyDescent="0.25">
      <c r="A39" s="11" t="s">
        <v>2514</v>
      </c>
      <c r="B39" s="119">
        <v>33023.35</v>
      </c>
      <c r="C39" s="33">
        <v>45614</v>
      </c>
      <c r="D39" s="11">
        <v>4800</v>
      </c>
      <c r="E39" s="141"/>
      <c r="F39" s="141"/>
      <c r="G39" s="55"/>
    </row>
    <row r="40" spans="1:13" s="11" customFormat="1" ht="16.5" customHeight="1" x14ac:dyDescent="0.25">
      <c r="A40" s="11" t="s">
        <v>2553</v>
      </c>
      <c r="B40" s="119">
        <v>37288.199999999997</v>
      </c>
      <c r="C40" s="33">
        <v>45608</v>
      </c>
      <c r="D40" s="28">
        <v>45629</v>
      </c>
      <c r="E40" s="141"/>
      <c r="F40" s="141"/>
      <c r="G40" s="55"/>
    </row>
    <row r="41" spans="1:13" s="11" customFormat="1" ht="16.5" customHeight="1" x14ac:dyDescent="0.25">
      <c r="A41" s="11" t="s">
        <v>2446</v>
      </c>
      <c r="B41" s="119">
        <v>42387.8</v>
      </c>
      <c r="C41" s="33">
        <v>45590</v>
      </c>
      <c r="D41" s="145" t="s">
        <v>2566</v>
      </c>
      <c r="E41" s="141"/>
      <c r="F41" s="141"/>
      <c r="G41" s="55"/>
    </row>
    <row r="42" spans="1:13" s="11" customFormat="1" ht="16.5" customHeight="1" x14ac:dyDescent="0.25">
      <c r="A42" s="11" t="s">
        <v>2447</v>
      </c>
      <c r="B42" s="119">
        <v>42387.8</v>
      </c>
      <c r="C42" s="33">
        <v>45590</v>
      </c>
      <c r="D42" s="145" t="s">
        <v>2566</v>
      </c>
      <c r="E42" s="141"/>
      <c r="F42" s="141"/>
      <c r="G42" s="55"/>
    </row>
    <row r="43" spans="1:13" s="11" customFormat="1" ht="16.5" customHeight="1" x14ac:dyDescent="0.25">
      <c r="A43" s="11" t="s">
        <v>2448</v>
      </c>
      <c r="B43" s="119">
        <v>42387.8</v>
      </c>
      <c r="C43" s="33">
        <v>45590</v>
      </c>
      <c r="D43" s="145" t="s">
        <v>2566</v>
      </c>
      <c r="E43" s="141"/>
      <c r="F43" s="141"/>
      <c r="G43" s="55"/>
    </row>
    <row r="44" spans="1:13" s="11" customFormat="1" ht="16.5" customHeight="1" x14ac:dyDescent="0.25">
      <c r="A44" s="11" t="s">
        <v>2449</v>
      </c>
      <c r="B44" s="119">
        <v>42387.8</v>
      </c>
      <c r="C44" s="33">
        <v>45593</v>
      </c>
      <c r="D44" s="145" t="s">
        <v>2566</v>
      </c>
      <c r="E44" s="141"/>
      <c r="F44" s="141"/>
      <c r="G44" s="55"/>
    </row>
    <row r="45" spans="1:13" s="11" customFormat="1" ht="16.5" customHeight="1" x14ac:dyDescent="0.25">
      <c r="A45" s="11" t="s">
        <v>2518</v>
      </c>
      <c r="B45" s="119">
        <v>42387.8</v>
      </c>
      <c r="C45" s="33">
        <v>45602</v>
      </c>
      <c r="D45" s="145" t="s">
        <v>2566</v>
      </c>
      <c r="E45" s="141"/>
      <c r="F45" s="141"/>
      <c r="G45" s="55"/>
    </row>
    <row r="46" spans="1:13" s="11" customFormat="1" ht="16.5" customHeight="1" x14ac:dyDescent="0.25">
      <c r="A46" s="11" t="s">
        <v>2450</v>
      </c>
      <c r="B46" s="119">
        <v>42387.8</v>
      </c>
      <c r="C46" s="150">
        <v>45590</v>
      </c>
      <c r="D46" s="145" t="s">
        <v>2566</v>
      </c>
      <c r="E46" s="141"/>
      <c r="F46" s="141"/>
      <c r="G46" s="55"/>
    </row>
    <row r="47" spans="1:13" s="11" customFormat="1" ht="16.5" customHeight="1" x14ac:dyDescent="0.25">
      <c r="A47" s="11" t="s">
        <v>2469</v>
      </c>
      <c r="B47" s="119">
        <v>42945.8</v>
      </c>
      <c r="C47" s="33">
        <v>45590</v>
      </c>
      <c r="D47" s="145" t="s">
        <v>2566</v>
      </c>
      <c r="E47" s="141"/>
      <c r="F47" s="141"/>
      <c r="G47" s="55"/>
    </row>
    <row r="48" spans="1:13" s="11" customFormat="1" ht="16.5" customHeight="1" x14ac:dyDescent="0.25">
      <c r="A48" s="11" t="s">
        <v>2521</v>
      </c>
      <c r="B48" s="119">
        <v>45245</v>
      </c>
      <c r="C48" s="150">
        <v>45609</v>
      </c>
      <c r="D48" s="11">
        <v>4200</v>
      </c>
      <c r="E48" s="141"/>
      <c r="F48" s="141"/>
      <c r="G48" s="55"/>
    </row>
    <row r="49" spans="1:13" s="11" customFormat="1" ht="16.5" customHeight="1" x14ac:dyDescent="0.25">
      <c r="A49" s="11" t="s">
        <v>2554</v>
      </c>
      <c r="B49" s="119">
        <v>45428.1</v>
      </c>
      <c r="C49" s="150">
        <v>45623</v>
      </c>
      <c r="D49" s="28">
        <v>45629</v>
      </c>
      <c r="E49" s="141"/>
      <c r="F49" s="141"/>
      <c r="G49" s="55"/>
    </row>
    <row r="50" spans="1:13" s="11" customFormat="1" ht="16.5" customHeight="1" x14ac:dyDescent="0.25">
      <c r="A50" s="11" t="s">
        <v>2522</v>
      </c>
      <c r="B50" s="119">
        <v>45705.35</v>
      </c>
      <c r="C50" s="150">
        <v>45614</v>
      </c>
      <c r="D50" s="92">
        <v>4200</v>
      </c>
      <c r="E50" s="141"/>
      <c r="F50" s="141"/>
      <c r="G50" s="55"/>
      <c r="M50" s="88"/>
    </row>
    <row r="51" spans="1:13" s="11" customFormat="1" ht="16.5" customHeight="1" x14ac:dyDescent="0.25">
      <c r="A51" s="11" t="s">
        <v>2452</v>
      </c>
      <c r="B51" s="119">
        <v>47193</v>
      </c>
      <c r="C51" s="150">
        <v>45590</v>
      </c>
      <c r="D51" s="145" t="s">
        <v>2566</v>
      </c>
      <c r="E51" s="141"/>
      <c r="F51" s="141"/>
      <c r="G51" s="55"/>
      <c r="M51" s="88"/>
    </row>
    <row r="52" spans="1:13" s="11" customFormat="1" ht="16.5" customHeight="1" x14ac:dyDescent="0.25">
      <c r="A52" s="11" t="s">
        <v>2453</v>
      </c>
      <c r="B52" s="119">
        <v>47193</v>
      </c>
      <c r="C52" s="150">
        <v>45593</v>
      </c>
      <c r="D52" s="145" t="s">
        <v>2566</v>
      </c>
      <c r="E52" s="141"/>
      <c r="F52" s="141"/>
      <c r="G52" s="55"/>
      <c r="M52" s="88"/>
    </row>
    <row r="53" spans="1:13" s="11" customFormat="1" ht="16.5" customHeight="1" x14ac:dyDescent="0.25">
      <c r="A53" s="11" t="s">
        <v>2455</v>
      </c>
      <c r="B53" s="119">
        <v>47751</v>
      </c>
      <c r="C53" s="150">
        <v>45590</v>
      </c>
      <c r="D53" s="145" t="s">
        <v>2566</v>
      </c>
      <c r="E53" s="141"/>
      <c r="F53" s="141"/>
      <c r="G53" s="55"/>
      <c r="M53" s="88"/>
    </row>
    <row r="54" spans="1:13" s="11" customFormat="1" ht="16.5" customHeight="1" x14ac:dyDescent="0.25">
      <c r="A54" s="11" t="s">
        <v>2555</v>
      </c>
      <c r="B54" s="119">
        <v>49087.3</v>
      </c>
      <c r="C54" s="150">
        <v>45590</v>
      </c>
      <c r="D54" s="14">
        <v>45629</v>
      </c>
      <c r="E54" s="141"/>
      <c r="F54" s="141"/>
      <c r="G54" s="55"/>
      <c r="M54" s="88"/>
    </row>
    <row r="55" spans="1:13" s="11" customFormat="1" ht="16.5" customHeight="1" x14ac:dyDescent="0.25">
      <c r="A55" s="11" t="s">
        <v>2556</v>
      </c>
      <c r="B55" s="119">
        <v>52245.45</v>
      </c>
      <c r="C55" s="150">
        <v>45625</v>
      </c>
      <c r="D55" s="14">
        <v>45629</v>
      </c>
      <c r="E55" s="141"/>
      <c r="F55" s="141"/>
      <c r="G55" s="55"/>
      <c r="M55" s="88"/>
    </row>
    <row r="56" spans="1:13" s="11" customFormat="1" ht="16.5" customHeight="1" x14ac:dyDescent="0.25">
      <c r="A56" s="11" t="s">
        <v>2186</v>
      </c>
      <c r="B56" s="119">
        <v>52483</v>
      </c>
      <c r="C56" s="150">
        <v>45419</v>
      </c>
      <c r="D56" s="145">
        <v>4300</v>
      </c>
      <c r="E56" s="141"/>
      <c r="F56" s="141"/>
      <c r="G56" s="55"/>
      <c r="M56" s="88"/>
    </row>
    <row r="57" spans="1:13" s="11" customFormat="1" ht="16.5" customHeight="1" x14ac:dyDescent="0.25">
      <c r="A57" s="11" t="s">
        <v>2377</v>
      </c>
      <c r="B57" s="119">
        <v>54227.45</v>
      </c>
      <c r="C57" s="150">
        <v>45558</v>
      </c>
      <c r="D57" s="145" t="s">
        <v>2566</v>
      </c>
      <c r="E57" s="141"/>
      <c r="F57" s="141"/>
      <c r="G57" s="55"/>
      <c r="M57" s="88"/>
    </row>
    <row r="58" spans="1:13" s="11" customFormat="1" ht="16.5" customHeight="1" x14ac:dyDescent="0.25">
      <c r="A58" s="11" t="s">
        <v>2378</v>
      </c>
      <c r="B58" s="119">
        <v>54687.8</v>
      </c>
      <c r="C58" s="150">
        <v>45558</v>
      </c>
      <c r="D58" s="145" t="s">
        <v>2566</v>
      </c>
      <c r="E58" s="141"/>
      <c r="F58" s="141"/>
      <c r="G58" s="55"/>
      <c r="M58" s="88"/>
    </row>
    <row r="59" spans="1:13" s="11" customFormat="1" ht="16.5" customHeight="1" x14ac:dyDescent="0.25">
      <c r="A59" s="11" t="s">
        <v>2379</v>
      </c>
      <c r="B59" s="119">
        <v>54827.3</v>
      </c>
      <c r="C59" s="150">
        <v>45558</v>
      </c>
      <c r="D59" s="145" t="s">
        <v>2566</v>
      </c>
      <c r="E59" s="141"/>
      <c r="F59" s="141"/>
      <c r="G59" s="55"/>
      <c r="M59" s="88"/>
    </row>
    <row r="60" spans="1:13" s="11" customFormat="1" ht="16.5" customHeight="1" x14ac:dyDescent="0.25">
      <c r="A60" s="11" t="s">
        <v>2523</v>
      </c>
      <c r="B60" s="119">
        <v>57774.3</v>
      </c>
      <c r="C60" s="150">
        <v>45625</v>
      </c>
      <c r="D60" s="145">
        <v>4300</v>
      </c>
      <c r="E60" s="141"/>
      <c r="F60" s="141"/>
      <c r="G60" s="55"/>
      <c r="M60" s="88"/>
    </row>
    <row r="61" spans="1:13" s="11" customFormat="1" ht="16.5" customHeight="1" x14ac:dyDescent="0.25">
      <c r="A61" s="11" t="s">
        <v>2529</v>
      </c>
      <c r="B61" s="119">
        <v>61933.9</v>
      </c>
      <c r="C61" s="150">
        <v>45623</v>
      </c>
      <c r="D61" s="145">
        <v>4300</v>
      </c>
      <c r="E61" s="141"/>
      <c r="F61" s="141"/>
      <c r="G61" s="55"/>
      <c r="M61" s="88"/>
    </row>
    <row r="62" spans="1:13" s="11" customFormat="1" ht="16.5" customHeight="1" x14ac:dyDescent="0.25">
      <c r="A62" s="11" t="s">
        <v>2557</v>
      </c>
      <c r="B62" s="119">
        <v>61980.4</v>
      </c>
      <c r="C62" s="150">
        <v>45566</v>
      </c>
      <c r="D62" s="145" t="s">
        <v>2566</v>
      </c>
      <c r="E62" s="141"/>
      <c r="F62" s="141"/>
      <c r="G62" s="55"/>
      <c r="M62" s="88"/>
    </row>
    <row r="63" spans="1:13" s="11" customFormat="1" ht="16.5" customHeight="1" x14ac:dyDescent="0.25">
      <c r="A63" s="11" t="s">
        <v>2457</v>
      </c>
      <c r="B63" s="119">
        <v>61980.4</v>
      </c>
      <c r="C63" s="150">
        <v>45568</v>
      </c>
      <c r="D63" s="145" t="s">
        <v>2566</v>
      </c>
      <c r="E63" s="141"/>
      <c r="F63" s="141"/>
      <c r="G63" s="55"/>
      <c r="M63" s="88"/>
    </row>
    <row r="64" spans="1:13" s="11" customFormat="1" ht="16.5" customHeight="1" x14ac:dyDescent="0.25">
      <c r="A64" s="11" t="s">
        <v>2533</v>
      </c>
      <c r="B64" s="119">
        <v>70098.350000000006</v>
      </c>
      <c r="C64" s="150">
        <v>45625</v>
      </c>
      <c r="D64" s="145">
        <v>4155</v>
      </c>
      <c r="E64" s="141"/>
      <c r="F64" s="141"/>
      <c r="G64" s="55"/>
      <c r="M64" s="88"/>
    </row>
    <row r="65" spans="1:13" s="11" customFormat="1" ht="16.5" customHeight="1" x14ac:dyDescent="0.25">
      <c r="A65" s="11" t="s">
        <v>2534</v>
      </c>
      <c r="B65" s="119">
        <v>74932.5</v>
      </c>
      <c r="C65" s="150">
        <v>45608</v>
      </c>
      <c r="D65" s="145">
        <v>4300</v>
      </c>
      <c r="E65" s="141"/>
      <c r="F65" s="141"/>
      <c r="G65" s="55"/>
      <c r="M65" s="88"/>
    </row>
    <row r="66" spans="1:13" s="11" customFormat="1" ht="16.5" customHeight="1" x14ac:dyDescent="0.25">
      <c r="A66" s="11" t="s">
        <v>2535</v>
      </c>
      <c r="B66" s="119">
        <v>75454.350000000006</v>
      </c>
      <c r="C66" s="150">
        <v>45608</v>
      </c>
      <c r="D66" s="145">
        <v>4300</v>
      </c>
      <c r="E66" s="141"/>
      <c r="F66" s="141"/>
      <c r="G66" s="55"/>
      <c r="M66" s="88"/>
    </row>
    <row r="67" spans="1:13" s="11" customFormat="1" ht="16.5" customHeight="1" x14ac:dyDescent="0.25">
      <c r="A67" s="11" t="s">
        <v>2536</v>
      </c>
      <c r="B67" s="119">
        <v>75547.350000000006</v>
      </c>
      <c r="C67" s="150">
        <v>45608</v>
      </c>
      <c r="D67" s="145">
        <v>4300</v>
      </c>
      <c r="E67" s="141"/>
      <c r="F67" s="141"/>
      <c r="G67" s="55"/>
      <c r="M67" s="88"/>
    </row>
    <row r="68" spans="1:13" s="11" customFormat="1" ht="16.5" customHeight="1" x14ac:dyDescent="0.25">
      <c r="A68" s="11" t="s">
        <v>2537</v>
      </c>
      <c r="B68" s="119">
        <v>76007.7</v>
      </c>
      <c r="C68" s="150">
        <v>45618</v>
      </c>
      <c r="D68" s="145">
        <v>4300</v>
      </c>
      <c r="E68" s="141"/>
      <c r="F68" s="141"/>
      <c r="G68" s="55"/>
      <c r="M68" s="88"/>
    </row>
    <row r="69" spans="1:13" s="11" customFormat="1" ht="16.5" customHeight="1" x14ac:dyDescent="0.25">
      <c r="A69" s="11" t="s">
        <v>2538</v>
      </c>
      <c r="B69" s="119">
        <v>76934.100000000006</v>
      </c>
      <c r="C69" s="150">
        <v>45614</v>
      </c>
      <c r="D69" s="145">
        <v>4300</v>
      </c>
      <c r="E69" s="141"/>
      <c r="F69" s="141"/>
      <c r="G69" s="55"/>
      <c r="M69" s="88"/>
    </row>
    <row r="70" spans="1:13" s="11" customFormat="1" ht="16.5" customHeight="1" x14ac:dyDescent="0.25">
      <c r="A70" s="11" t="s">
        <v>2459</v>
      </c>
      <c r="B70" s="119">
        <v>81955.5</v>
      </c>
      <c r="C70" s="150">
        <v>45576</v>
      </c>
      <c r="D70" s="145" t="s">
        <v>2566</v>
      </c>
      <c r="E70" s="141"/>
      <c r="F70" s="141"/>
      <c r="G70" s="55"/>
      <c r="M70" s="88"/>
    </row>
    <row r="71" spans="1:13" s="11" customFormat="1" ht="16.5" customHeight="1" x14ac:dyDescent="0.25">
      <c r="A71" s="11" t="s">
        <v>2539</v>
      </c>
      <c r="B71" s="119">
        <v>85206.3</v>
      </c>
      <c r="C71" s="150">
        <v>45609</v>
      </c>
      <c r="D71" s="145">
        <v>4300</v>
      </c>
      <c r="E71" s="141"/>
      <c r="F71" s="141"/>
      <c r="G71" s="55"/>
      <c r="M71" s="88"/>
    </row>
    <row r="72" spans="1:13" s="11" customFormat="1" ht="16.5" customHeight="1" x14ac:dyDescent="0.25">
      <c r="A72" s="11" t="s">
        <v>2540</v>
      </c>
      <c r="B72" s="119">
        <v>85764.3</v>
      </c>
      <c r="C72" s="150">
        <v>45609</v>
      </c>
      <c r="D72" s="145">
        <v>4300</v>
      </c>
      <c r="E72" s="141"/>
      <c r="F72" s="141"/>
      <c r="G72" s="55"/>
      <c r="M72" s="88"/>
    </row>
    <row r="73" spans="1:13" s="11" customFormat="1" ht="16.5" customHeight="1" x14ac:dyDescent="0.25">
      <c r="A73" s="11" t="s">
        <v>2541</v>
      </c>
      <c r="B73" s="119">
        <v>88104.3</v>
      </c>
      <c r="C73" s="150">
        <v>45609</v>
      </c>
      <c r="D73" s="145">
        <v>4300</v>
      </c>
      <c r="E73" s="141"/>
      <c r="F73" s="141"/>
      <c r="G73" s="55"/>
      <c r="M73" s="88"/>
    </row>
    <row r="74" spans="1:13" s="11" customFormat="1" ht="16.5" customHeight="1" x14ac:dyDescent="0.25">
      <c r="A74" s="11" t="s">
        <v>2542</v>
      </c>
      <c r="B74" s="119">
        <v>88104.3</v>
      </c>
      <c r="C74" s="150">
        <v>45611</v>
      </c>
      <c r="D74" s="145">
        <v>4300</v>
      </c>
      <c r="E74" s="141"/>
      <c r="F74" s="141"/>
      <c r="G74" s="55"/>
      <c r="M74" s="88"/>
    </row>
    <row r="75" spans="1:13" s="11" customFormat="1" ht="16.5" customHeight="1" x14ac:dyDescent="0.25">
      <c r="A75" s="11" t="s">
        <v>2543</v>
      </c>
      <c r="B75" s="119">
        <v>88662.3</v>
      </c>
      <c r="C75" s="150">
        <v>45609</v>
      </c>
      <c r="D75" s="145">
        <v>4300</v>
      </c>
      <c r="E75" s="141"/>
      <c r="F75" s="141"/>
      <c r="G75" s="55"/>
      <c r="M75" s="88"/>
    </row>
    <row r="76" spans="1:13" s="11" customFormat="1" ht="16.5" customHeight="1" x14ac:dyDescent="0.25">
      <c r="A76" s="11" t="s">
        <v>2544</v>
      </c>
      <c r="B76" s="119">
        <v>88717.05</v>
      </c>
      <c r="C76" s="150">
        <v>45608</v>
      </c>
      <c r="D76" s="145">
        <v>4150</v>
      </c>
      <c r="E76" s="141"/>
      <c r="F76" s="141"/>
      <c r="G76" s="55"/>
      <c r="M76" s="88"/>
    </row>
    <row r="77" spans="1:13" s="11" customFormat="1" ht="16.5" customHeight="1" x14ac:dyDescent="0.25">
      <c r="A77" s="11" t="s">
        <v>2558</v>
      </c>
      <c r="B77" s="153">
        <v>88804.7</v>
      </c>
      <c r="C77" s="150">
        <v>45609</v>
      </c>
      <c r="D77" s="14">
        <v>45608</v>
      </c>
      <c r="E77" s="141"/>
      <c r="F77" s="141"/>
      <c r="G77" s="55"/>
      <c r="M77" s="88"/>
    </row>
    <row r="78" spans="1:13" s="11" customFormat="1" ht="16.5" customHeight="1" x14ac:dyDescent="0.25">
      <c r="A78" s="11" t="s">
        <v>2545</v>
      </c>
      <c r="B78" s="119">
        <v>89177.4</v>
      </c>
      <c r="C78" s="150">
        <v>45608</v>
      </c>
      <c r="D78" s="145">
        <v>4300</v>
      </c>
      <c r="E78" s="141"/>
      <c r="F78" s="141"/>
      <c r="G78" s="55"/>
      <c r="M78" s="88"/>
    </row>
    <row r="79" spans="1:13" s="11" customFormat="1" ht="16.5" customHeight="1" x14ac:dyDescent="0.25">
      <c r="A79" s="11" t="s">
        <v>2546</v>
      </c>
      <c r="B79" s="119">
        <v>89362.7</v>
      </c>
      <c r="C79" s="150">
        <v>45608</v>
      </c>
      <c r="D79" s="145">
        <v>4800</v>
      </c>
      <c r="E79" s="141"/>
      <c r="F79" s="141"/>
      <c r="G79" s="55"/>
      <c r="M79" s="88"/>
    </row>
    <row r="80" spans="1:13" s="11" customFormat="1" ht="16.5" customHeight="1" x14ac:dyDescent="0.25">
      <c r="A80" s="11" t="s">
        <v>2559</v>
      </c>
      <c r="B80" s="119">
        <v>89362.7</v>
      </c>
      <c r="C80" s="150">
        <v>45625</v>
      </c>
      <c r="D80" s="14">
        <v>45629</v>
      </c>
      <c r="E80" s="141"/>
      <c r="F80" s="141"/>
      <c r="G80" s="55"/>
      <c r="M80" s="88"/>
    </row>
    <row r="81" spans="1:13" s="11" customFormat="1" ht="16.5" customHeight="1" x14ac:dyDescent="0.25">
      <c r="A81" s="11" t="s">
        <v>2560</v>
      </c>
      <c r="B81" s="119">
        <v>95931.3</v>
      </c>
      <c r="C81" s="150">
        <v>45625</v>
      </c>
      <c r="D81" s="14">
        <v>45629</v>
      </c>
      <c r="E81" s="141"/>
      <c r="F81" s="141"/>
      <c r="G81" s="55"/>
      <c r="M81" s="88"/>
    </row>
    <row r="82" spans="1:13" s="11" customFormat="1" ht="16.5" customHeight="1" x14ac:dyDescent="0.25">
      <c r="A82" s="11" t="s">
        <v>2561</v>
      </c>
      <c r="B82" s="119">
        <v>96391.65</v>
      </c>
      <c r="C82" s="150">
        <v>45603</v>
      </c>
      <c r="D82" s="14">
        <v>45629</v>
      </c>
      <c r="E82" s="141"/>
      <c r="F82" s="141"/>
      <c r="G82" s="55"/>
      <c r="M82" s="88"/>
    </row>
    <row r="83" spans="1:13" s="11" customFormat="1" ht="16.5" customHeight="1" x14ac:dyDescent="0.25">
      <c r="A83" s="11" t="s">
        <v>2562</v>
      </c>
      <c r="B83" s="119">
        <v>96391.65</v>
      </c>
      <c r="C83" s="150">
        <v>45625</v>
      </c>
      <c r="D83" s="14">
        <v>45629</v>
      </c>
      <c r="E83" s="141"/>
      <c r="F83" s="141"/>
      <c r="G83" s="55"/>
      <c r="M83" s="88"/>
    </row>
    <row r="84" spans="1:13" s="11" customFormat="1" ht="16.5" customHeight="1" x14ac:dyDescent="0.25">
      <c r="A84" s="11" t="s">
        <v>2548</v>
      </c>
      <c r="B84" s="119">
        <v>99495</v>
      </c>
      <c r="C84" s="150">
        <v>45625</v>
      </c>
      <c r="D84" s="145">
        <v>4200</v>
      </c>
      <c r="E84" s="141"/>
      <c r="F84" s="141"/>
      <c r="G84" s="55"/>
      <c r="M84" s="88"/>
    </row>
    <row r="85" spans="1:13" s="11" customFormat="1" ht="16.5" customHeight="1" x14ac:dyDescent="0.25">
      <c r="A85" s="11" t="s">
        <v>2465</v>
      </c>
      <c r="B85" s="119">
        <v>110883.25</v>
      </c>
      <c r="C85" s="150">
        <v>45576</v>
      </c>
      <c r="D85" s="145" t="s">
        <v>2566</v>
      </c>
      <c r="E85" s="141"/>
      <c r="F85" s="141"/>
      <c r="G85" s="55"/>
      <c r="M85" s="88"/>
    </row>
    <row r="86" spans="1:13" s="11" customFormat="1" ht="16.5" customHeight="1" x14ac:dyDescent="0.25">
      <c r="A86" s="11" t="s">
        <v>2563</v>
      </c>
      <c r="B86" s="119">
        <v>112675</v>
      </c>
      <c r="C86" s="150">
        <v>45589</v>
      </c>
      <c r="D86" s="14">
        <v>45629</v>
      </c>
      <c r="E86" s="141"/>
      <c r="F86" s="141"/>
      <c r="G86" s="55"/>
      <c r="M86" s="88"/>
    </row>
    <row r="87" spans="1:13" s="11" customFormat="1" ht="16.5" customHeight="1" thickBot="1" x14ac:dyDescent="0.3">
      <c r="A87" s="11" t="s">
        <v>2466</v>
      </c>
      <c r="B87" s="119">
        <v>140365</v>
      </c>
      <c r="C87" s="150">
        <v>45589</v>
      </c>
      <c r="D87" s="145">
        <v>4104</v>
      </c>
      <c r="E87" s="141"/>
      <c r="F87" s="141"/>
      <c r="G87" s="55"/>
      <c r="M87" s="88"/>
    </row>
    <row r="88" spans="1:13" s="11" customFormat="1" ht="15.75" x14ac:dyDescent="0.25">
      <c r="B88" s="25">
        <f>SUM(B34:B87)</f>
        <v>3525108.2799999993</v>
      </c>
      <c r="C88" s="147" t="s">
        <v>1455</v>
      </c>
      <c r="D88" s="148"/>
      <c r="E88" s="141"/>
      <c r="F88" s="141"/>
      <c r="G88" s="55"/>
    </row>
    <row r="89" spans="1:13" s="11" customFormat="1" ht="15.75" x14ac:dyDescent="0.25">
      <c r="A89" s="11" t="s">
        <v>1</v>
      </c>
      <c r="B89" s="17">
        <f>B88+B32</f>
        <v>2357626.5299999993</v>
      </c>
      <c r="C89" s="151" t="s">
        <v>1457</v>
      </c>
      <c r="D89" s="152"/>
      <c r="E89" s="141"/>
      <c r="F89" s="141"/>
      <c r="G89" s="55"/>
    </row>
    <row r="90" spans="1:13" s="11" customFormat="1" ht="15.75" x14ac:dyDescent="0.25">
      <c r="A90" s="11" t="s">
        <v>0</v>
      </c>
      <c r="B90" s="17">
        <f>B89-B7</f>
        <v>0</v>
      </c>
      <c r="C90" s="151" t="s">
        <v>1368</v>
      </c>
      <c r="D90" s="152"/>
      <c r="E90" s="141"/>
      <c r="F90" s="141"/>
      <c r="G90" s="55"/>
    </row>
    <row r="91" spans="1:13" s="11" customFormat="1" ht="15.75" x14ac:dyDescent="0.25">
      <c r="C91" s="151" t="s">
        <v>1459</v>
      </c>
      <c r="D91" s="152"/>
      <c r="E91" s="141"/>
      <c r="F91" s="141"/>
      <c r="G91" s="55"/>
    </row>
    <row r="92" spans="1:13" s="11" customFormat="1" ht="16.5" thickBot="1" x14ac:dyDescent="0.3">
      <c r="C92" s="146" t="s">
        <v>1369</v>
      </c>
      <c r="D92" s="149"/>
      <c r="E92" s="141"/>
      <c r="F92" s="141"/>
      <c r="G92" s="55"/>
    </row>
    <row r="93" spans="1:13" s="11" customFormat="1" ht="15.75" x14ac:dyDescent="0.25">
      <c r="E93" s="141"/>
      <c r="F93" s="141"/>
      <c r="G93" s="55"/>
    </row>
    <row r="94" spans="1:13" s="11" customFormat="1" ht="15.75" x14ac:dyDescent="0.25">
      <c r="E94" s="141"/>
      <c r="F94" s="141"/>
      <c r="G94" s="55"/>
    </row>
    <row r="95" spans="1:13" s="11" customFormat="1" ht="15.75" x14ac:dyDescent="0.25">
      <c r="E95" s="141"/>
      <c r="F95" s="141"/>
      <c r="G95" s="55"/>
    </row>
    <row r="96" spans="1:13" s="11" customFormat="1" ht="15.75" x14ac:dyDescent="0.25">
      <c r="E96" s="141"/>
      <c r="F96" s="141"/>
      <c r="G96" s="55"/>
    </row>
    <row r="97" spans="1:7" s="11" customFormat="1" ht="15.75" x14ac:dyDescent="0.25">
      <c r="E97" s="141"/>
      <c r="F97" s="141"/>
      <c r="G97" s="55"/>
    </row>
    <row r="98" spans="1:7" s="11" customFormat="1" ht="15.75" x14ac:dyDescent="0.25">
      <c r="E98" s="141"/>
      <c r="F98" s="141"/>
      <c r="G98" s="55"/>
    </row>
    <row r="99" spans="1:7" s="11" customFormat="1" ht="15.75" x14ac:dyDescent="0.25">
      <c r="E99" s="141"/>
      <c r="F99" s="141"/>
      <c r="G99" s="55"/>
    </row>
    <row r="100" spans="1:7" s="11" customFormat="1" ht="15.75" x14ac:dyDescent="0.25">
      <c r="E100" s="141"/>
      <c r="F100" s="141"/>
      <c r="G100" s="55"/>
    </row>
    <row r="101" spans="1:7" s="11" customFormat="1" ht="15.75" x14ac:dyDescent="0.25">
      <c r="E101" s="141"/>
      <c r="F101" s="141"/>
      <c r="G101" s="55"/>
    </row>
    <row r="102" spans="1:7" s="11" customFormat="1" ht="15.75" x14ac:dyDescent="0.25">
      <c r="E102" s="141"/>
      <c r="F102" s="141"/>
      <c r="G102" s="55"/>
    </row>
    <row r="103" spans="1:7" s="11" customFormat="1" ht="15.95" customHeight="1" x14ac:dyDescent="0.25">
      <c r="E103" s="141"/>
      <c r="F103" s="141"/>
    </row>
    <row r="104" spans="1:7" s="11" customFormat="1" ht="15.95" customHeight="1" x14ac:dyDescent="0.25">
      <c r="E104" s="141"/>
      <c r="F104" s="141"/>
    </row>
    <row r="105" spans="1:7" s="11" customFormat="1" ht="15.95" customHeight="1" x14ac:dyDescent="0.25">
      <c r="E105" s="141"/>
      <c r="F105" s="141"/>
    </row>
    <row r="106" spans="1:7" s="11" customFormat="1" ht="15.95" customHeight="1" x14ac:dyDescent="0.25">
      <c r="E106" s="141"/>
      <c r="F106" s="141"/>
    </row>
    <row r="107" spans="1:7" s="11" customFormat="1" ht="15.95" customHeight="1" x14ac:dyDescent="0.25">
      <c r="E107" s="141"/>
      <c r="F107" s="141"/>
    </row>
    <row r="108" spans="1:7" s="11" customFormat="1" ht="15.95" customHeight="1" x14ac:dyDescent="0.25">
      <c r="B108" s="17"/>
      <c r="E108" s="141"/>
      <c r="F108" s="141"/>
    </row>
    <row r="109" spans="1:7" s="11" customFormat="1" ht="15.95" customHeight="1" x14ac:dyDescent="0.25">
      <c r="A109" s="39"/>
      <c r="B109" s="93"/>
      <c r="C109" s="18"/>
      <c r="D109" s="18"/>
      <c r="E109" s="141"/>
      <c r="F109" s="141"/>
    </row>
    <row r="110" spans="1:7" s="11" customFormat="1" ht="15.95" customHeight="1" x14ac:dyDescent="0.3">
      <c r="A110" s="1"/>
      <c r="B110" s="10"/>
      <c r="C110" s="13"/>
      <c r="D110" s="47"/>
      <c r="E110" s="141"/>
      <c r="F110" s="141"/>
    </row>
    <row r="111" spans="1:7" s="11" customFormat="1" ht="15.95" customHeight="1" x14ac:dyDescent="0.3">
      <c r="A111" s="1"/>
      <c r="B111" s="10"/>
      <c r="C111" s="13"/>
      <c r="D111" s="47"/>
      <c r="E111" s="141"/>
      <c r="F111" s="141"/>
    </row>
    <row r="112" spans="1:7" s="11" customFormat="1" ht="15.95" customHeight="1" x14ac:dyDescent="0.3">
      <c r="A112" s="1"/>
      <c r="B112" s="10"/>
      <c r="C112" s="13"/>
      <c r="D112" s="47"/>
      <c r="E112" s="141"/>
      <c r="F112" s="141"/>
    </row>
    <row r="113" spans="1:9" s="11" customFormat="1" ht="15.95" customHeight="1" x14ac:dyDescent="0.25">
      <c r="E113" s="141"/>
      <c r="F113" s="141"/>
    </row>
    <row r="114" spans="1:9" s="11" customFormat="1" ht="15.95" customHeight="1" x14ac:dyDescent="0.25">
      <c r="E114" s="141"/>
      <c r="F114" s="141"/>
    </row>
    <row r="115" spans="1:9" s="11" customFormat="1" ht="15.95" customHeight="1" x14ac:dyDescent="0.25">
      <c r="E115" s="141"/>
      <c r="F115" s="141"/>
    </row>
    <row r="116" spans="1:9" s="11" customFormat="1" ht="15.95" customHeight="1" x14ac:dyDescent="0.25">
      <c r="E116" s="141"/>
      <c r="F116" s="141"/>
    </row>
    <row r="117" spans="1:9" s="11" customFormat="1" ht="15.95" customHeight="1" x14ac:dyDescent="0.25">
      <c r="E117" s="141"/>
      <c r="F117" s="141"/>
    </row>
    <row r="118" spans="1:9" s="11" customFormat="1" ht="15.95" customHeight="1" x14ac:dyDescent="0.25">
      <c r="E118" s="141"/>
      <c r="F118" s="141"/>
      <c r="H118" s="88"/>
    </row>
    <row r="119" spans="1:9" s="11" customFormat="1" ht="15.95" customHeight="1" x14ac:dyDescent="0.25">
      <c r="E119" s="141"/>
      <c r="F119" s="141"/>
      <c r="H119" s="88"/>
    </row>
    <row r="120" spans="1:9" s="11" customFormat="1" ht="15.95" customHeight="1" x14ac:dyDescent="0.25">
      <c r="E120" s="141"/>
      <c r="F120" s="141"/>
      <c r="G120" s="126"/>
      <c r="H120" s="88"/>
    </row>
    <row r="121" spans="1:9" s="11" customFormat="1" ht="15.95" customHeight="1" x14ac:dyDescent="0.25">
      <c r="E121" s="141"/>
      <c r="F121" s="141"/>
      <c r="H121" s="88"/>
    </row>
    <row r="122" spans="1:9" s="11" customFormat="1" ht="20.100000000000001" customHeight="1" x14ac:dyDescent="0.25">
      <c r="E122" s="141"/>
      <c r="F122" s="141"/>
      <c r="H122" s="88"/>
    </row>
    <row r="123" spans="1:9" s="11" customFormat="1" ht="20.100000000000001" customHeight="1" x14ac:dyDescent="0.25">
      <c r="E123" s="141"/>
      <c r="F123" s="141"/>
      <c r="H123" s="88"/>
    </row>
    <row r="124" spans="1:9" s="11" customFormat="1" ht="20.100000000000001" customHeight="1" x14ac:dyDescent="0.25">
      <c r="E124" s="141"/>
      <c r="F124" s="141"/>
      <c r="G124" s="126"/>
      <c r="H124" s="88"/>
    </row>
    <row r="125" spans="1:9" s="11" customFormat="1" ht="20.100000000000001" customHeight="1" x14ac:dyDescent="0.25">
      <c r="E125" s="141"/>
      <c r="F125" s="141"/>
      <c r="H125" s="88"/>
    </row>
    <row r="126" spans="1:9" s="13" customFormat="1" ht="20.100000000000001" customHeight="1" x14ac:dyDescent="0.3">
      <c r="A126" s="1"/>
      <c r="B126" s="10"/>
      <c r="D126" s="47"/>
      <c r="E126" s="141"/>
      <c r="F126" s="141"/>
      <c r="H126" s="88"/>
      <c r="I126" s="11"/>
    </row>
    <row r="127" spans="1:9" s="13" customFormat="1" ht="20.100000000000001" customHeight="1" x14ac:dyDescent="0.3">
      <c r="A127" s="1"/>
      <c r="B127" s="10"/>
      <c r="D127" s="47"/>
      <c r="E127" s="141"/>
      <c r="F127" s="141"/>
      <c r="H127" s="88"/>
      <c r="I127" s="11"/>
    </row>
    <row r="128" spans="1:9" s="13" customFormat="1" ht="20.100000000000001" customHeight="1" x14ac:dyDescent="0.3">
      <c r="A128" s="1"/>
      <c r="B128" s="10"/>
      <c r="D128" s="47"/>
      <c r="E128" s="141"/>
      <c r="F128" s="141"/>
      <c r="H128" s="88"/>
      <c r="I128" s="11"/>
    </row>
    <row r="129" spans="1:19" s="90" customFormat="1" ht="20.100000000000001" customHeight="1" x14ac:dyDescent="0.3">
      <c r="A129" s="1"/>
      <c r="B129" s="10"/>
      <c r="C129" s="13"/>
      <c r="D129" s="116"/>
      <c r="E129" s="141"/>
      <c r="F129" s="141"/>
      <c r="G129" s="1"/>
      <c r="I129" s="1"/>
      <c r="J129" s="1"/>
      <c r="K129" s="1"/>
      <c r="M129" s="1"/>
      <c r="N129" s="1"/>
      <c r="O129" s="1"/>
      <c r="P129" s="1"/>
      <c r="Q129" s="1"/>
      <c r="R129" s="1"/>
      <c r="S129" s="1"/>
    </row>
    <row r="130" spans="1:19" s="90" customFormat="1" ht="20.100000000000001" customHeight="1" x14ac:dyDescent="0.3">
      <c r="A130" s="1"/>
      <c r="B130" s="10"/>
      <c r="C130" s="13"/>
      <c r="D130" s="116"/>
      <c r="E130" s="141"/>
      <c r="F130" s="141"/>
      <c r="G130" s="1"/>
      <c r="I130" s="1"/>
      <c r="J130" s="1"/>
      <c r="K130" s="1"/>
      <c r="M130" s="1"/>
      <c r="N130" s="1"/>
      <c r="O130" s="1"/>
      <c r="P130" s="1"/>
      <c r="Q130" s="1"/>
      <c r="R130" s="1"/>
      <c r="S130" s="1"/>
    </row>
    <row r="131" spans="1:19" s="90" customFormat="1" ht="20.100000000000001" customHeight="1" x14ac:dyDescent="0.3">
      <c r="A131" s="1"/>
      <c r="B131" s="10"/>
      <c r="C131" s="13"/>
      <c r="D131" s="116"/>
      <c r="E131" s="141"/>
      <c r="F131" s="141"/>
      <c r="G131" s="1"/>
      <c r="I131" s="1"/>
      <c r="J131" s="1"/>
      <c r="K131" s="1"/>
      <c r="M131" s="1"/>
      <c r="N131" s="1"/>
      <c r="O131" s="1"/>
      <c r="P131" s="1"/>
      <c r="Q131" s="1"/>
      <c r="R131" s="1"/>
      <c r="S131" s="1"/>
    </row>
    <row r="132" spans="1:19" s="90" customFormat="1" ht="20.100000000000001" customHeight="1" x14ac:dyDescent="0.3">
      <c r="A132" s="1"/>
      <c r="B132" s="10"/>
      <c r="C132" s="13"/>
      <c r="D132" s="116"/>
      <c r="E132" s="141"/>
      <c r="F132" s="141"/>
      <c r="G132" s="11"/>
      <c r="I132" s="1"/>
      <c r="J132" s="1"/>
      <c r="K132" s="1"/>
      <c r="M132" s="1"/>
      <c r="N132" s="1"/>
      <c r="O132" s="1"/>
      <c r="P132" s="1"/>
      <c r="Q132" s="1"/>
      <c r="R132" s="1"/>
      <c r="S132" s="1"/>
    </row>
  </sheetData>
  <phoneticPr fontId="6" type="noConversion"/>
  <pageMargins left="0.7" right="0.7" top="0.75" bottom="0.75" header="0.3" footer="0.3"/>
  <pageSetup scale="92" fitToHeight="0"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28F8A-E36F-4D8B-A345-E8F02BD53CEF}">
  <sheetPr>
    <pageSetUpPr fitToPage="1"/>
  </sheetPr>
  <dimension ref="A1:S118"/>
  <sheetViews>
    <sheetView topLeftCell="A44" zoomScale="96" zoomScaleNormal="96" workbookViewId="0">
      <selection activeCell="D54" sqref="D54"/>
    </sheetView>
  </sheetViews>
  <sheetFormatPr defaultRowHeight="18.75" x14ac:dyDescent="0.3"/>
  <cols>
    <col min="1" max="1" width="20.7109375" style="1" customWidth="1"/>
    <col min="2" max="2" width="16.85546875" style="10" customWidth="1"/>
    <col min="3" max="3" width="25" style="13" bestFit="1" customWidth="1"/>
    <col min="4" max="4" width="25.140625" style="116" customWidth="1"/>
    <col min="5" max="5" width="9.7109375" style="141" customWidth="1"/>
    <col min="6" max="6" width="16.5703125" style="141" customWidth="1"/>
    <col min="7" max="7" width="35" style="1" bestFit="1" customWidth="1"/>
    <col min="8" max="8" width="5.5703125" style="90" bestFit="1" customWidth="1"/>
    <col min="9" max="11" width="9.140625" style="1"/>
    <col min="12" max="12" width="57.5703125" style="1" bestFit="1" customWidth="1"/>
    <col min="13" max="16384" width="9.140625" style="1"/>
  </cols>
  <sheetData>
    <row r="1" spans="1:19" s="11" customFormat="1" ht="20.100000000000001" customHeight="1" x14ac:dyDescent="0.25">
      <c r="A1" s="11" t="s">
        <v>1203</v>
      </c>
      <c r="B1" s="17"/>
      <c r="C1" s="13"/>
      <c r="D1" s="47"/>
      <c r="E1" s="141"/>
      <c r="H1" s="88"/>
    </row>
    <row r="2" spans="1:19" s="11" customFormat="1" ht="20.100000000000001" customHeight="1" x14ac:dyDescent="0.25">
      <c r="A2" s="14">
        <v>45657</v>
      </c>
      <c r="B2" s="17"/>
      <c r="C2" s="13"/>
      <c r="D2" s="47"/>
      <c r="E2" s="141"/>
      <c r="H2" s="88"/>
    </row>
    <row r="3" spans="1:19" s="11" customFormat="1" ht="20.100000000000001" customHeight="1" x14ac:dyDescent="0.25">
      <c r="A3" s="11" t="s">
        <v>311</v>
      </c>
      <c r="B3" s="17">
        <v>37488816.990000002</v>
      </c>
      <c r="C3" s="13"/>
      <c r="D3" s="47"/>
      <c r="E3" s="141"/>
      <c r="H3" s="88"/>
      <c r="M3" s="89"/>
    </row>
    <row r="4" spans="1:19" s="11" customFormat="1" ht="20.100000000000001" customHeight="1" x14ac:dyDescent="0.25">
      <c r="A4" s="11" t="s">
        <v>6</v>
      </c>
      <c r="B4" s="17"/>
      <c r="C4" s="13"/>
      <c r="D4" s="47"/>
      <c r="E4" s="141"/>
      <c r="H4" s="88"/>
      <c r="M4" s="89"/>
    </row>
    <row r="5" spans="1:19" s="11" customFormat="1" ht="20.100000000000001" customHeight="1" x14ac:dyDescent="0.25">
      <c r="A5" s="11">
        <v>2100</v>
      </c>
      <c r="B5" s="17">
        <v>-35049065.560000002</v>
      </c>
      <c r="C5" s="13"/>
      <c r="D5" s="47"/>
      <c r="E5" s="141"/>
      <c r="H5" s="88"/>
      <c r="M5" s="89"/>
    </row>
    <row r="6" spans="1:19" s="11" customFormat="1" ht="20.100000000000001" customHeight="1" x14ac:dyDescent="0.25">
      <c r="A6" s="11" t="s">
        <v>5</v>
      </c>
      <c r="B6" s="17">
        <f>SUM(B5)</f>
        <v>-35049065.560000002</v>
      </c>
      <c r="C6" s="13"/>
      <c r="D6" s="47"/>
      <c r="E6" s="141"/>
      <c r="H6" s="88"/>
      <c r="M6" s="89"/>
      <c r="O6" s="62"/>
      <c r="P6" s="62"/>
      <c r="Q6" s="62"/>
      <c r="R6" s="62"/>
      <c r="S6" s="62"/>
    </row>
    <row r="7" spans="1:19" s="11" customFormat="1" ht="20.100000000000001" customHeight="1" x14ac:dyDescent="0.25">
      <c r="A7" s="11" t="s">
        <v>4</v>
      </c>
      <c r="B7" s="17">
        <f>B6+B3</f>
        <v>2439751.4299999997</v>
      </c>
      <c r="C7" s="13"/>
      <c r="D7" s="47"/>
      <c r="E7" s="141"/>
      <c r="H7" s="88"/>
      <c r="M7" s="88"/>
    </row>
    <row r="8" spans="1:19" s="11" customFormat="1" ht="15.95" customHeight="1" x14ac:dyDescent="0.25">
      <c r="A8" s="11" t="s">
        <v>3</v>
      </c>
      <c r="B8" s="17"/>
      <c r="C8" s="44" t="s">
        <v>628</v>
      </c>
      <c r="D8" s="114" t="s">
        <v>626</v>
      </c>
      <c r="E8" s="141"/>
      <c r="H8" s="88"/>
      <c r="M8" s="88"/>
    </row>
    <row r="9" spans="1:19" s="11" customFormat="1" ht="15.75" x14ac:dyDescent="0.25">
      <c r="A9" s="77" t="s">
        <v>2568</v>
      </c>
      <c r="B9" s="98">
        <v>-36255</v>
      </c>
      <c r="C9" s="31">
        <v>45628</v>
      </c>
      <c r="D9" s="28">
        <v>45659</v>
      </c>
      <c r="E9" s="141"/>
      <c r="F9" s="141"/>
      <c r="G9" s="55"/>
      <c r="M9" s="88"/>
    </row>
    <row r="10" spans="1:19" s="11" customFormat="1" ht="15.75" x14ac:dyDescent="0.25">
      <c r="A10" s="77" t="s">
        <v>2569</v>
      </c>
      <c r="B10" s="98">
        <v>-36838</v>
      </c>
      <c r="C10" s="31">
        <v>45657</v>
      </c>
      <c r="D10" s="28">
        <v>45659</v>
      </c>
      <c r="E10" s="141"/>
      <c r="F10" s="141"/>
      <c r="G10" s="55"/>
      <c r="M10" s="88"/>
    </row>
    <row r="11" spans="1:19" s="11" customFormat="1" ht="15.75" x14ac:dyDescent="0.25">
      <c r="A11" s="77" t="s">
        <v>2570</v>
      </c>
      <c r="B11" s="98">
        <v>-42733.1</v>
      </c>
      <c r="C11" s="31">
        <v>45657</v>
      </c>
      <c r="D11" s="28">
        <v>45660</v>
      </c>
      <c r="E11" s="141"/>
      <c r="F11" s="141"/>
      <c r="G11" s="55"/>
      <c r="M11" s="88"/>
    </row>
    <row r="12" spans="1:19" s="11" customFormat="1" ht="15.75" x14ac:dyDescent="0.25">
      <c r="A12" s="77" t="s">
        <v>2571</v>
      </c>
      <c r="B12" s="98">
        <v>-57907</v>
      </c>
      <c r="C12" s="31">
        <v>45657</v>
      </c>
      <c r="D12" s="28">
        <v>45659</v>
      </c>
      <c r="E12" s="141"/>
      <c r="F12" s="141"/>
      <c r="G12" s="55"/>
      <c r="M12" s="88"/>
    </row>
    <row r="13" spans="1:19" s="11" customFormat="1" ht="15.75" x14ac:dyDescent="0.25">
      <c r="A13" s="77" t="s">
        <v>2572</v>
      </c>
      <c r="B13" s="98">
        <v>-57907</v>
      </c>
      <c r="C13" s="31">
        <v>45656</v>
      </c>
      <c r="D13" s="28">
        <v>45659</v>
      </c>
      <c r="E13" s="141"/>
      <c r="F13" s="141"/>
      <c r="G13" s="55"/>
      <c r="M13" s="88"/>
    </row>
    <row r="14" spans="1:19" s="11" customFormat="1" ht="15.75" x14ac:dyDescent="0.25">
      <c r="A14" s="77" t="s">
        <v>2573</v>
      </c>
      <c r="B14" s="98">
        <v>-57907</v>
      </c>
      <c r="C14" s="31">
        <v>45657</v>
      </c>
      <c r="D14" s="28">
        <v>45660</v>
      </c>
      <c r="E14" s="141"/>
      <c r="F14" s="141"/>
      <c r="G14" s="55"/>
      <c r="M14" s="88"/>
    </row>
    <row r="15" spans="1:19" s="11" customFormat="1" ht="15.75" x14ac:dyDescent="0.25">
      <c r="A15" s="77" t="s">
        <v>2593</v>
      </c>
      <c r="B15" s="98">
        <v>-59499.45</v>
      </c>
      <c r="C15" s="31">
        <v>45657</v>
      </c>
      <c r="D15" s="28">
        <v>45659</v>
      </c>
      <c r="E15" s="141"/>
      <c r="F15" s="141"/>
      <c r="G15" s="55"/>
      <c r="M15" s="88"/>
    </row>
    <row r="16" spans="1:19" s="11" customFormat="1" ht="15.75" x14ac:dyDescent="0.25">
      <c r="A16" s="77" t="s">
        <v>2574</v>
      </c>
      <c r="B16" s="98">
        <v>-63544.95</v>
      </c>
      <c r="C16" s="31">
        <v>45657</v>
      </c>
      <c r="D16" s="28">
        <v>45659</v>
      </c>
      <c r="E16" s="141"/>
      <c r="F16" s="141"/>
      <c r="G16" s="55"/>
      <c r="M16" s="88"/>
    </row>
    <row r="17" spans="1:13" s="11" customFormat="1" ht="15.75" x14ac:dyDescent="0.25">
      <c r="A17" s="77" t="s">
        <v>2575</v>
      </c>
      <c r="B17" s="98">
        <v>-63689.1</v>
      </c>
      <c r="C17" s="31">
        <v>45657</v>
      </c>
      <c r="D17" s="28">
        <v>45659</v>
      </c>
      <c r="E17" s="141"/>
      <c r="F17" s="141"/>
      <c r="G17" s="55"/>
      <c r="M17" s="88"/>
    </row>
    <row r="18" spans="1:13" s="11" customFormat="1" ht="15.75" x14ac:dyDescent="0.25">
      <c r="A18" s="77" t="s">
        <v>2576</v>
      </c>
      <c r="B18" s="98">
        <v>-64149.45</v>
      </c>
      <c r="C18" s="31">
        <v>45657</v>
      </c>
      <c r="D18" s="28">
        <v>45659</v>
      </c>
      <c r="E18" s="141"/>
      <c r="F18" s="141"/>
      <c r="G18" s="55"/>
      <c r="M18" s="88"/>
    </row>
    <row r="19" spans="1:13" s="11" customFormat="1" ht="15.75" x14ac:dyDescent="0.25">
      <c r="A19" s="77" t="s">
        <v>2577</v>
      </c>
      <c r="B19" s="98">
        <v>-81555.95</v>
      </c>
      <c r="C19" s="31">
        <v>45657</v>
      </c>
      <c r="D19" s="28">
        <v>45659</v>
      </c>
      <c r="E19" s="141"/>
      <c r="F19" s="141"/>
      <c r="G19" s="55"/>
      <c r="M19" s="88"/>
    </row>
    <row r="20" spans="1:13" s="11" customFormat="1" ht="15.75" x14ac:dyDescent="0.25">
      <c r="A20" s="77" t="s">
        <v>2578</v>
      </c>
      <c r="B20" s="98">
        <v>-83391.100000000006</v>
      </c>
      <c r="C20" s="31">
        <v>45656</v>
      </c>
      <c r="D20" s="28">
        <v>45660</v>
      </c>
      <c r="E20" s="141"/>
      <c r="F20" s="141"/>
      <c r="G20" s="55"/>
      <c r="M20" s="88"/>
    </row>
    <row r="21" spans="1:13" s="11" customFormat="1" ht="15.75" x14ac:dyDescent="0.25">
      <c r="A21" s="77"/>
      <c r="B21" s="98"/>
      <c r="C21" s="31"/>
      <c r="D21" s="28"/>
      <c r="E21" s="141"/>
      <c r="F21" s="141"/>
      <c r="G21" s="55"/>
      <c r="M21" s="88"/>
    </row>
    <row r="22" spans="1:13" s="11" customFormat="1" ht="15.75" x14ac:dyDescent="0.25">
      <c r="B22" s="25">
        <f>SUM(B9:B21)</f>
        <v>-705377.09999999986</v>
      </c>
      <c r="C22" s="28"/>
      <c r="D22" s="28"/>
      <c r="E22" s="141"/>
      <c r="F22" s="141"/>
      <c r="G22" s="55"/>
      <c r="L22" s="11" t="s">
        <v>1437</v>
      </c>
    </row>
    <row r="23" spans="1:13" s="11" customFormat="1" ht="16.5" customHeight="1" x14ac:dyDescent="0.25">
      <c r="A23" s="11" t="s">
        <v>2</v>
      </c>
      <c r="B23" s="25"/>
      <c r="C23" s="30" t="s">
        <v>626</v>
      </c>
      <c r="D23" s="114" t="s">
        <v>628</v>
      </c>
      <c r="E23" s="141"/>
      <c r="F23" s="141"/>
      <c r="G23" s="55"/>
      <c r="L23" s="11" t="s">
        <v>1438</v>
      </c>
    </row>
    <row r="24" spans="1:13" s="11" customFormat="1" ht="16.5" customHeight="1" x14ac:dyDescent="0.25">
      <c r="A24" s="11" t="s">
        <v>2580</v>
      </c>
      <c r="B24" s="119">
        <v>28946.11</v>
      </c>
      <c r="C24" s="144">
        <v>45653</v>
      </c>
      <c r="D24" s="28">
        <v>45664</v>
      </c>
      <c r="E24" s="141"/>
      <c r="F24" s="141"/>
      <c r="G24" s="55"/>
      <c r="L24" s="11" t="s">
        <v>1439</v>
      </c>
    </row>
    <row r="25" spans="1:13" s="11" customFormat="1" ht="16.5" customHeight="1" x14ac:dyDescent="0.25">
      <c r="A25" s="11" t="s">
        <v>2581</v>
      </c>
      <c r="B25" s="119">
        <v>29406.463</v>
      </c>
      <c r="C25" s="33">
        <v>45652</v>
      </c>
      <c r="D25" s="28">
        <v>45665</v>
      </c>
      <c r="E25" s="141"/>
      <c r="F25" s="141"/>
      <c r="G25" s="55"/>
      <c r="L25" s="11" t="s">
        <v>1440</v>
      </c>
    </row>
    <row r="26" spans="1:13" s="11" customFormat="1" ht="16.5" customHeight="1" x14ac:dyDescent="0.25">
      <c r="A26" s="11" t="s">
        <v>2567</v>
      </c>
      <c r="B26" s="119">
        <v>29406.46</v>
      </c>
      <c r="C26" s="33">
        <v>45649</v>
      </c>
      <c r="D26" s="88">
        <v>4300</v>
      </c>
      <c r="E26" s="141"/>
      <c r="F26" s="141"/>
      <c r="G26" s="55"/>
      <c r="L26" s="11" t="s">
        <v>1441</v>
      </c>
    </row>
    <row r="27" spans="1:13" s="11" customFormat="1" ht="16.5" customHeight="1" x14ac:dyDescent="0.25">
      <c r="A27" s="11" t="s">
        <v>2512</v>
      </c>
      <c r="B27" s="119">
        <v>33023.35</v>
      </c>
      <c r="C27" s="33">
        <v>45615</v>
      </c>
      <c r="D27" s="88">
        <v>4800</v>
      </c>
      <c r="E27" s="141"/>
      <c r="F27" s="141"/>
      <c r="G27" s="55"/>
      <c r="L27" s="11" t="s">
        <v>1442</v>
      </c>
      <c r="M27" s="88"/>
    </row>
    <row r="28" spans="1:13" s="11" customFormat="1" ht="16.5" customHeight="1" x14ac:dyDescent="0.25">
      <c r="A28" s="11" t="s">
        <v>2514</v>
      </c>
      <c r="B28" s="119">
        <v>33023.35</v>
      </c>
      <c r="C28" s="33">
        <v>45614</v>
      </c>
      <c r="D28" s="88">
        <v>4800</v>
      </c>
      <c r="E28" s="141"/>
      <c r="F28" s="141"/>
      <c r="G28" s="55"/>
      <c r="L28" s="11" t="s">
        <v>1443</v>
      </c>
    </row>
    <row r="29" spans="1:13" s="11" customFormat="1" ht="16.5" customHeight="1" x14ac:dyDescent="0.25">
      <c r="A29" s="11" t="s">
        <v>2596</v>
      </c>
      <c r="B29" s="119">
        <v>34864.75</v>
      </c>
      <c r="C29" s="33">
        <v>45638</v>
      </c>
      <c r="D29" s="28">
        <v>45672</v>
      </c>
      <c r="E29" s="141"/>
      <c r="F29" s="141"/>
      <c r="G29" s="55"/>
      <c r="L29" s="11" t="s">
        <v>1444</v>
      </c>
    </row>
    <row r="30" spans="1:13" s="11" customFormat="1" ht="16.5" customHeight="1" x14ac:dyDescent="0.25">
      <c r="A30" s="11" t="s">
        <v>2598</v>
      </c>
      <c r="B30" s="119">
        <v>36464.35</v>
      </c>
      <c r="C30" s="33">
        <v>45644</v>
      </c>
      <c r="D30" s="28">
        <v>45671</v>
      </c>
      <c r="E30" s="141"/>
      <c r="F30" s="141"/>
      <c r="G30" s="55"/>
      <c r="L30" s="11" t="s">
        <v>1445</v>
      </c>
    </row>
    <row r="31" spans="1:13" s="11" customFormat="1" ht="16.5" customHeight="1" x14ac:dyDescent="0.25">
      <c r="A31" s="11" t="s">
        <v>2602</v>
      </c>
      <c r="B31" s="119">
        <v>42387.8</v>
      </c>
      <c r="C31" s="33">
        <v>45590</v>
      </c>
      <c r="D31" s="154">
        <v>45672</v>
      </c>
      <c r="E31" s="141"/>
      <c r="F31" s="141"/>
      <c r="G31" s="55"/>
      <c r="L31" s="11" t="s">
        <v>1446</v>
      </c>
    </row>
    <row r="32" spans="1:13" s="11" customFormat="1" ht="16.5" customHeight="1" x14ac:dyDescent="0.25">
      <c r="A32" s="11" t="s">
        <v>2603</v>
      </c>
      <c r="B32" s="119">
        <v>42387.8</v>
      </c>
      <c r="C32" s="33">
        <v>45590</v>
      </c>
      <c r="D32" s="154">
        <v>45672</v>
      </c>
      <c r="E32" s="141"/>
      <c r="F32" s="141"/>
      <c r="G32" s="55"/>
      <c r="L32" s="11" t="s">
        <v>1447</v>
      </c>
    </row>
    <row r="33" spans="1:13" s="11" customFormat="1" ht="16.5" customHeight="1" x14ac:dyDescent="0.25">
      <c r="A33" s="11" t="s">
        <v>2448</v>
      </c>
      <c r="B33" s="119">
        <v>42387.8</v>
      </c>
      <c r="C33" s="33">
        <v>45590</v>
      </c>
      <c r="D33" s="156" t="s">
        <v>2594</v>
      </c>
      <c r="E33" s="141"/>
      <c r="F33" s="141"/>
      <c r="G33" s="55"/>
      <c r="L33" s="11" t="s">
        <v>1448</v>
      </c>
    </row>
    <row r="34" spans="1:13" s="11" customFormat="1" ht="16.5" customHeight="1" x14ac:dyDescent="0.25">
      <c r="A34" s="11" t="s">
        <v>2449</v>
      </c>
      <c r="B34" s="119">
        <v>42387.8</v>
      </c>
      <c r="C34" s="33">
        <v>45593</v>
      </c>
      <c r="D34" s="156" t="s">
        <v>2594</v>
      </c>
      <c r="E34" s="141"/>
      <c r="F34" s="141"/>
      <c r="G34" s="55"/>
      <c r="L34" s="11" t="s">
        <v>1449</v>
      </c>
    </row>
    <row r="35" spans="1:13" s="11" customFormat="1" ht="16.5" customHeight="1" x14ac:dyDescent="0.25">
      <c r="A35" s="11" t="s">
        <v>2518</v>
      </c>
      <c r="B35" s="119">
        <v>42387.8</v>
      </c>
      <c r="C35" s="33">
        <v>45602</v>
      </c>
      <c r="D35" s="156" t="s">
        <v>2594</v>
      </c>
      <c r="E35" s="141"/>
      <c r="F35" s="141"/>
      <c r="G35" s="55"/>
      <c r="L35" s="11" t="s">
        <v>1450</v>
      </c>
    </row>
    <row r="36" spans="1:13" s="11" customFormat="1" ht="16.5" customHeight="1" x14ac:dyDescent="0.25">
      <c r="A36" s="11" t="s">
        <v>2450</v>
      </c>
      <c r="B36" s="119">
        <v>42387.8</v>
      </c>
      <c r="C36" s="150">
        <v>45590</v>
      </c>
      <c r="D36" s="156" t="s">
        <v>2594</v>
      </c>
      <c r="E36" s="141"/>
      <c r="F36" s="141"/>
      <c r="G36" s="55"/>
      <c r="L36" s="11" t="s">
        <v>1451</v>
      </c>
    </row>
    <row r="37" spans="1:13" s="11" customFormat="1" ht="16.5" customHeight="1" x14ac:dyDescent="0.25">
      <c r="A37" s="11" t="s">
        <v>2604</v>
      </c>
      <c r="B37" s="119">
        <v>42945.8</v>
      </c>
      <c r="C37" s="33">
        <v>45590</v>
      </c>
      <c r="D37" s="154">
        <v>45672</v>
      </c>
      <c r="E37" s="141"/>
      <c r="F37" s="141"/>
      <c r="G37" s="55"/>
      <c r="L37" s="11" t="s">
        <v>1452</v>
      </c>
    </row>
    <row r="38" spans="1:13" s="11" customFormat="1" ht="16.5" customHeight="1" x14ac:dyDescent="0.25">
      <c r="A38" s="11" t="s">
        <v>2452</v>
      </c>
      <c r="B38" s="119">
        <v>47193</v>
      </c>
      <c r="C38" s="150">
        <v>45590</v>
      </c>
      <c r="D38" s="156" t="s">
        <v>2594</v>
      </c>
      <c r="E38" s="141"/>
      <c r="F38" s="141"/>
      <c r="G38" s="55"/>
      <c r="L38" s="11" t="s">
        <v>1453</v>
      </c>
    </row>
    <row r="39" spans="1:13" s="11" customFormat="1" ht="16.5" customHeight="1" x14ac:dyDescent="0.25">
      <c r="A39" s="11" t="s">
        <v>2453</v>
      </c>
      <c r="B39" s="119">
        <v>47193</v>
      </c>
      <c r="C39" s="150">
        <v>45593</v>
      </c>
      <c r="D39" s="156" t="s">
        <v>2594</v>
      </c>
      <c r="E39" s="141"/>
      <c r="F39" s="141"/>
      <c r="G39" s="55"/>
      <c r="L39" s="11" t="s">
        <v>1436</v>
      </c>
    </row>
    <row r="40" spans="1:13" s="11" customFormat="1" ht="16.5" customHeight="1" x14ac:dyDescent="0.25">
      <c r="A40" s="11" t="s">
        <v>2455</v>
      </c>
      <c r="B40" s="119">
        <v>47751</v>
      </c>
      <c r="C40" s="150">
        <v>45590</v>
      </c>
      <c r="D40" s="156" t="s">
        <v>2594</v>
      </c>
      <c r="E40" s="141"/>
      <c r="F40" s="141"/>
      <c r="G40" s="55"/>
      <c r="L40" s="11" t="s">
        <v>1454</v>
      </c>
      <c r="M40" s="88"/>
    </row>
    <row r="41" spans="1:13" s="11" customFormat="1" ht="16.5" customHeight="1" x14ac:dyDescent="0.25">
      <c r="A41" s="11" t="s">
        <v>2186</v>
      </c>
      <c r="B41" s="119">
        <v>52483</v>
      </c>
      <c r="C41" s="150">
        <v>45419</v>
      </c>
      <c r="D41" s="92">
        <v>4300</v>
      </c>
      <c r="E41" s="141"/>
      <c r="F41" s="141"/>
      <c r="G41" s="55"/>
      <c r="L41" s="11" t="s">
        <v>1455</v>
      </c>
      <c r="M41" s="88"/>
    </row>
    <row r="42" spans="1:13" s="11" customFormat="1" ht="16.5" customHeight="1" x14ac:dyDescent="0.25">
      <c r="A42" s="11" t="s">
        <v>2377</v>
      </c>
      <c r="B42" s="119">
        <v>54227.45</v>
      </c>
      <c r="C42" s="150">
        <v>45558</v>
      </c>
      <c r="D42" s="156" t="s">
        <v>2594</v>
      </c>
      <c r="E42" s="141"/>
      <c r="F42" s="141"/>
      <c r="G42" s="55"/>
      <c r="L42" s="11" t="s">
        <v>1456</v>
      </c>
      <c r="M42" s="88"/>
    </row>
    <row r="43" spans="1:13" s="11" customFormat="1" ht="16.5" customHeight="1" x14ac:dyDescent="0.25">
      <c r="A43" s="11" t="s">
        <v>2378</v>
      </c>
      <c r="B43" s="119">
        <v>54687.8</v>
      </c>
      <c r="C43" s="150">
        <v>45558</v>
      </c>
      <c r="D43" s="156" t="s">
        <v>2594</v>
      </c>
      <c r="E43" s="141"/>
      <c r="F43" s="141"/>
      <c r="G43" s="55"/>
      <c r="L43" s="11" t="s">
        <v>1457</v>
      </c>
      <c r="M43" s="88"/>
    </row>
    <row r="44" spans="1:13" s="11" customFormat="1" ht="16.5" customHeight="1" x14ac:dyDescent="0.25">
      <c r="A44" s="11" t="s">
        <v>2379</v>
      </c>
      <c r="B44" s="119">
        <v>54827.3</v>
      </c>
      <c r="C44" s="150">
        <v>45558</v>
      </c>
      <c r="D44" s="156" t="s">
        <v>2594</v>
      </c>
      <c r="E44" s="141"/>
      <c r="F44" s="141"/>
      <c r="G44" s="55"/>
      <c r="L44" s="11" t="s">
        <v>2506</v>
      </c>
      <c r="M44" s="88"/>
    </row>
    <row r="45" spans="1:13" s="11" customFormat="1" ht="16.5" customHeight="1" x14ac:dyDescent="0.25">
      <c r="A45" s="11" t="s">
        <v>2582</v>
      </c>
      <c r="B45" s="119">
        <v>57313.95</v>
      </c>
      <c r="C45" s="150">
        <v>45628</v>
      </c>
      <c r="D45" s="14">
        <v>45665</v>
      </c>
      <c r="E45" s="141"/>
      <c r="F45" s="141"/>
      <c r="G45" s="55"/>
      <c r="L45" s="11" t="s">
        <v>1458</v>
      </c>
      <c r="M45" s="88"/>
    </row>
    <row r="46" spans="1:13" s="11" customFormat="1" ht="16.5" customHeight="1" x14ac:dyDescent="0.25">
      <c r="A46" s="11" t="s">
        <v>2599</v>
      </c>
      <c r="B46" s="119">
        <v>57774.3</v>
      </c>
      <c r="C46" s="150">
        <v>45628</v>
      </c>
      <c r="D46" s="14">
        <v>45672</v>
      </c>
      <c r="E46" s="141"/>
      <c r="F46" s="141"/>
      <c r="G46" s="55"/>
      <c r="L46" s="11" t="s">
        <v>1368</v>
      </c>
      <c r="M46" s="88"/>
    </row>
    <row r="47" spans="1:13" s="11" customFormat="1" ht="16.5" customHeight="1" x14ac:dyDescent="0.25">
      <c r="A47" s="11" t="s">
        <v>2597</v>
      </c>
      <c r="B47" s="119">
        <v>59499.45</v>
      </c>
      <c r="C47" s="150">
        <v>45644</v>
      </c>
      <c r="D47" s="14">
        <v>45672</v>
      </c>
      <c r="E47" s="141"/>
      <c r="F47" s="141"/>
      <c r="G47" s="55"/>
      <c r="L47" s="11" t="s">
        <v>1459</v>
      </c>
      <c r="M47" s="88"/>
    </row>
    <row r="48" spans="1:13" s="11" customFormat="1" ht="16.5" customHeight="1" x14ac:dyDescent="0.25">
      <c r="A48" s="11" t="s">
        <v>2583</v>
      </c>
      <c r="B48" s="119">
        <v>61933.9</v>
      </c>
      <c r="C48" s="150">
        <v>45623</v>
      </c>
      <c r="D48" s="14">
        <v>45665</v>
      </c>
      <c r="E48" s="141"/>
      <c r="F48" s="141"/>
      <c r="G48" s="55"/>
      <c r="L48" s="11" t="s">
        <v>1369</v>
      </c>
      <c r="M48" s="88"/>
    </row>
    <row r="49" spans="1:13" s="11" customFormat="1" ht="16.5" customHeight="1" x14ac:dyDescent="0.25">
      <c r="A49" s="11" t="s">
        <v>2557</v>
      </c>
      <c r="B49" s="119">
        <v>61980.4</v>
      </c>
      <c r="C49" s="150">
        <v>45566</v>
      </c>
      <c r="D49" s="154" t="s">
        <v>2594</v>
      </c>
      <c r="E49" s="141"/>
      <c r="F49" s="141"/>
      <c r="G49" s="55"/>
      <c r="L49" s="11" t="s">
        <v>1460</v>
      </c>
      <c r="M49" s="88"/>
    </row>
    <row r="50" spans="1:13" s="11" customFormat="1" ht="16.5" customHeight="1" thickBot="1" x14ac:dyDescent="0.3">
      <c r="A50" s="11" t="s">
        <v>2457</v>
      </c>
      <c r="B50" s="119">
        <v>61980.4</v>
      </c>
      <c r="C50" s="150">
        <v>45568</v>
      </c>
      <c r="D50" s="155" t="s">
        <v>2594</v>
      </c>
      <c r="E50" s="141"/>
      <c r="F50" s="141"/>
      <c r="G50" s="55"/>
      <c r="M50" s="88"/>
    </row>
    <row r="51" spans="1:13" s="11" customFormat="1" ht="16.5" customHeight="1" x14ac:dyDescent="0.25">
      <c r="A51" s="11" t="s">
        <v>2584</v>
      </c>
      <c r="B51" s="119">
        <v>70098.350000000006</v>
      </c>
      <c r="C51" s="150">
        <v>45625</v>
      </c>
      <c r="D51" s="14">
        <v>45665</v>
      </c>
      <c r="E51" s="141"/>
      <c r="F51" s="141"/>
      <c r="G51" s="55"/>
      <c r="L51" s="129" t="s">
        <v>1459</v>
      </c>
      <c r="M51" s="88"/>
    </row>
    <row r="52" spans="1:13" s="11" customFormat="1" ht="16.5" customHeight="1" thickBot="1" x14ac:dyDescent="0.3">
      <c r="A52" s="11" t="s">
        <v>2585</v>
      </c>
      <c r="B52" s="119">
        <v>74932.5</v>
      </c>
      <c r="C52" s="150">
        <v>45608</v>
      </c>
      <c r="D52" s="14">
        <v>45663</v>
      </c>
      <c r="E52" s="141"/>
      <c r="F52" s="141"/>
      <c r="G52" s="55"/>
      <c r="L52" s="131" t="s">
        <v>1369</v>
      </c>
      <c r="M52" s="88"/>
    </row>
    <row r="53" spans="1:13" s="11" customFormat="1" ht="16.5" customHeight="1" x14ac:dyDescent="0.25">
      <c r="A53" s="11" t="s">
        <v>2586</v>
      </c>
      <c r="B53" s="119">
        <v>75454.350000000006</v>
      </c>
      <c r="C53" s="150">
        <v>45608</v>
      </c>
      <c r="D53" s="14">
        <v>45663</v>
      </c>
      <c r="E53" s="141"/>
      <c r="F53" s="141"/>
      <c r="G53" s="55"/>
      <c r="L53" s="151"/>
      <c r="M53" s="88"/>
    </row>
    <row r="54" spans="1:13" s="11" customFormat="1" ht="16.5" customHeight="1" x14ac:dyDescent="0.25">
      <c r="A54" s="11" t="s">
        <v>2600</v>
      </c>
      <c r="B54" s="119">
        <v>75547.350000000006</v>
      </c>
      <c r="C54" s="150">
        <v>45608</v>
      </c>
      <c r="D54" s="154">
        <v>45671</v>
      </c>
      <c r="E54" s="141"/>
      <c r="F54" s="141"/>
      <c r="G54" s="55"/>
      <c r="L54" s="151"/>
      <c r="M54" s="88"/>
    </row>
    <row r="55" spans="1:13" s="11" customFormat="1" ht="16.5" customHeight="1" thickBot="1" x14ac:dyDescent="0.3">
      <c r="A55" s="11" t="s">
        <v>2538</v>
      </c>
      <c r="B55" s="119">
        <v>76934.100000000006</v>
      </c>
      <c r="C55" s="150">
        <v>45614</v>
      </c>
      <c r="D55" s="145">
        <v>4300</v>
      </c>
      <c r="E55" s="141"/>
      <c r="F55" s="141"/>
      <c r="G55" s="55"/>
      <c r="L55" s="146"/>
      <c r="M55" s="88"/>
    </row>
    <row r="56" spans="1:13" s="11" customFormat="1" ht="16.5" customHeight="1" x14ac:dyDescent="0.25">
      <c r="A56" s="11" t="s">
        <v>2587</v>
      </c>
      <c r="B56" s="119">
        <v>80384.399999999994</v>
      </c>
      <c r="C56" s="150">
        <v>45639</v>
      </c>
      <c r="D56" s="14">
        <v>45663</v>
      </c>
      <c r="E56" s="141"/>
      <c r="F56" s="141"/>
      <c r="G56" s="55"/>
      <c r="M56" s="88"/>
    </row>
    <row r="57" spans="1:13" s="11" customFormat="1" ht="16.5" customHeight="1" x14ac:dyDescent="0.25">
      <c r="A57" s="11" t="s">
        <v>2459</v>
      </c>
      <c r="B57" s="119">
        <v>81955.5</v>
      </c>
      <c r="C57" s="150">
        <v>45576</v>
      </c>
      <c r="D57" s="155" t="s">
        <v>2594</v>
      </c>
      <c r="E57" s="141"/>
      <c r="F57" s="141"/>
      <c r="G57" s="55"/>
      <c r="M57" s="88"/>
    </row>
    <row r="58" spans="1:13" s="11" customFormat="1" ht="16.5" customHeight="1" x14ac:dyDescent="0.25">
      <c r="A58" s="11" t="s">
        <v>2588</v>
      </c>
      <c r="B58" s="119">
        <v>82930.75</v>
      </c>
      <c r="C58" s="150">
        <v>45656</v>
      </c>
      <c r="D58" s="14">
        <v>45663</v>
      </c>
      <c r="E58" s="141"/>
      <c r="F58" s="141"/>
      <c r="G58" s="55"/>
      <c r="M58" s="88"/>
    </row>
    <row r="59" spans="1:13" s="11" customFormat="1" ht="16.5" customHeight="1" x14ac:dyDescent="0.25">
      <c r="A59" s="11" t="s">
        <v>2589</v>
      </c>
      <c r="B59" s="119">
        <v>83391.100000000006</v>
      </c>
      <c r="C59" s="150">
        <v>45650</v>
      </c>
      <c r="D59" s="14">
        <v>45659</v>
      </c>
      <c r="E59" s="141"/>
      <c r="F59" s="141"/>
      <c r="G59" s="55"/>
      <c r="M59" s="88"/>
    </row>
    <row r="60" spans="1:13" s="11" customFormat="1" ht="16.5" customHeight="1" x14ac:dyDescent="0.25">
      <c r="A60" s="11" t="s">
        <v>2590</v>
      </c>
      <c r="B60" s="119">
        <v>83530.600000000006</v>
      </c>
      <c r="C60" s="150">
        <v>45653</v>
      </c>
      <c r="D60" s="14">
        <v>45659</v>
      </c>
      <c r="E60" s="141"/>
      <c r="F60" s="141"/>
      <c r="G60" s="55"/>
      <c r="M60" s="88"/>
    </row>
    <row r="61" spans="1:13" s="11" customFormat="1" ht="16.5" customHeight="1" x14ac:dyDescent="0.25">
      <c r="A61" s="11" t="s">
        <v>2539</v>
      </c>
      <c r="B61" s="119">
        <v>85206.3</v>
      </c>
      <c r="C61" s="150">
        <v>45609</v>
      </c>
      <c r="D61" s="145">
        <v>4300</v>
      </c>
      <c r="E61" s="141"/>
      <c r="F61" s="141"/>
      <c r="G61" s="55"/>
      <c r="M61" s="88"/>
    </row>
    <row r="62" spans="1:13" s="11" customFormat="1" ht="16.5" customHeight="1" x14ac:dyDescent="0.25">
      <c r="A62" s="11" t="s">
        <v>2540</v>
      </c>
      <c r="B62" s="119">
        <v>85764.3</v>
      </c>
      <c r="C62" s="150">
        <v>45609</v>
      </c>
      <c r="D62" s="145">
        <v>4300</v>
      </c>
      <c r="E62" s="141"/>
      <c r="F62" s="141"/>
      <c r="G62" s="55"/>
      <c r="M62" s="88"/>
    </row>
    <row r="63" spans="1:13" s="11" customFormat="1" ht="16.5" customHeight="1" x14ac:dyDescent="0.25">
      <c r="A63" s="11" t="s">
        <v>2541</v>
      </c>
      <c r="B63" s="119">
        <v>88104.3</v>
      </c>
      <c r="C63" s="150">
        <v>45609</v>
      </c>
      <c r="D63" s="145">
        <v>4300</v>
      </c>
      <c r="E63" s="141"/>
      <c r="F63" s="141"/>
      <c r="G63" s="55"/>
      <c r="M63" s="88"/>
    </row>
    <row r="64" spans="1:13" s="11" customFormat="1" ht="16.5" customHeight="1" x14ac:dyDescent="0.25">
      <c r="A64" s="11" t="s">
        <v>2542</v>
      </c>
      <c r="B64" s="119">
        <v>88104.3</v>
      </c>
      <c r="C64" s="150">
        <v>45611</v>
      </c>
      <c r="D64" s="145">
        <v>4300</v>
      </c>
      <c r="E64" s="141"/>
      <c r="F64" s="141"/>
      <c r="G64" s="55"/>
      <c r="M64" s="88"/>
    </row>
    <row r="65" spans="1:13" s="11" customFormat="1" ht="16.5" customHeight="1" x14ac:dyDescent="0.25">
      <c r="A65" s="11" t="s">
        <v>2543</v>
      </c>
      <c r="B65" s="119">
        <v>88662.3</v>
      </c>
      <c r="C65" s="150">
        <v>45609</v>
      </c>
      <c r="D65" s="145">
        <v>4300</v>
      </c>
      <c r="E65" s="141"/>
      <c r="F65" s="141"/>
      <c r="G65" s="55"/>
      <c r="M65" s="88"/>
    </row>
    <row r="66" spans="1:13" s="11" customFormat="1" ht="16.5" customHeight="1" x14ac:dyDescent="0.25">
      <c r="A66" s="11" t="s">
        <v>2545</v>
      </c>
      <c r="B66" s="119">
        <v>89177.4</v>
      </c>
      <c r="C66" s="150">
        <v>45608</v>
      </c>
      <c r="D66" s="145">
        <v>4300</v>
      </c>
      <c r="E66" s="141"/>
      <c r="F66" s="141"/>
      <c r="G66" s="55"/>
      <c r="M66" s="88"/>
    </row>
    <row r="67" spans="1:13" s="11" customFormat="1" ht="16.5" customHeight="1" x14ac:dyDescent="0.25">
      <c r="A67" s="11" t="s">
        <v>2601</v>
      </c>
      <c r="B67" s="153">
        <v>91995</v>
      </c>
      <c r="C67" s="150">
        <v>45649</v>
      </c>
      <c r="D67" s="14">
        <v>45672</v>
      </c>
      <c r="E67" s="141"/>
      <c r="F67" s="141"/>
      <c r="G67" s="55"/>
      <c r="M67" s="88"/>
    </row>
    <row r="68" spans="1:13" s="11" customFormat="1" ht="16.5" customHeight="1" x14ac:dyDescent="0.25">
      <c r="A68" s="11" t="s">
        <v>2591</v>
      </c>
      <c r="B68" s="119">
        <v>92490</v>
      </c>
      <c r="C68" s="150">
        <v>45652</v>
      </c>
      <c r="D68" s="14">
        <v>45661</v>
      </c>
      <c r="E68" s="141"/>
      <c r="F68" s="141"/>
      <c r="G68" s="55"/>
      <c r="M68" s="88"/>
    </row>
    <row r="69" spans="1:13" s="11" customFormat="1" ht="16.5" customHeight="1" x14ac:dyDescent="0.25">
      <c r="A69" s="11" t="s">
        <v>2595</v>
      </c>
      <c r="B69" s="119">
        <v>99340</v>
      </c>
      <c r="C69" s="150">
        <v>45642</v>
      </c>
      <c r="D69" s="14">
        <v>45661</v>
      </c>
      <c r="E69" s="141"/>
      <c r="F69" s="141"/>
      <c r="G69" s="55"/>
      <c r="M69" s="88"/>
    </row>
    <row r="70" spans="1:13" s="11" customFormat="1" ht="16.5" customHeight="1" x14ac:dyDescent="0.25">
      <c r="A70" s="11" t="s">
        <v>2592</v>
      </c>
      <c r="B70" s="119">
        <v>99495</v>
      </c>
      <c r="C70" s="150">
        <v>45625</v>
      </c>
      <c r="D70" s="14">
        <v>45661</v>
      </c>
      <c r="E70" s="141"/>
      <c r="F70" s="141"/>
      <c r="G70" s="55"/>
      <c r="M70" s="88"/>
    </row>
    <row r="71" spans="1:13" s="11" customFormat="1" ht="16.5" customHeight="1" x14ac:dyDescent="0.25">
      <c r="A71" s="11" t="s">
        <v>2579</v>
      </c>
      <c r="B71" s="119">
        <v>99495</v>
      </c>
      <c r="C71" s="150">
        <v>45630</v>
      </c>
      <c r="D71" s="92">
        <v>4300</v>
      </c>
      <c r="E71" s="141"/>
      <c r="F71" s="141"/>
      <c r="G71" s="55"/>
      <c r="M71" s="88"/>
    </row>
    <row r="72" spans="1:13" s="11" customFormat="1" ht="16.5" customHeight="1" x14ac:dyDescent="0.25">
      <c r="A72" s="11" t="s">
        <v>2465</v>
      </c>
      <c r="B72" s="119">
        <v>110883.25</v>
      </c>
      <c r="C72" s="150">
        <v>45576</v>
      </c>
      <c r="D72" s="154" t="s">
        <v>2594</v>
      </c>
      <c r="E72" s="141"/>
      <c r="F72" s="141"/>
      <c r="G72" s="55"/>
      <c r="M72" s="88"/>
    </row>
    <row r="73" spans="1:13" s="11" customFormat="1" ht="16.5" customHeight="1" thickBot="1" x14ac:dyDescent="0.3">
      <c r="B73" s="119"/>
      <c r="C73" s="150"/>
      <c r="D73" s="145"/>
      <c r="E73" s="141"/>
      <c r="F73" s="141"/>
      <c r="G73" s="55"/>
      <c r="M73" s="88"/>
    </row>
    <row r="74" spans="1:13" s="11" customFormat="1" ht="15.75" x14ac:dyDescent="0.25">
      <c r="B74" s="25">
        <f>SUM(B24:B73)</f>
        <v>3145128.5329999994</v>
      </c>
      <c r="C74" s="147" t="s">
        <v>1459</v>
      </c>
      <c r="D74" s="148"/>
      <c r="E74" s="141"/>
      <c r="F74" s="141"/>
      <c r="G74" s="55"/>
    </row>
    <row r="75" spans="1:13" s="11" customFormat="1" ht="16.5" thickBot="1" x14ac:dyDescent="0.3">
      <c r="A75" s="11" t="s">
        <v>1</v>
      </c>
      <c r="B75" s="17">
        <f>B74+B22</f>
        <v>2439751.4329999993</v>
      </c>
      <c r="C75" s="146" t="s">
        <v>1369</v>
      </c>
      <c r="D75" s="149"/>
      <c r="E75" s="141"/>
      <c r="F75" s="141"/>
      <c r="G75" s="55"/>
    </row>
    <row r="76" spans="1:13" s="11" customFormat="1" ht="15.75" x14ac:dyDescent="0.25">
      <c r="A76" s="11" t="s">
        <v>0</v>
      </c>
      <c r="B76" s="17">
        <f>B75-B7</f>
        <v>2.9999995604157448E-3</v>
      </c>
      <c r="E76" s="141"/>
      <c r="F76" s="141"/>
      <c r="G76" s="55"/>
    </row>
    <row r="77" spans="1:13" s="11" customFormat="1" ht="15.75" x14ac:dyDescent="0.25">
      <c r="E77" s="141"/>
      <c r="F77" s="141"/>
      <c r="G77" s="55"/>
    </row>
    <row r="78" spans="1:13" s="11" customFormat="1" ht="15.75" x14ac:dyDescent="0.25">
      <c r="E78" s="141"/>
      <c r="F78" s="141"/>
      <c r="G78" s="55"/>
    </row>
    <row r="79" spans="1:13" s="11" customFormat="1" ht="15.75" x14ac:dyDescent="0.25">
      <c r="E79" s="141"/>
      <c r="F79" s="141"/>
      <c r="G79" s="55"/>
    </row>
    <row r="80" spans="1:13" s="11" customFormat="1" ht="15.75" x14ac:dyDescent="0.25">
      <c r="E80" s="141"/>
      <c r="F80" s="141"/>
      <c r="G80" s="55"/>
    </row>
    <row r="81" spans="1:7" s="11" customFormat="1" ht="15.75" x14ac:dyDescent="0.25">
      <c r="E81" s="141"/>
      <c r="F81" s="141"/>
      <c r="G81" s="55"/>
    </row>
    <row r="82" spans="1:7" s="11" customFormat="1" ht="15.75" x14ac:dyDescent="0.25">
      <c r="E82" s="141"/>
      <c r="F82" s="141"/>
      <c r="G82" s="55"/>
    </row>
    <row r="83" spans="1:7" s="11" customFormat="1" ht="15.75" x14ac:dyDescent="0.25">
      <c r="E83" s="141"/>
      <c r="F83" s="141"/>
      <c r="G83" s="55"/>
    </row>
    <row r="84" spans="1:7" s="11" customFormat="1" ht="15.75" x14ac:dyDescent="0.25">
      <c r="E84" s="141"/>
      <c r="F84" s="141"/>
      <c r="G84" s="55"/>
    </row>
    <row r="85" spans="1:7" s="11" customFormat="1" ht="15.75" x14ac:dyDescent="0.25">
      <c r="E85" s="141"/>
      <c r="F85" s="141"/>
      <c r="G85" s="55"/>
    </row>
    <row r="86" spans="1:7" s="11" customFormat="1" ht="15.75" x14ac:dyDescent="0.25">
      <c r="E86" s="141"/>
      <c r="F86" s="141"/>
      <c r="G86" s="55"/>
    </row>
    <row r="87" spans="1:7" s="11" customFormat="1" ht="15.75" x14ac:dyDescent="0.25">
      <c r="E87" s="141"/>
      <c r="F87" s="141"/>
      <c r="G87" s="55"/>
    </row>
    <row r="88" spans="1:7" s="11" customFormat="1" ht="15.75" x14ac:dyDescent="0.25">
      <c r="E88" s="141"/>
      <c r="F88" s="141"/>
      <c r="G88" s="55"/>
    </row>
    <row r="89" spans="1:7" s="11" customFormat="1" ht="15.95" customHeight="1" x14ac:dyDescent="0.25">
      <c r="E89" s="141"/>
      <c r="F89" s="141"/>
    </row>
    <row r="90" spans="1:7" s="11" customFormat="1" ht="15.95" customHeight="1" x14ac:dyDescent="0.25">
      <c r="E90" s="141"/>
      <c r="F90" s="141"/>
    </row>
    <row r="91" spans="1:7" s="11" customFormat="1" ht="15.95" customHeight="1" x14ac:dyDescent="0.25">
      <c r="E91" s="141"/>
      <c r="F91" s="141"/>
    </row>
    <row r="92" spans="1:7" s="11" customFormat="1" ht="15.95" customHeight="1" x14ac:dyDescent="0.25">
      <c r="E92" s="141"/>
      <c r="F92" s="141"/>
    </row>
    <row r="93" spans="1:7" s="11" customFormat="1" ht="15.95" customHeight="1" x14ac:dyDescent="0.25">
      <c r="E93" s="141"/>
      <c r="F93" s="141"/>
    </row>
    <row r="94" spans="1:7" s="11" customFormat="1" ht="15.95" customHeight="1" x14ac:dyDescent="0.25">
      <c r="B94" s="17"/>
      <c r="E94" s="141"/>
      <c r="F94" s="141"/>
    </row>
    <row r="95" spans="1:7" s="11" customFormat="1" ht="15.95" customHeight="1" x14ac:dyDescent="0.25">
      <c r="A95" s="39"/>
      <c r="B95" s="93"/>
      <c r="C95" s="18"/>
      <c r="D95" s="18"/>
      <c r="E95" s="141"/>
      <c r="F95" s="141"/>
    </row>
    <row r="96" spans="1:7" s="11" customFormat="1" ht="15.95" customHeight="1" x14ac:dyDescent="0.3">
      <c r="A96" s="1"/>
      <c r="B96" s="10"/>
      <c r="C96" s="13"/>
      <c r="D96" s="47"/>
      <c r="E96" s="141"/>
      <c r="F96" s="141"/>
    </row>
    <row r="97" spans="1:9" s="11" customFormat="1" ht="15.95" customHeight="1" x14ac:dyDescent="0.3">
      <c r="A97" s="1"/>
      <c r="B97" s="10"/>
      <c r="C97" s="13"/>
      <c r="D97" s="47"/>
      <c r="E97" s="141"/>
      <c r="F97" s="141"/>
    </row>
    <row r="98" spans="1:9" s="11" customFormat="1" ht="15.95" customHeight="1" x14ac:dyDescent="0.3">
      <c r="A98" s="1"/>
      <c r="B98" s="10"/>
      <c r="C98" s="13"/>
      <c r="D98" s="47"/>
      <c r="E98" s="141"/>
      <c r="F98" s="141"/>
    </row>
    <row r="99" spans="1:9" s="11" customFormat="1" ht="15.95" customHeight="1" x14ac:dyDescent="0.25">
      <c r="E99" s="141"/>
      <c r="F99" s="141"/>
    </row>
    <row r="100" spans="1:9" s="11" customFormat="1" ht="15.95" customHeight="1" x14ac:dyDescent="0.25">
      <c r="E100" s="141"/>
      <c r="F100" s="141"/>
    </row>
    <row r="101" spans="1:9" s="11" customFormat="1" ht="15.95" customHeight="1" x14ac:dyDescent="0.25">
      <c r="E101" s="141"/>
      <c r="F101" s="141"/>
    </row>
    <row r="102" spans="1:9" s="11" customFormat="1" ht="15.95" customHeight="1" x14ac:dyDescent="0.25">
      <c r="E102" s="141"/>
      <c r="F102" s="141"/>
    </row>
    <row r="103" spans="1:9" s="11" customFormat="1" ht="15.95" customHeight="1" x14ac:dyDescent="0.25">
      <c r="E103" s="141"/>
      <c r="F103" s="141"/>
    </row>
    <row r="104" spans="1:9" s="11" customFormat="1" ht="15.95" customHeight="1" x14ac:dyDescent="0.25">
      <c r="E104" s="141"/>
      <c r="F104" s="141"/>
      <c r="H104" s="88"/>
    </row>
    <row r="105" spans="1:9" s="11" customFormat="1" ht="15.95" customHeight="1" x14ac:dyDescent="0.25">
      <c r="E105" s="141"/>
      <c r="F105" s="141"/>
      <c r="H105" s="88"/>
    </row>
    <row r="106" spans="1:9" s="11" customFormat="1" ht="15.95" customHeight="1" x14ac:dyDescent="0.25">
      <c r="E106" s="141"/>
      <c r="F106" s="141"/>
      <c r="G106" s="126"/>
      <c r="H106" s="88"/>
    </row>
    <row r="107" spans="1:9" s="11" customFormat="1" ht="15.95" customHeight="1" x14ac:dyDescent="0.25">
      <c r="E107" s="141"/>
      <c r="F107" s="141"/>
      <c r="H107" s="88"/>
    </row>
    <row r="108" spans="1:9" s="11" customFormat="1" ht="20.100000000000001" customHeight="1" x14ac:dyDescent="0.25">
      <c r="E108" s="141"/>
      <c r="F108" s="141"/>
      <c r="H108" s="88"/>
    </row>
    <row r="109" spans="1:9" s="11" customFormat="1" ht="20.100000000000001" customHeight="1" x14ac:dyDescent="0.25">
      <c r="E109" s="141"/>
      <c r="F109" s="141"/>
      <c r="H109" s="88"/>
    </row>
    <row r="110" spans="1:9" s="11" customFormat="1" ht="20.100000000000001" customHeight="1" x14ac:dyDescent="0.25">
      <c r="E110" s="141"/>
      <c r="F110" s="141"/>
      <c r="G110" s="126"/>
      <c r="H110" s="88"/>
    </row>
    <row r="111" spans="1:9" s="11" customFormat="1" ht="20.100000000000001" customHeight="1" x14ac:dyDescent="0.25">
      <c r="E111" s="141"/>
      <c r="F111" s="141"/>
      <c r="H111" s="88"/>
    </row>
    <row r="112" spans="1:9" s="13" customFormat="1" ht="20.100000000000001" customHeight="1" x14ac:dyDescent="0.3">
      <c r="A112" s="1"/>
      <c r="B112" s="10"/>
      <c r="D112" s="47"/>
      <c r="E112" s="141"/>
      <c r="F112" s="141"/>
      <c r="H112" s="88"/>
      <c r="I112" s="11"/>
    </row>
    <row r="113" spans="1:19" s="13" customFormat="1" ht="20.100000000000001" customHeight="1" x14ac:dyDescent="0.3">
      <c r="A113" s="1"/>
      <c r="B113" s="10"/>
      <c r="D113" s="47"/>
      <c r="E113" s="141"/>
      <c r="F113" s="141"/>
      <c r="H113" s="88"/>
      <c r="I113" s="11"/>
    </row>
    <row r="114" spans="1:19" s="13" customFormat="1" ht="20.100000000000001" customHeight="1" x14ac:dyDescent="0.3">
      <c r="A114" s="1"/>
      <c r="B114" s="10"/>
      <c r="D114" s="47"/>
      <c r="E114" s="141"/>
      <c r="F114" s="141"/>
      <c r="H114" s="88"/>
      <c r="I114" s="11"/>
    </row>
    <row r="115" spans="1:19" s="90" customFormat="1" ht="20.100000000000001" customHeight="1" x14ac:dyDescent="0.3">
      <c r="A115" s="1"/>
      <c r="B115" s="10"/>
      <c r="C115" s="13"/>
      <c r="D115" s="116"/>
      <c r="E115" s="141"/>
      <c r="F115" s="141"/>
      <c r="G115" s="1"/>
      <c r="I115" s="1"/>
      <c r="J115" s="1"/>
      <c r="K115" s="1"/>
      <c r="M115" s="1"/>
      <c r="N115" s="1"/>
      <c r="O115" s="1"/>
      <c r="P115" s="1"/>
      <c r="Q115" s="1"/>
      <c r="R115" s="1"/>
      <c r="S115" s="1"/>
    </row>
    <row r="116" spans="1:19" s="90" customFormat="1" ht="20.100000000000001" customHeight="1" x14ac:dyDescent="0.3">
      <c r="A116" s="1"/>
      <c r="B116" s="10"/>
      <c r="C116" s="13"/>
      <c r="D116" s="116"/>
      <c r="E116" s="141"/>
      <c r="F116" s="141"/>
      <c r="G116" s="1"/>
      <c r="I116" s="1"/>
      <c r="J116" s="1"/>
      <c r="K116" s="1"/>
      <c r="M116" s="1"/>
      <c r="N116" s="1"/>
      <c r="O116" s="1"/>
      <c r="P116" s="1"/>
      <c r="Q116" s="1"/>
      <c r="R116" s="1"/>
      <c r="S116" s="1"/>
    </row>
    <row r="117" spans="1:19" s="90" customFormat="1" ht="20.100000000000001" customHeight="1" x14ac:dyDescent="0.3">
      <c r="A117" s="1"/>
      <c r="B117" s="10"/>
      <c r="C117" s="13"/>
      <c r="D117" s="116"/>
      <c r="E117" s="141"/>
      <c r="F117" s="141"/>
      <c r="G117" s="1"/>
      <c r="I117" s="1"/>
      <c r="J117" s="1"/>
      <c r="K117" s="1"/>
      <c r="M117" s="1"/>
      <c r="N117" s="1"/>
      <c r="O117" s="1"/>
      <c r="P117" s="1"/>
      <c r="Q117" s="1"/>
      <c r="R117" s="1"/>
      <c r="S117" s="1"/>
    </row>
    <row r="118" spans="1:19" s="90" customFormat="1" ht="20.100000000000001" customHeight="1" x14ac:dyDescent="0.3">
      <c r="A118" s="1"/>
      <c r="B118" s="10"/>
      <c r="C118" s="13"/>
      <c r="D118" s="116"/>
      <c r="E118" s="141"/>
      <c r="F118" s="141"/>
      <c r="G118" s="11"/>
      <c r="I118" s="1"/>
      <c r="J118" s="1"/>
      <c r="K118" s="1"/>
      <c r="M118" s="1"/>
      <c r="N118" s="1"/>
      <c r="O118" s="1"/>
      <c r="P118" s="1"/>
      <c r="Q118" s="1"/>
      <c r="R118" s="1"/>
      <c r="S118" s="1"/>
    </row>
  </sheetData>
  <pageMargins left="0.7" right="0.7" top="0.75" bottom="0.75" header="0.3" footer="0.3"/>
  <pageSetup scale="92" fitToHeight="0"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8F410-6739-43F2-BA9F-C303E504DFF4}">
  <sheetPr>
    <pageSetUpPr fitToPage="1"/>
  </sheetPr>
  <dimension ref="A1:S103"/>
  <sheetViews>
    <sheetView topLeftCell="A35" zoomScale="96" zoomScaleNormal="96" workbookViewId="0">
      <selection activeCell="D12" sqref="D12"/>
    </sheetView>
  </sheetViews>
  <sheetFormatPr defaultRowHeight="18.75" x14ac:dyDescent="0.3"/>
  <cols>
    <col min="1" max="1" width="20.7109375" style="1" customWidth="1"/>
    <col min="2" max="2" width="16.85546875" style="10" customWidth="1"/>
    <col min="3" max="3" width="25" style="13" bestFit="1" customWidth="1"/>
    <col min="4" max="4" width="25.140625" style="116" customWidth="1"/>
    <col min="5" max="5" width="9.7109375" style="141" customWidth="1"/>
    <col min="6" max="6" width="16.5703125" style="141" customWidth="1"/>
    <col min="7" max="7" width="35" style="1" bestFit="1" customWidth="1"/>
    <col min="8" max="8" width="5.5703125" style="90" bestFit="1" customWidth="1"/>
    <col min="9" max="11" width="9.140625" style="1"/>
    <col min="12" max="12" width="57.5703125" style="1" bestFit="1" customWidth="1"/>
    <col min="13" max="16384" width="9.140625" style="1"/>
  </cols>
  <sheetData>
    <row r="1" spans="1:19" s="11" customFormat="1" ht="20.100000000000001" customHeight="1" x14ac:dyDescent="0.25">
      <c r="A1" s="11" t="s">
        <v>1203</v>
      </c>
      <c r="B1" s="17"/>
      <c r="C1" s="13"/>
      <c r="D1" s="47"/>
      <c r="E1" s="141"/>
      <c r="H1" s="88"/>
    </row>
    <row r="2" spans="1:19" s="11" customFormat="1" ht="20.100000000000001" customHeight="1" x14ac:dyDescent="0.25">
      <c r="A2" s="14">
        <v>45688</v>
      </c>
      <c r="B2" s="17"/>
      <c r="C2" s="13"/>
      <c r="D2" s="47"/>
      <c r="E2" s="141"/>
      <c r="H2" s="88"/>
    </row>
    <row r="3" spans="1:19" s="11" customFormat="1" ht="20.100000000000001" customHeight="1" x14ac:dyDescent="0.25">
      <c r="A3" s="11" t="s">
        <v>311</v>
      </c>
      <c r="B3" s="17">
        <v>31930078.48</v>
      </c>
      <c r="C3" s="13"/>
      <c r="D3" s="47"/>
      <c r="E3" s="141"/>
      <c r="H3" s="88"/>
      <c r="M3" s="89"/>
    </row>
    <row r="4" spans="1:19" s="11" customFormat="1" ht="20.100000000000001" customHeight="1" x14ac:dyDescent="0.25">
      <c r="A4" s="11" t="s">
        <v>6</v>
      </c>
      <c r="B4" s="17"/>
      <c r="C4" s="13"/>
      <c r="D4" s="47"/>
      <c r="E4" s="141"/>
      <c r="H4" s="88"/>
      <c r="M4" s="89"/>
    </row>
    <row r="5" spans="1:19" s="11" customFormat="1" ht="20.100000000000001" customHeight="1" x14ac:dyDescent="0.25">
      <c r="A5" s="11">
        <v>2100</v>
      </c>
      <c r="B5" s="17">
        <v>-32240879.289999999</v>
      </c>
      <c r="C5" s="13"/>
      <c r="D5" s="47"/>
      <c r="E5" s="141"/>
      <c r="H5" s="88"/>
      <c r="M5" s="89"/>
    </row>
    <row r="6" spans="1:19" s="11" customFormat="1" ht="20.100000000000001" customHeight="1" x14ac:dyDescent="0.25">
      <c r="A6" s="11" t="s">
        <v>5</v>
      </c>
      <c r="B6" s="17">
        <f>SUM(B5)</f>
        <v>-32240879.289999999</v>
      </c>
      <c r="C6" s="13"/>
      <c r="D6" s="47"/>
      <c r="E6" s="141"/>
      <c r="H6" s="88"/>
      <c r="M6" s="89"/>
      <c r="O6" s="62"/>
      <c r="P6" s="62"/>
      <c r="Q6" s="62"/>
      <c r="R6" s="62"/>
      <c r="S6" s="62"/>
    </row>
    <row r="7" spans="1:19" s="11" customFormat="1" ht="20.100000000000001" customHeight="1" x14ac:dyDescent="0.25">
      <c r="A7" s="11" t="s">
        <v>4</v>
      </c>
      <c r="B7" s="17">
        <f>B6+B3</f>
        <v>-310800.80999999866</v>
      </c>
      <c r="C7" s="13"/>
      <c r="D7" s="47"/>
      <c r="E7" s="141"/>
      <c r="H7" s="88"/>
      <c r="M7" s="88"/>
    </row>
    <row r="8" spans="1:19" s="11" customFormat="1" ht="15.95" customHeight="1" x14ac:dyDescent="0.25">
      <c r="A8" s="11" t="s">
        <v>3</v>
      </c>
      <c r="B8" s="17"/>
      <c r="C8" s="44" t="s">
        <v>628</v>
      </c>
      <c r="D8" s="114" t="s">
        <v>626</v>
      </c>
      <c r="E8" s="141"/>
      <c r="H8" s="88"/>
      <c r="M8" s="88"/>
    </row>
    <row r="9" spans="1:19" s="11" customFormat="1" ht="15.75" x14ac:dyDescent="0.25">
      <c r="A9" s="77" t="s">
        <v>2605</v>
      </c>
      <c r="B9" s="98">
        <v>-26788</v>
      </c>
      <c r="C9" s="31">
        <v>45664</v>
      </c>
      <c r="D9" s="28" t="s">
        <v>2645</v>
      </c>
      <c r="E9" s="141"/>
      <c r="F9" s="141"/>
      <c r="G9" s="55"/>
      <c r="M9" s="88"/>
    </row>
    <row r="10" spans="1:19" s="11" customFormat="1" ht="15.75" x14ac:dyDescent="0.25">
      <c r="A10" s="77" t="s">
        <v>2606</v>
      </c>
      <c r="B10" s="98">
        <v>-30300</v>
      </c>
      <c r="C10" s="31">
        <v>45670</v>
      </c>
      <c r="D10" s="28" t="s">
        <v>2645</v>
      </c>
      <c r="E10" s="141"/>
      <c r="F10" s="141"/>
      <c r="G10" s="55"/>
      <c r="M10" s="88"/>
    </row>
    <row r="11" spans="1:19" s="11" customFormat="1" ht="15.75" x14ac:dyDescent="0.25">
      <c r="A11" s="77" t="s">
        <v>2568</v>
      </c>
      <c r="B11" s="98">
        <v>-36255</v>
      </c>
      <c r="C11" s="31">
        <v>45993</v>
      </c>
      <c r="D11" s="28" t="s">
        <v>2646</v>
      </c>
      <c r="E11" s="141"/>
      <c r="F11" s="141"/>
      <c r="G11" s="55"/>
      <c r="L11" s="11" t="s">
        <v>1437</v>
      </c>
      <c r="M11" s="88"/>
    </row>
    <row r="12" spans="1:19" s="11" customFormat="1" ht="15.75" x14ac:dyDescent="0.25">
      <c r="A12" s="77" t="s">
        <v>2607</v>
      </c>
      <c r="B12" s="98">
        <v>-38681.85</v>
      </c>
      <c r="C12" s="31">
        <v>45673</v>
      </c>
      <c r="D12" s="28">
        <v>45706</v>
      </c>
      <c r="E12" s="141"/>
      <c r="F12" s="141"/>
      <c r="G12" s="55"/>
      <c r="L12" s="11" t="s">
        <v>1438</v>
      </c>
      <c r="M12" s="88"/>
    </row>
    <row r="13" spans="1:19" s="11" customFormat="1" ht="15.75" x14ac:dyDescent="0.25">
      <c r="A13" s="77" t="s">
        <v>2608</v>
      </c>
      <c r="B13" s="98">
        <v>-38681.85</v>
      </c>
      <c r="C13" s="31">
        <v>45673</v>
      </c>
      <c r="D13" s="28">
        <v>45706</v>
      </c>
      <c r="E13" s="141"/>
      <c r="F13" s="141"/>
      <c r="G13" s="55"/>
      <c r="L13" s="11" t="s">
        <v>1439</v>
      </c>
      <c r="M13" s="88"/>
    </row>
    <row r="14" spans="1:19" s="11" customFormat="1" ht="15.75" x14ac:dyDescent="0.25">
      <c r="A14" s="77" t="s">
        <v>2609</v>
      </c>
      <c r="B14" s="98">
        <v>-39239.85</v>
      </c>
      <c r="C14" s="31">
        <v>45673</v>
      </c>
      <c r="D14" s="28">
        <v>45706</v>
      </c>
      <c r="E14" s="141"/>
      <c r="F14" s="141"/>
      <c r="G14" s="55"/>
      <c r="L14" s="11" t="s">
        <v>1440</v>
      </c>
      <c r="M14" s="88"/>
    </row>
    <row r="15" spans="1:19" s="11" customFormat="1" ht="15.75" x14ac:dyDescent="0.25">
      <c r="A15" s="77" t="s">
        <v>2610</v>
      </c>
      <c r="B15" s="98">
        <v>-39239.85</v>
      </c>
      <c r="C15" s="31">
        <v>45673</v>
      </c>
      <c r="D15" s="28">
        <v>45706</v>
      </c>
      <c r="E15" s="141"/>
      <c r="F15" s="141"/>
      <c r="G15" s="55"/>
      <c r="L15" s="11" t="s">
        <v>1441</v>
      </c>
      <c r="M15" s="88"/>
    </row>
    <row r="16" spans="1:19" s="11" customFormat="1" ht="15.75" x14ac:dyDescent="0.25">
      <c r="A16" s="77" t="s">
        <v>2611</v>
      </c>
      <c r="B16" s="98">
        <v>-40656.5</v>
      </c>
      <c r="C16" s="31">
        <v>45674</v>
      </c>
      <c r="D16" s="28">
        <v>45706</v>
      </c>
      <c r="E16" s="141"/>
      <c r="F16" s="141"/>
      <c r="G16" s="55"/>
      <c r="L16" s="11" t="s">
        <v>1442</v>
      </c>
      <c r="M16" s="88"/>
    </row>
    <row r="17" spans="1:13" s="11" customFormat="1" ht="15.75" x14ac:dyDescent="0.25">
      <c r="A17" s="77" t="s">
        <v>2612</v>
      </c>
      <c r="B17" s="98">
        <v>-41116.85</v>
      </c>
      <c r="C17" s="31">
        <v>45678</v>
      </c>
      <c r="D17" s="28">
        <v>45706</v>
      </c>
      <c r="E17" s="141"/>
      <c r="F17" s="141"/>
      <c r="G17" s="55"/>
      <c r="L17" s="11" t="s">
        <v>1443</v>
      </c>
      <c r="M17" s="88"/>
    </row>
    <row r="18" spans="1:13" s="11" customFormat="1" ht="15.75" x14ac:dyDescent="0.25">
      <c r="A18" s="77" t="s">
        <v>2613</v>
      </c>
      <c r="B18" s="98">
        <v>-41116.85</v>
      </c>
      <c r="C18" s="31">
        <v>45674</v>
      </c>
      <c r="D18" s="28">
        <v>45706</v>
      </c>
      <c r="E18" s="141"/>
      <c r="F18" s="141"/>
      <c r="G18" s="55"/>
      <c r="L18" s="11" t="s">
        <v>1444</v>
      </c>
      <c r="M18" s="88"/>
    </row>
    <row r="19" spans="1:13" s="11" customFormat="1" ht="15.75" x14ac:dyDescent="0.25">
      <c r="A19" s="77" t="s">
        <v>2614</v>
      </c>
      <c r="B19" s="98">
        <v>-41674.85</v>
      </c>
      <c r="C19" s="31">
        <v>45674</v>
      </c>
      <c r="D19" s="28">
        <v>45706</v>
      </c>
      <c r="E19" s="141"/>
      <c r="F19" s="141"/>
      <c r="G19" s="55"/>
      <c r="L19" s="11" t="s">
        <v>1445</v>
      </c>
      <c r="M19" s="88"/>
    </row>
    <row r="20" spans="1:13" s="11" customFormat="1" ht="15.75" x14ac:dyDescent="0.25">
      <c r="A20" s="77" t="s">
        <v>2615</v>
      </c>
      <c r="B20" s="98">
        <v>-42507.199999999997</v>
      </c>
      <c r="C20" s="31">
        <v>45673</v>
      </c>
      <c r="D20" s="28">
        <v>45701</v>
      </c>
      <c r="E20" s="141"/>
      <c r="F20" s="141"/>
      <c r="G20" s="55"/>
      <c r="L20" s="11" t="s">
        <v>1446</v>
      </c>
      <c r="M20" s="88"/>
    </row>
    <row r="21" spans="1:13" s="11" customFormat="1" ht="15.75" x14ac:dyDescent="0.25">
      <c r="A21" s="77" t="s">
        <v>2616</v>
      </c>
      <c r="B21" s="98">
        <v>-42507.199999999997</v>
      </c>
      <c r="C21" s="31">
        <v>45673</v>
      </c>
      <c r="D21" s="28">
        <v>45700</v>
      </c>
      <c r="E21" s="141"/>
      <c r="F21" s="141"/>
      <c r="G21" s="55"/>
      <c r="L21" s="11" t="s">
        <v>1447</v>
      </c>
      <c r="M21" s="88"/>
    </row>
    <row r="22" spans="1:13" s="11" customFormat="1" ht="15.75" x14ac:dyDescent="0.25">
      <c r="A22" s="77" t="s">
        <v>2617</v>
      </c>
      <c r="B22" s="98">
        <v>-42507.199999999997</v>
      </c>
      <c r="C22" s="31">
        <v>45678</v>
      </c>
      <c r="D22" s="28">
        <v>45706</v>
      </c>
      <c r="E22" s="141"/>
      <c r="F22" s="141"/>
      <c r="G22" s="55"/>
      <c r="L22" s="11" t="s">
        <v>1448</v>
      </c>
      <c r="M22" s="88"/>
    </row>
    <row r="23" spans="1:13" s="11" customFormat="1" ht="15.75" x14ac:dyDescent="0.25">
      <c r="A23" s="77" t="s">
        <v>2618</v>
      </c>
      <c r="B23" s="98">
        <v>-43065.2</v>
      </c>
      <c r="C23" s="31">
        <v>45673</v>
      </c>
      <c r="D23" s="28">
        <v>45706</v>
      </c>
      <c r="E23" s="141"/>
      <c r="F23" s="141"/>
      <c r="G23" s="55"/>
      <c r="L23" s="11" t="s">
        <v>1449</v>
      </c>
      <c r="M23" s="88"/>
    </row>
    <row r="24" spans="1:13" s="11" customFormat="1" ht="15.75" x14ac:dyDescent="0.25">
      <c r="A24" s="77" t="s">
        <v>2619</v>
      </c>
      <c r="B24" s="98">
        <v>-46413.8</v>
      </c>
      <c r="C24" s="31">
        <v>45673</v>
      </c>
      <c r="D24" s="28">
        <v>45701</v>
      </c>
      <c r="E24" s="141"/>
      <c r="F24" s="141"/>
      <c r="G24" s="55"/>
      <c r="L24" s="11" t="s">
        <v>1450</v>
      </c>
      <c r="M24" s="88"/>
    </row>
    <row r="25" spans="1:13" s="11" customFormat="1" ht="15.75" x14ac:dyDescent="0.25">
      <c r="A25" s="77" t="s">
        <v>2620</v>
      </c>
      <c r="B25" s="98">
        <v>-46971.8</v>
      </c>
      <c r="C25" s="31">
        <v>45673</v>
      </c>
      <c r="D25" s="28">
        <v>45700</v>
      </c>
      <c r="E25" s="141"/>
      <c r="F25" s="141"/>
      <c r="G25" s="55"/>
      <c r="L25" s="11" t="s">
        <v>1451</v>
      </c>
      <c r="M25" s="88"/>
    </row>
    <row r="26" spans="1:13" s="11" customFormat="1" ht="15.75" x14ac:dyDescent="0.25">
      <c r="A26" s="77" t="s">
        <v>2621</v>
      </c>
      <c r="B26" s="98">
        <v>-91188.65</v>
      </c>
      <c r="C26" s="31">
        <v>45684</v>
      </c>
      <c r="D26" s="28">
        <v>45691</v>
      </c>
      <c r="E26" s="141"/>
      <c r="F26" s="141"/>
      <c r="G26" s="55"/>
      <c r="L26" s="11" t="s">
        <v>1452</v>
      </c>
      <c r="M26" s="88"/>
    </row>
    <row r="27" spans="1:13" s="11" customFormat="1" ht="15.75" x14ac:dyDescent="0.25">
      <c r="A27" s="77" t="s">
        <v>2622</v>
      </c>
      <c r="B27" s="98">
        <v>-91188.65</v>
      </c>
      <c r="C27" s="31">
        <v>45685</v>
      </c>
      <c r="D27" s="28">
        <v>45693</v>
      </c>
      <c r="E27" s="141"/>
      <c r="F27" s="141"/>
      <c r="G27" s="55"/>
      <c r="L27" s="11" t="s">
        <v>1453</v>
      </c>
      <c r="M27" s="88"/>
    </row>
    <row r="28" spans="1:13" s="11" customFormat="1" ht="15.75" x14ac:dyDescent="0.25">
      <c r="A28" s="77" t="s">
        <v>2623</v>
      </c>
      <c r="B28" s="98">
        <v>-91188.65</v>
      </c>
      <c r="C28" s="31">
        <v>45685</v>
      </c>
      <c r="D28" s="28">
        <v>45692</v>
      </c>
      <c r="E28" s="141"/>
      <c r="F28" s="141"/>
      <c r="G28" s="55"/>
      <c r="L28" s="11" t="s">
        <v>1436</v>
      </c>
      <c r="M28" s="88"/>
    </row>
    <row r="29" spans="1:13" s="11" customFormat="1" ht="15.75" x14ac:dyDescent="0.25">
      <c r="A29" s="77" t="s">
        <v>2624</v>
      </c>
      <c r="B29" s="98">
        <v>-91188.65</v>
      </c>
      <c r="C29" s="31">
        <v>45688</v>
      </c>
      <c r="D29" s="28">
        <v>45693</v>
      </c>
      <c r="E29" s="141"/>
      <c r="F29" s="141"/>
      <c r="G29" s="55"/>
      <c r="L29" s="11" t="s">
        <v>1454</v>
      </c>
      <c r="M29" s="88"/>
    </row>
    <row r="30" spans="1:13" s="11" customFormat="1" ht="15.75" x14ac:dyDescent="0.25">
      <c r="A30" s="77" t="s">
        <v>2625</v>
      </c>
      <c r="B30" s="98">
        <v>-91188.65</v>
      </c>
      <c r="C30" s="31">
        <v>45688</v>
      </c>
      <c r="D30" s="28">
        <v>45695</v>
      </c>
      <c r="E30" s="141"/>
      <c r="F30" s="141"/>
      <c r="G30" s="55"/>
      <c r="L30" s="11" t="s">
        <v>1455</v>
      </c>
      <c r="M30" s="88"/>
    </row>
    <row r="31" spans="1:13" s="11" customFormat="1" ht="15.75" x14ac:dyDescent="0.25">
      <c r="A31" s="77" t="s">
        <v>2626</v>
      </c>
      <c r="B31" s="98">
        <v>-91746.65</v>
      </c>
      <c r="C31" s="31">
        <v>45685</v>
      </c>
      <c r="D31" s="28">
        <v>45694</v>
      </c>
      <c r="E31" s="141"/>
      <c r="F31" s="141"/>
      <c r="G31" s="55"/>
      <c r="L31" s="11" t="s">
        <v>1456</v>
      </c>
      <c r="M31" s="88"/>
    </row>
    <row r="32" spans="1:13" s="11" customFormat="1" ht="15.75" x14ac:dyDescent="0.25">
      <c r="A32" s="77" t="s">
        <v>2627</v>
      </c>
      <c r="B32" s="98">
        <v>-91746.65</v>
      </c>
      <c r="C32" s="31">
        <v>45684</v>
      </c>
      <c r="D32" s="28">
        <v>45691</v>
      </c>
      <c r="E32" s="141"/>
      <c r="F32" s="141"/>
      <c r="G32" s="55"/>
      <c r="L32" s="11" t="s">
        <v>1457</v>
      </c>
      <c r="M32" s="88"/>
    </row>
    <row r="33" spans="1:13" s="11" customFormat="1" ht="15.75" x14ac:dyDescent="0.25">
      <c r="A33" s="77" t="s">
        <v>2643</v>
      </c>
      <c r="B33" s="98">
        <v>-99495</v>
      </c>
      <c r="C33" s="31">
        <v>45684</v>
      </c>
      <c r="D33" s="28">
        <v>45691</v>
      </c>
      <c r="E33" s="141"/>
      <c r="F33" s="141"/>
      <c r="G33" s="55"/>
      <c r="L33" s="11" t="s">
        <v>2506</v>
      </c>
      <c r="M33" s="88"/>
    </row>
    <row r="34" spans="1:13" s="11" customFormat="1" ht="15.75" x14ac:dyDescent="0.25">
      <c r="A34" s="77"/>
      <c r="B34" s="98"/>
      <c r="C34" s="31"/>
      <c r="D34" s="28"/>
      <c r="E34" s="141"/>
      <c r="F34" s="141"/>
      <c r="G34" s="55"/>
      <c r="L34" s="11" t="s">
        <v>1458</v>
      </c>
      <c r="M34" s="88"/>
    </row>
    <row r="35" spans="1:13" s="11" customFormat="1" ht="15.75" x14ac:dyDescent="0.25">
      <c r="B35" s="25">
        <f>SUM(B9:B34)</f>
        <v>-1416655.4</v>
      </c>
      <c r="C35" s="28"/>
      <c r="D35" s="28"/>
      <c r="E35" s="141"/>
      <c r="F35" s="141"/>
      <c r="G35" s="55"/>
      <c r="L35" s="11" t="s">
        <v>1368</v>
      </c>
    </row>
    <row r="36" spans="1:13" s="11" customFormat="1" ht="16.5" customHeight="1" x14ac:dyDescent="0.25">
      <c r="A36" s="11" t="s">
        <v>2</v>
      </c>
      <c r="B36" s="25"/>
      <c r="C36" s="30" t="s">
        <v>626</v>
      </c>
      <c r="D36" s="114" t="s">
        <v>628</v>
      </c>
      <c r="E36" s="141"/>
      <c r="F36" s="141"/>
      <c r="G36" s="55"/>
      <c r="L36" s="11" t="s">
        <v>1459</v>
      </c>
    </row>
    <row r="37" spans="1:13" s="11" customFormat="1" ht="16.5" customHeight="1" x14ac:dyDescent="0.25">
      <c r="A37" s="11" t="s">
        <v>2628</v>
      </c>
      <c r="B37" s="119">
        <v>27300.31</v>
      </c>
      <c r="C37" s="144">
        <v>45684</v>
      </c>
      <c r="D37" s="28">
        <v>45693</v>
      </c>
      <c r="E37" s="141"/>
      <c r="F37" s="141"/>
      <c r="G37" s="55"/>
      <c r="L37" s="11" t="s">
        <v>1369</v>
      </c>
    </row>
    <row r="38" spans="1:13" s="11" customFormat="1" ht="16.5" customHeight="1" x14ac:dyDescent="0.25">
      <c r="A38" s="11" t="s">
        <v>2629</v>
      </c>
      <c r="B38" s="119">
        <v>27765.31</v>
      </c>
      <c r="C38" s="33">
        <v>45686</v>
      </c>
      <c r="D38" s="28">
        <v>45693</v>
      </c>
      <c r="E38" s="141"/>
      <c r="F38" s="141"/>
      <c r="G38" s="55"/>
      <c r="L38" s="11" t="s">
        <v>1460</v>
      </c>
    </row>
    <row r="39" spans="1:13" s="11" customFormat="1" ht="16.5" customHeight="1" x14ac:dyDescent="0.25">
      <c r="A39" s="11" t="s">
        <v>2630</v>
      </c>
      <c r="B39" s="119">
        <v>28481.11</v>
      </c>
      <c r="C39" s="33">
        <v>45686</v>
      </c>
      <c r="D39" s="28">
        <v>45693</v>
      </c>
      <c r="E39" s="141"/>
      <c r="F39" s="141"/>
      <c r="G39" s="55"/>
    </row>
    <row r="40" spans="1:13" s="11" customFormat="1" ht="16.5" customHeight="1" x14ac:dyDescent="0.25">
      <c r="A40" s="11" t="s">
        <v>2567</v>
      </c>
      <c r="B40" s="119">
        <v>29406.46</v>
      </c>
      <c r="C40" s="33">
        <v>45649</v>
      </c>
      <c r="D40" s="11">
        <v>4800</v>
      </c>
      <c r="E40" s="141"/>
      <c r="F40" s="141"/>
      <c r="G40" s="55"/>
      <c r="M40" s="88"/>
    </row>
    <row r="41" spans="1:13" s="11" customFormat="1" ht="16.5" customHeight="1" x14ac:dyDescent="0.25">
      <c r="A41" s="11" t="s">
        <v>2448</v>
      </c>
      <c r="B41" s="119">
        <v>42387.8</v>
      </c>
      <c r="C41" s="33">
        <v>45590</v>
      </c>
      <c r="D41" s="88" t="s">
        <v>2644</v>
      </c>
      <c r="E41" s="141"/>
      <c r="F41" s="141"/>
      <c r="G41" s="55"/>
    </row>
    <row r="42" spans="1:13" s="11" customFormat="1" ht="16.5" customHeight="1" x14ac:dyDescent="0.25">
      <c r="A42" s="11" t="s">
        <v>2449</v>
      </c>
      <c r="B42" s="119">
        <v>42387.8</v>
      </c>
      <c r="C42" s="33">
        <v>45593</v>
      </c>
      <c r="D42" s="28" t="s">
        <v>2644</v>
      </c>
      <c r="E42" s="141"/>
      <c r="F42" s="141"/>
      <c r="G42" s="55"/>
    </row>
    <row r="43" spans="1:13" s="11" customFormat="1" ht="16.5" customHeight="1" x14ac:dyDescent="0.25">
      <c r="A43" s="11" t="s">
        <v>2518</v>
      </c>
      <c r="B43" s="119">
        <v>42387.8</v>
      </c>
      <c r="C43" s="33">
        <v>45602</v>
      </c>
      <c r="D43" s="28" t="s">
        <v>2644</v>
      </c>
      <c r="E43" s="141"/>
      <c r="F43" s="141"/>
      <c r="G43" s="55"/>
    </row>
    <row r="44" spans="1:13" s="11" customFormat="1" ht="16.5" customHeight="1" x14ac:dyDescent="0.25">
      <c r="A44" s="11" t="s">
        <v>2450</v>
      </c>
      <c r="B44" s="119">
        <v>42387.8</v>
      </c>
      <c r="C44" s="33">
        <v>45590</v>
      </c>
      <c r="D44" s="13" t="s">
        <v>2644</v>
      </c>
      <c r="E44" s="141"/>
      <c r="F44" s="141"/>
      <c r="G44" s="55"/>
    </row>
    <row r="45" spans="1:13" s="11" customFormat="1" ht="16.5" customHeight="1" x14ac:dyDescent="0.25">
      <c r="A45" s="11" t="s">
        <v>2631</v>
      </c>
      <c r="B45" s="119">
        <v>47193</v>
      </c>
      <c r="C45" s="33">
        <v>45590</v>
      </c>
      <c r="D45" s="14">
        <v>45693</v>
      </c>
      <c r="E45" s="141"/>
      <c r="F45" s="141"/>
      <c r="G45" s="55"/>
    </row>
    <row r="46" spans="1:13" s="11" customFormat="1" ht="16.5" customHeight="1" x14ac:dyDescent="0.25">
      <c r="A46" s="11" t="s">
        <v>2632</v>
      </c>
      <c r="B46" s="119">
        <v>47193</v>
      </c>
      <c r="C46" s="33">
        <v>45593</v>
      </c>
      <c r="D46" s="14">
        <v>45692</v>
      </c>
      <c r="E46" s="141"/>
      <c r="F46" s="141"/>
      <c r="G46" s="55"/>
    </row>
    <row r="47" spans="1:13" s="11" customFormat="1" ht="16.5" customHeight="1" x14ac:dyDescent="0.25">
      <c r="A47" s="11" t="s">
        <v>2633</v>
      </c>
      <c r="B47" s="119">
        <v>47751</v>
      </c>
      <c r="C47" s="33">
        <v>45590</v>
      </c>
      <c r="D47" s="14">
        <v>45692</v>
      </c>
      <c r="E47" s="141"/>
      <c r="F47" s="141"/>
      <c r="G47" s="55"/>
    </row>
    <row r="48" spans="1:13" s="11" customFormat="1" ht="16.5" customHeight="1" x14ac:dyDescent="0.25">
      <c r="A48" s="11" t="s">
        <v>2634</v>
      </c>
      <c r="B48" s="119">
        <v>52483</v>
      </c>
      <c r="C48" s="33">
        <v>45419</v>
      </c>
      <c r="D48" s="145">
        <v>4300</v>
      </c>
      <c r="E48" s="141"/>
      <c r="F48" s="141"/>
      <c r="G48" s="55"/>
    </row>
    <row r="49" spans="1:13" s="11" customFormat="1" ht="16.5" customHeight="1" x14ac:dyDescent="0.25">
      <c r="A49" s="11" t="s">
        <v>2635</v>
      </c>
      <c r="B49" s="119">
        <v>54227.45</v>
      </c>
      <c r="C49" s="150">
        <v>45558</v>
      </c>
      <c r="D49" s="14">
        <v>45695</v>
      </c>
      <c r="E49" s="141"/>
      <c r="F49" s="141"/>
      <c r="G49" s="55"/>
    </row>
    <row r="50" spans="1:13" s="11" customFormat="1" ht="16.5" customHeight="1" x14ac:dyDescent="0.25">
      <c r="A50" s="11" t="s">
        <v>2636</v>
      </c>
      <c r="B50" s="119">
        <v>54687.8</v>
      </c>
      <c r="C50" s="33">
        <v>45558</v>
      </c>
      <c r="D50" s="14">
        <v>45695</v>
      </c>
      <c r="E50" s="141"/>
      <c r="F50" s="141"/>
      <c r="G50" s="55"/>
    </row>
    <row r="51" spans="1:13" s="11" customFormat="1" ht="16.5" customHeight="1" x14ac:dyDescent="0.25">
      <c r="A51" s="11" t="s">
        <v>2637</v>
      </c>
      <c r="B51" s="119">
        <v>54827.3</v>
      </c>
      <c r="C51" s="150">
        <v>45558</v>
      </c>
      <c r="D51" s="14">
        <v>45692</v>
      </c>
      <c r="E51" s="141"/>
      <c r="F51" s="141"/>
      <c r="G51" s="55"/>
    </row>
    <row r="52" spans="1:13" s="11" customFormat="1" ht="16.5" customHeight="1" x14ac:dyDescent="0.25">
      <c r="A52" s="11" t="s">
        <v>2638</v>
      </c>
      <c r="B52" s="119">
        <v>55973.2</v>
      </c>
      <c r="C52" s="150">
        <v>45678</v>
      </c>
      <c r="D52" s="14">
        <v>45693</v>
      </c>
      <c r="E52" s="141"/>
      <c r="F52" s="141"/>
      <c r="G52" s="55"/>
    </row>
    <row r="53" spans="1:13" s="11" customFormat="1" ht="16.5" customHeight="1" x14ac:dyDescent="0.25">
      <c r="A53" s="11" t="s">
        <v>2557</v>
      </c>
      <c r="B53" s="119">
        <v>61980.4</v>
      </c>
      <c r="C53" s="150">
        <v>45566</v>
      </c>
      <c r="D53" s="13" t="s">
        <v>2644</v>
      </c>
      <c r="E53" s="141"/>
      <c r="F53" s="141"/>
      <c r="G53" s="55"/>
      <c r="M53" s="88"/>
    </row>
    <row r="54" spans="1:13" s="11" customFormat="1" ht="16.5" customHeight="1" x14ac:dyDescent="0.25">
      <c r="A54" s="11" t="s">
        <v>2639</v>
      </c>
      <c r="B54" s="119">
        <v>61980.4</v>
      </c>
      <c r="C54" s="150">
        <v>45568</v>
      </c>
      <c r="D54" s="14">
        <v>45692</v>
      </c>
      <c r="E54" s="141"/>
      <c r="F54" s="141"/>
      <c r="G54" s="55"/>
      <c r="M54" s="88"/>
    </row>
    <row r="55" spans="1:13" s="11" customFormat="1" ht="16.5" customHeight="1" x14ac:dyDescent="0.25">
      <c r="A55" s="11" t="s">
        <v>2640</v>
      </c>
      <c r="B55" s="119">
        <v>81955.5</v>
      </c>
      <c r="C55" s="150">
        <v>45576</v>
      </c>
      <c r="D55" s="14">
        <v>45693</v>
      </c>
      <c r="E55" s="141"/>
      <c r="F55" s="141"/>
      <c r="G55" s="55"/>
      <c r="M55" s="88"/>
    </row>
    <row r="56" spans="1:13" s="11" customFormat="1" ht="16.5" customHeight="1" x14ac:dyDescent="0.25">
      <c r="A56" s="11" t="s">
        <v>2641</v>
      </c>
      <c r="B56" s="119">
        <v>92214.9</v>
      </c>
      <c r="C56" s="150">
        <v>45679</v>
      </c>
      <c r="D56" s="14">
        <v>45691</v>
      </c>
      <c r="E56" s="141"/>
      <c r="F56" s="141"/>
      <c r="G56" s="55"/>
      <c r="M56" s="88"/>
    </row>
    <row r="57" spans="1:13" s="11" customFormat="1" ht="16.5" customHeight="1" x14ac:dyDescent="0.25">
      <c r="A57" s="11" t="s">
        <v>2642</v>
      </c>
      <c r="B57" s="119">
        <v>110883.25</v>
      </c>
      <c r="C57" s="150">
        <v>45576</v>
      </c>
      <c r="D57" s="14">
        <v>45693</v>
      </c>
      <c r="E57" s="141"/>
      <c r="F57" s="141"/>
      <c r="G57" s="55"/>
      <c r="M57" s="88"/>
    </row>
    <row r="58" spans="1:13" s="11" customFormat="1" ht="16.5" customHeight="1" thickBot="1" x14ac:dyDescent="0.3">
      <c r="B58" s="119"/>
      <c r="C58" s="150"/>
      <c r="D58" s="145"/>
      <c r="E58" s="141"/>
      <c r="F58" s="141"/>
      <c r="G58" s="55"/>
      <c r="M58" s="88"/>
    </row>
    <row r="59" spans="1:13" s="11" customFormat="1" ht="15.75" x14ac:dyDescent="0.25">
      <c r="B59" s="25">
        <f>SUM(B37:B58)</f>
        <v>1105854.5900000001</v>
      </c>
      <c r="C59" s="147" t="s">
        <v>1459</v>
      </c>
      <c r="D59" s="148"/>
      <c r="E59" s="141"/>
      <c r="F59" s="141"/>
      <c r="G59" s="55"/>
    </row>
    <row r="60" spans="1:13" s="11" customFormat="1" ht="16.5" thickBot="1" x14ac:dyDescent="0.3">
      <c r="A60" s="11" t="s">
        <v>1</v>
      </c>
      <c r="B60" s="17">
        <f>B59+B35</f>
        <v>-310800.80999999982</v>
      </c>
      <c r="C60" s="146" t="s">
        <v>1369</v>
      </c>
      <c r="D60" s="149"/>
      <c r="E60" s="141"/>
      <c r="F60" s="141"/>
      <c r="G60" s="55"/>
    </row>
    <row r="61" spans="1:13" s="11" customFormat="1" ht="15.75" x14ac:dyDescent="0.25">
      <c r="A61" s="11" t="s">
        <v>0</v>
      </c>
      <c r="B61" s="17">
        <f>B60-B7</f>
        <v>-1.1641532182693481E-9</v>
      </c>
      <c r="E61" s="141"/>
      <c r="F61" s="141"/>
      <c r="G61" s="55"/>
    </row>
    <row r="62" spans="1:13" s="11" customFormat="1" ht="15.75" x14ac:dyDescent="0.25">
      <c r="E62" s="141"/>
      <c r="F62" s="141"/>
      <c r="G62" s="55"/>
    </row>
    <row r="63" spans="1:13" s="11" customFormat="1" ht="15.75" x14ac:dyDescent="0.25">
      <c r="E63" s="141"/>
      <c r="F63" s="141"/>
      <c r="G63" s="55"/>
    </row>
    <row r="64" spans="1:13" s="11" customFormat="1" ht="15.75" x14ac:dyDescent="0.25">
      <c r="E64" s="141"/>
      <c r="F64" s="141"/>
      <c r="G64" s="55"/>
    </row>
    <row r="65" spans="1:7" s="11" customFormat="1" ht="15.75" x14ac:dyDescent="0.25">
      <c r="E65" s="141"/>
      <c r="F65" s="141"/>
      <c r="G65" s="55"/>
    </row>
    <row r="66" spans="1:7" s="11" customFormat="1" ht="15.75" x14ac:dyDescent="0.25">
      <c r="E66" s="141"/>
      <c r="F66" s="141"/>
      <c r="G66" s="55"/>
    </row>
    <row r="67" spans="1:7" s="11" customFormat="1" ht="15.75" x14ac:dyDescent="0.25">
      <c r="E67" s="141"/>
      <c r="F67" s="141"/>
      <c r="G67" s="55"/>
    </row>
    <row r="68" spans="1:7" s="11" customFormat="1" ht="15.75" x14ac:dyDescent="0.25">
      <c r="E68" s="141"/>
      <c r="F68" s="141"/>
      <c r="G68" s="55"/>
    </row>
    <row r="69" spans="1:7" s="11" customFormat="1" ht="15.75" x14ac:dyDescent="0.25">
      <c r="E69" s="141"/>
      <c r="F69" s="141"/>
      <c r="G69" s="55"/>
    </row>
    <row r="70" spans="1:7" s="11" customFormat="1" ht="15.75" x14ac:dyDescent="0.25">
      <c r="E70" s="141"/>
      <c r="F70" s="141"/>
      <c r="G70" s="55"/>
    </row>
    <row r="71" spans="1:7" s="11" customFormat="1" ht="15.75" x14ac:dyDescent="0.25">
      <c r="E71" s="141"/>
      <c r="F71" s="141"/>
      <c r="G71" s="55"/>
    </row>
    <row r="72" spans="1:7" s="11" customFormat="1" ht="15.75" x14ac:dyDescent="0.25">
      <c r="E72" s="141"/>
      <c r="F72" s="141"/>
      <c r="G72" s="55"/>
    </row>
    <row r="73" spans="1:7" s="11" customFormat="1" ht="15.75" x14ac:dyDescent="0.25">
      <c r="E73" s="141"/>
      <c r="F73" s="141"/>
      <c r="G73" s="55"/>
    </row>
    <row r="74" spans="1:7" s="11" customFormat="1" ht="15.95" customHeight="1" x14ac:dyDescent="0.25">
      <c r="E74" s="141"/>
      <c r="F74" s="141"/>
    </row>
    <row r="75" spans="1:7" s="11" customFormat="1" ht="15.95" customHeight="1" x14ac:dyDescent="0.25">
      <c r="E75" s="141"/>
      <c r="F75" s="141"/>
    </row>
    <row r="76" spans="1:7" s="11" customFormat="1" ht="15.95" customHeight="1" x14ac:dyDescent="0.25">
      <c r="E76" s="141"/>
      <c r="F76" s="141"/>
    </row>
    <row r="77" spans="1:7" s="11" customFormat="1" ht="15.95" customHeight="1" x14ac:dyDescent="0.25">
      <c r="E77" s="141"/>
      <c r="F77" s="141"/>
    </row>
    <row r="78" spans="1:7" s="11" customFormat="1" ht="15.95" customHeight="1" x14ac:dyDescent="0.25">
      <c r="E78" s="141"/>
      <c r="F78" s="141"/>
    </row>
    <row r="79" spans="1:7" s="11" customFormat="1" ht="15.95" customHeight="1" x14ac:dyDescent="0.25">
      <c r="B79" s="17"/>
      <c r="E79" s="141"/>
      <c r="F79" s="141"/>
    </row>
    <row r="80" spans="1:7" s="11" customFormat="1" ht="15.95" customHeight="1" x14ac:dyDescent="0.25">
      <c r="A80" s="39"/>
      <c r="B80" s="93"/>
      <c r="C80" s="18"/>
      <c r="D80" s="18"/>
      <c r="E80" s="141"/>
      <c r="F80" s="141"/>
    </row>
    <row r="81" spans="1:8" s="11" customFormat="1" ht="15.95" customHeight="1" x14ac:dyDescent="0.3">
      <c r="A81" s="1"/>
      <c r="B81" s="10"/>
      <c r="C81" s="13"/>
      <c r="D81" s="47"/>
      <c r="E81" s="141"/>
      <c r="F81" s="141"/>
    </row>
    <row r="82" spans="1:8" s="11" customFormat="1" ht="15.95" customHeight="1" x14ac:dyDescent="0.3">
      <c r="A82" s="1"/>
      <c r="B82" s="10"/>
      <c r="C82" s="13"/>
      <c r="D82" s="47"/>
      <c r="E82" s="141"/>
      <c r="F82" s="141"/>
    </row>
    <row r="83" spans="1:8" s="11" customFormat="1" ht="15.95" customHeight="1" x14ac:dyDescent="0.3">
      <c r="A83" s="1"/>
      <c r="B83" s="10"/>
      <c r="C83" s="13"/>
      <c r="D83" s="47"/>
      <c r="E83" s="141"/>
      <c r="F83" s="141"/>
    </row>
    <row r="84" spans="1:8" s="11" customFormat="1" ht="15.95" customHeight="1" x14ac:dyDescent="0.25">
      <c r="E84" s="141"/>
      <c r="F84" s="141"/>
    </row>
    <row r="85" spans="1:8" s="11" customFormat="1" ht="15.95" customHeight="1" x14ac:dyDescent="0.25">
      <c r="E85" s="141"/>
      <c r="F85" s="141"/>
    </row>
    <row r="86" spans="1:8" s="11" customFormat="1" ht="15.95" customHeight="1" x14ac:dyDescent="0.25">
      <c r="E86" s="141"/>
      <c r="F86" s="141"/>
    </row>
    <row r="87" spans="1:8" s="11" customFormat="1" ht="15.95" customHeight="1" x14ac:dyDescent="0.25">
      <c r="E87" s="141"/>
      <c r="F87" s="141"/>
    </row>
    <row r="88" spans="1:8" s="11" customFormat="1" ht="15.95" customHeight="1" x14ac:dyDescent="0.25">
      <c r="E88" s="141"/>
      <c r="F88" s="141"/>
    </row>
    <row r="89" spans="1:8" s="11" customFormat="1" ht="15.95" customHeight="1" x14ac:dyDescent="0.25">
      <c r="E89" s="141"/>
      <c r="F89" s="141"/>
      <c r="H89" s="88"/>
    </row>
    <row r="90" spans="1:8" s="11" customFormat="1" ht="15.95" customHeight="1" x14ac:dyDescent="0.25">
      <c r="E90" s="141"/>
      <c r="F90" s="141"/>
      <c r="H90" s="88"/>
    </row>
    <row r="91" spans="1:8" s="11" customFormat="1" ht="15.95" customHeight="1" x14ac:dyDescent="0.25">
      <c r="E91" s="141"/>
      <c r="F91" s="141"/>
      <c r="G91" s="126"/>
      <c r="H91" s="88"/>
    </row>
    <row r="92" spans="1:8" s="11" customFormat="1" ht="15.95" customHeight="1" x14ac:dyDescent="0.25">
      <c r="E92" s="141"/>
      <c r="F92" s="141"/>
      <c r="H92" s="88"/>
    </row>
    <row r="93" spans="1:8" s="11" customFormat="1" ht="20.100000000000001" customHeight="1" x14ac:dyDescent="0.25">
      <c r="E93" s="141"/>
      <c r="F93" s="141"/>
      <c r="H93" s="88"/>
    </row>
    <row r="94" spans="1:8" s="11" customFormat="1" ht="20.100000000000001" customHeight="1" x14ac:dyDescent="0.25">
      <c r="E94" s="141"/>
      <c r="F94" s="141"/>
      <c r="H94" s="88"/>
    </row>
    <row r="95" spans="1:8" s="11" customFormat="1" ht="20.100000000000001" customHeight="1" x14ac:dyDescent="0.25">
      <c r="E95" s="141"/>
      <c r="F95" s="141"/>
      <c r="G95" s="126"/>
      <c r="H95" s="88"/>
    </row>
    <row r="96" spans="1:8" s="11" customFormat="1" ht="20.100000000000001" customHeight="1" x14ac:dyDescent="0.25">
      <c r="E96" s="141"/>
      <c r="F96" s="141"/>
      <c r="H96" s="88"/>
    </row>
    <row r="97" spans="1:19" s="13" customFormat="1" ht="20.100000000000001" customHeight="1" x14ac:dyDescent="0.3">
      <c r="A97" s="1"/>
      <c r="B97" s="10"/>
      <c r="D97" s="47"/>
      <c r="E97" s="141"/>
      <c r="F97" s="141"/>
      <c r="H97" s="88"/>
      <c r="I97" s="11"/>
    </row>
    <row r="98" spans="1:19" s="13" customFormat="1" ht="20.100000000000001" customHeight="1" x14ac:dyDescent="0.3">
      <c r="A98" s="1"/>
      <c r="B98" s="10"/>
      <c r="D98" s="47"/>
      <c r="E98" s="141"/>
      <c r="F98" s="141"/>
      <c r="H98" s="88"/>
      <c r="I98" s="11"/>
    </row>
    <row r="99" spans="1:19" s="13" customFormat="1" ht="20.100000000000001" customHeight="1" x14ac:dyDescent="0.3">
      <c r="A99" s="1"/>
      <c r="B99" s="10"/>
      <c r="D99" s="47"/>
      <c r="E99" s="141"/>
      <c r="F99" s="141"/>
      <c r="H99" s="88"/>
      <c r="I99" s="11"/>
    </row>
    <row r="100" spans="1:19" s="90" customFormat="1" ht="20.100000000000001" customHeight="1" x14ac:dyDescent="0.3">
      <c r="A100" s="1"/>
      <c r="B100" s="10"/>
      <c r="C100" s="13"/>
      <c r="D100" s="116"/>
      <c r="E100" s="141"/>
      <c r="F100" s="141"/>
      <c r="G100" s="1"/>
      <c r="I100" s="1"/>
      <c r="J100" s="1"/>
      <c r="K100" s="1"/>
      <c r="M100" s="1"/>
      <c r="N100" s="1"/>
      <c r="O100" s="1"/>
      <c r="P100" s="1"/>
      <c r="Q100" s="1"/>
      <c r="R100" s="1"/>
      <c r="S100" s="1"/>
    </row>
    <row r="101" spans="1:19" s="90" customFormat="1" ht="20.100000000000001" customHeight="1" x14ac:dyDescent="0.3">
      <c r="A101" s="1"/>
      <c r="B101" s="10"/>
      <c r="C101" s="13"/>
      <c r="D101" s="116"/>
      <c r="E101" s="141"/>
      <c r="F101" s="141"/>
      <c r="G101" s="1"/>
      <c r="I101" s="1"/>
      <c r="J101" s="1"/>
      <c r="K101" s="1"/>
      <c r="M101" s="1"/>
      <c r="N101" s="1"/>
      <c r="O101" s="1"/>
      <c r="P101" s="1"/>
      <c r="Q101" s="1"/>
      <c r="R101" s="1"/>
      <c r="S101" s="1"/>
    </row>
    <row r="102" spans="1:19" s="90" customFormat="1" ht="20.100000000000001" customHeight="1" x14ac:dyDescent="0.3">
      <c r="A102" s="1"/>
      <c r="B102" s="10"/>
      <c r="C102" s="13"/>
      <c r="D102" s="116"/>
      <c r="E102" s="141"/>
      <c r="F102" s="141"/>
      <c r="G102" s="1"/>
      <c r="I102" s="1"/>
      <c r="J102" s="1"/>
      <c r="K102" s="1"/>
      <c r="M102" s="1"/>
      <c r="N102" s="1"/>
      <c r="O102" s="1"/>
      <c r="P102" s="1"/>
      <c r="Q102" s="1"/>
      <c r="R102" s="1"/>
      <c r="S102" s="1"/>
    </row>
    <row r="103" spans="1:19" s="90" customFormat="1" ht="20.100000000000001" customHeight="1" x14ac:dyDescent="0.3">
      <c r="A103" s="1"/>
      <c r="B103" s="10"/>
      <c r="C103" s="13"/>
      <c r="D103" s="116"/>
      <c r="E103" s="141"/>
      <c r="F103" s="141"/>
      <c r="G103" s="11"/>
      <c r="I103" s="1"/>
      <c r="J103" s="1"/>
      <c r="K103" s="1"/>
      <c r="M103" s="1"/>
      <c r="N103" s="1"/>
      <c r="O103" s="1"/>
      <c r="P103" s="1"/>
      <c r="Q103" s="1"/>
      <c r="R103" s="1"/>
      <c r="S103" s="1"/>
    </row>
  </sheetData>
  <pageMargins left="0.7" right="0.7" top="0.75" bottom="0.75" header="0.3" footer="0.3"/>
  <pageSetup scale="92" fitToHeight="0"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CDB09-00C6-41DE-BC93-383556284614}">
  <sheetPr>
    <pageSetUpPr fitToPage="1"/>
  </sheetPr>
  <dimension ref="A1:S108"/>
  <sheetViews>
    <sheetView topLeftCell="A41" zoomScale="96" zoomScaleNormal="96" workbookViewId="0">
      <selection activeCell="A41" sqref="A41"/>
    </sheetView>
  </sheetViews>
  <sheetFormatPr defaultRowHeight="18.75" x14ac:dyDescent="0.3"/>
  <cols>
    <col min="1" max="1" width="20.7109375" style="1" customWidth="1"/>
    <col min="2" max="2" width="16.85546875" style="10" customWidth="1"/>
    <col min="3" max="3" width="25" style="13" bestFit="1" customWidth="1"/>
    <col min="4" max="4" width="25.140625" style="116" customWidth="1"/>
    <col min="5" max="5" width="9.7109375" style="141" customWidth="1"/>
    <col min="6" max="6" width="16.5703125" style="141" customWidth="1"/>
    <col min="7" max="7" width="35" style="1" bestFit="1" customWidth="1"/>
    <col min="8" max="8" width="5.5703125" style="90" bestFit="1" customWidth="1"/>
    <col min="9" max="11" width="9.140625" style="1"/>
    <col min="12" max="12" width="57.5703125" style="1" bestFit="1" customWidth="1"/>
    <col min="13" max="16384" width="9.140625" style="1"/>
  </cols>
  <sheetData>
    <row r="1" spans="1:19" s="11" customFormat="1" ht="20.100000000000001" customHeight="1" x14ac:dyDescent="0.25">
      <c r="A1" s="11" t="s">
        <v>1203</v>
      </c>
      <c r="B1" s="17"/>
      <c r="C1" s="13"/>
      <c r="D1" s="47"/>
      <c r="E1" s="141"/>
      <c r="H1" s="88"/>
    </row>
    <row r="2" spans="1:19" s="11" customFormat="1" ht="20.100000000000001" customHeight="1" x14ac:dyDescent="0.25">
      <c r="A2" s="14">
        <v>45716</v>
      </c>
      <c r="B2" s="17"/>
      <c r="C2" s="13"/>
      <c r="D2" s="47"/>
      <c r="E2" s="141"/>
      <c r="H2" s="88"/>
    </row>
    <row r="3" spans="1:19" s="11" customFormat="1" ht="20.100000000000001" customHeight="1" x14ac:dyDescent="0.25">
      <c r="A3" s="11" t="s">
        <v>311</v>
      </c>
      <c r="B3" s="17">
        <v>30608092.300000001</v>
      </c>
      <c r="C3" s="13"/>
      <c r="D3" s="47"/>
      <c r="E3" s="141"/>
      <c r="H3" s="88"/>
      <c r="M3" s="89"/>
    </row>
    <row r="4" spans="1:19" s="11" customFormat="1" ht="20.100000000000001" customHeight="1" x14ac:dyDescent="0.25">
      <c r="A4" s="11" t="s">
        <v>6</v>
      </c>
      <c r="B4" s="17"/>
      <c r="C4" s="13"/>
      <c r="D4" s="47"/>
      <c r="E4" s="141"/>
      <c r="H4" s="88"/>
      <c r="M4" s="89"/>
    </row>
    <row r="5" spans="1:19" s="11" customFormat="1" ht="20.100000000000001" customHeight="1" x14ac:dyDescent="0.25">
      <c r="A5" s="11">
        <v>2100</v>
      </c>
      <c r="B5" s="17">
        <v>-29283092.219999999</v>
      </c>
      <c r="C5" s="13"/>
      <c r="D5" s="47"/>
      <c r="E5" s="141"/>
      <c r="H5" s="88"/>
      <c r="M5" s="89"/>
    </row>
    <row r="6" spans="1:19" s="11" customFormat="1" ht="20.100000000000001" customHeight="1" x14ac:dyDescent="0.25">
      <c r="A6" s="11" t="s">
        <v>5</v>
      </c>
      <c r="B6" s="17">
        <f>SUM(B5)</f>
        <v>-29283092.219999999</v>
      </c>
      <c r="C6" s="13"/>
      <c r="D6" s="47"/>
      <c r="E6" s="141"/>
      <c r="H6" s="88"/>
      <c r="M6" s="89"/>
      <c r="O6" s="62"/>
      <c r="P6" s="62"/>
      <c r="Q6" s="62"/>
      <c r="R6" s="62"/>
      <c r="S6" s="62"/>
    </row>
    <row r="7" spans="1:19" s="11" customFormat="1" ht="20.100000000000001" customHeight="1" x14ac:dyDescent="0.25">
      <c r="A7" s="11" t="s">
        <v>4</v>
      </c>
      <c r="B7" s="17">
        <f>B6+B3</f>
        <v>1325000.0800000019</v>
      </c>
      <c r="C7" s="13"/>
      <c r="D7" s="47"/>
      <c r="E7" s="141"/>
      <c r="H7" s="88"/>
      <c r="M7" s="88"/>
    </row>
    <row r="8" spans="1:19" s="11" customFormat="1" ht="15.95" customHeight="1" x14ac:dyDescent="0.25">
      <c r="A8" s="11" t="s">
        <v>3</v>
      </c>
      <c r="B8" s="17"/>
      <c r="C8" s="44" t="s">
        <v>628</v>
      </c>
      <c r="D8" s="47" t="s">
        <v>626</v>
      </c>
      <c r="E8" s="141"/>
      <c r="H8" s="88"/>
      <c r="M8" s="88"/>
    </row>
    <row r="9" spans="1:19" s="11" customFormat="1" ht="15.75" x14ac:dyDescent="0.25">
      <c r="A9" s="77" t="s">
        <v>2647</v>
      </c>
      <c r="B9" s="98">
        <v>-27321</v>
      </c>
      <c r="C9" s="110" t="s">
        <v>2694</v>
      </c>
      <c r="D9" s="157" t="s">
        <v>2693</v>
      </c>
      <c r="E9" s="141"/>
      <c r="F9" s="141"/>
      <c r="G9" s="55"/>
      <c r="M9" s="88"/>
    </row>
    <row r="10" spans="1:19" s="11" customFormat="1" ht="15.75" x14ac:dyDescent="0.25">
      <c r="A10" s="77" t="s">
        <v>2654</v>
      </c>
      <c r="B10" s="98">
        <v>-28829</v>
      </c>
      <c r="C10" s="31" t="s">
        <v>2694</v>
      </c>
      <c r="D10" s="28" t="s">
        <v>2693</v>
      </c>
      <c r="E10" s="141"/>
      <c r="F10" s="141"/>
      <c r="G10" s="55"/>
      <c r="M10" s="88"/>
    </row>
    <row r="11" spans="1:19" s="11" customFormat="1" ht="15.75" x14ac:dyDescent="0.25">
      <c r="A11" s="77" t="s">
        <v>2655</v>
      </c>
      <c r="B11" s="98">
        <v>-28829</v>
      </c>
      <c r="C11" s="31" t="s">
        <v>2694</v>
      </c>
      <c r="D11" s="28" t="s">
        <v>2693</v>
      </c>
      <c r="E11" s="141"/>
      <c r="F11" s="141"/>
      <c r="G11" s="55"/>
      <c r="L11" s="11" t="s">
        <v>1437</v>
      </c>
      <c r="M11" s="88"/>
    </row>
    <row r="12" spans="1:19" s="11" customFormat="1" ht="15.75" x14ac:dyDescent="0.25">
      <c r="A12" s="77" t="s">
        <v>2656</v>
      </c>
      <c r="B12" s="98">
        <v>-28829</v>
      </c>
      <c r="C12" s="31" t="s">
        <v>2694</v>
      </c>
      <c r="D12" s="28" t="s">
        <v>2693</v>
      </c>
      <c r="E12" s="141"/>
      <c r="F12" s="141"/>
      <c r="G12" s="55"/>
      <c r="L12" s="11" t="s">
        <v>1438</v>
      </c>
      <c r="M12" s="88"/>
    </row>
    <row r="13" spans="1:19" s="11" customFormat="1" ht="15.75" x14ac:dyDescent="0.25">
      <c r="A13" s="77" t="s">
        <v>2657</v>
      </c>
      <c r="B13" s="98">
        <v>-28951</v>
      </c>
      <c r="C13" s="31" t="s">
        <v>2694</v>
      </c>
      <c r="D13" s="28" t="s">
        <v>2693</v>
      </c>
      <c r="E13" s="141"/>
      <c r="F13" s="141"/>
      <c r="G13" s="55"/>
      <c r="L13" s="11" t="s">
        <v>1439</v>
      </c>
      <c r="M13" s="88"/>
    </row>
    <row r="14" spans="1:19" s="11" customFormat="1" ht="15.75" x14ac:dyDescent="0.25">
      <c r="A14" s="77" t="s">
        <v>2659</v>
      </c>
      <c r="B14" s="98">
        <v>-31525</v>
      </c>
      <c r="C14" s="31" t="s">
        <v>2694</v>
      </c>
      <c r="D14" s="28" t="s">
        <v>2693</v>
      </c>
      <c r="E14" s="141"/>
      <c r="F14" s="141"/>
      <c r="G14" s="55"/>
      <c r="L14" s="11" t="s">
        <v>1440</v>
      </c>
      <c r="M14" s="88"/>
    </row>
    <row r="15" spans="1:19" s="11" customFormat="1" ht="15.75" x14ac:dyDescent="0.25">
      <c r="A15" s="77" t="s">
        <v>2660</v>
      </c>
      <c r="B15" s="98">
        <v>-35741</v>
      </c>
      <c r="C15" s="31" t="s">
        <v>2694</v>
      </c>
      <c r="D15" s="28" t="s">
        <v>2693</v>
      </c>
      <c r="E15" s="141"/>
      <c r="F15" s="141"/>
      <c r="G15" s="55"/>
      <c r="L15" s="11" t="s">
        <v>1441</v>
      </c>
      <c r="M15" s="88"/>
    </row>
    <row r="16" spans="1:19" s="11" customFormat="1" ht="15.75" x14ac:dyDescent="0.25">
      <c r="A16" s="77" t="s">
        <v>2437</v>
      </c>
      <c r="B16" s="98">
        <v>-35741</v>
      </c>
      <c r="C16" s="31" t="s">
        <v>2694</v>
      </c>
      <c r="D16" s="11" t="s">
        <v>2693</v>
      </c>
      <c r="E16" s="141"/>
      <c r="F16" s="141"/>
      <c r="G16" s="55"/>
      <c r="L16" s="11" t="s">
        <v>1442</v>
      </c>
      <c r="M16" s="88"/>
    </row>
    <row r="17" spans="1:13" s="11" customFormat="1" ht="15.75" x14ac:dyDescent="0.25">
      <c r="A17" s="77" t="s">
        <v>2673</v>
      </c>
      <c r="B17" s="98">
        <v>-35741</v>
      </c>
      <c r="C17" s="31" t="s">
        <v>2694</v>
      </c>
      <c r="D17" s="11" t="s">
        <v>2693</v>
      </c>
      <c r="E17" s="141"/>
      <c r="F17" s="141"/>
      <c r="G17" s="55"/>
      <c r="L17" s="11" t="s">
        <v>1443</v>
      </c>
      <c r="M17" s="88"/>
    </row>
    <row r="18" spans="1:13" s="11" customFormat="1" ht="15.75" x14ac:dyDescent="0.25">
      <c r="A18" s="77" t="s">
        <v>2568</v>
      </c>
      <c r="B18" s="98">
        <v>-36255</v>
      </c>
      <c r="C18" s="31" t="s">
        <v>2662</v>
      </c>
      <c r="D18" s="28" t="s">
        <v>2663</v>
      </c>
      <c r="E18" s="141"/>
      <c r="F18" s="141"/>
      <c r="G18" s="55"/>
      <c r="L18" s="11" t="s">
        <v>1444</v>
      </c>
      <c r="M18" s="88"/>
    </row>
    <row r="19" spans="1:13" s="11" customFormat="1" ht="15.75" x14ac:dyDescent="0.25">
      <c r="A19" s="77" t="s">
        <v>2661</v>
      </c>
      <c r="B19" s="98">
        <v>-37296</v>
      </c>
      <c r="C19" s="31" t="s">
        <v>2694</v>
      </c>
      <c r="D19" s="28" t="s">
        <v>2693</v>
      </c>
      <c r="E19" s="141"/>
      <c r="F19" s="141"/>
      <c r="G19" s="55"/>
      <c r="L19" s="11" t="s">
        <v>1445</v>
      </c>
      <c r="M19" s="88"/>
    </row>
    <row r="20" spans="1:13" s="11" customFormat="1" ht="15.75" x14ac:dyDescent="0.25">
      <c r="A20" s="77"/>
      <c r="B20" s="98"/>
      <c r="C20" s="31"/>
      <c r="D20" s="28"/>
      <c r="E20" s="141"/>
      <c r="F20" s="141"/>
      <c r="G20" s="55"/>
      <c r="L20" s="11" t="s">
        <v>1446</v>
      </c>
      <c r="M20" s="88"/>
    </row>
    <row r="21" spans="1:13" s="11" customFormat="1" ht="15.75" x14ac:dyDescent="0.25">
      <c r="B21" s="25">
        <f>SUM(B9:B20)</f>
        <v>-355058</v>
      </c>
      <c r="C21" s="28"/>
      <c r="D21" s="28"/>
      <c r="E21" s="141"/>
      <c r="F21" s="141"/>
      <c r="G21" s="55"/>
      <c r="L21" s="11" t="s">
        <v>1447</v>
      </c>
    </row>
    <row r="22" spans="1:13" s="11" customFormat="1" ht="16.5" customHeight="1" x14ac:dyDescent="0.25">
      <c r="A22" s="11" t="s">
        <v>2</v>
      </c>
      <c r="B22" s="25"/>
      <c r="C22" s="52" t="s">
        <v>626</v>
      </c>
      <c r="D22" s="158" t="s">
        <v>628</v>
      </c>
      <c r="E22" s="141"/>
      <c r="F22" s="141"/>
      <c r="G22" s="55"/>
      <c r="L22" s="11" t="s">
        <v>1448</v>
      </c>
    </row>
    <row r="23" spans="1:13" s="11" customFormat="1" ht="16.5" customHeight="1" x14ac:dyDescent="0.25">
      <c r="A23" s="11" t="s">
        <v>2664</v>
      </c>
      <c r="B23" s="119">
        <v>25970</v>
      </c>
      <c r="C23" s="28" t="s">
        <v>2693</v>
      </c>
      <c r="D23" s="64" t="s">
        <v>2694</v>
      </c>
      <c r="E23" s="141"/>
      <c r="F23" s="141"/>
      <c r="G23" s="55"/>
      <c r="L23" s="11" t="s">
        <v>1449</v>
      </c>
    </row>
    <row r="24" spans="1:13" s="11" customFormat="1" ht="16.5" customHeight="1" x14ac:dyDescent="0.25">
      <c r="A24" s="11" t="s">
        <v>2665</v>
      </c>
      <c r="B24" s="119">
        <v>27410</v>
      </c>
      <c r="C24" s="28" t="s">
        <v>2693</v>
      </c>
      <c r="D24" s="65" t="s">
        <v>2694</v>
      </c>
      <c r="E24" s="141"/>
      <c r="F24" s="141"/>
      <c r="G24" s="55"/>
      <c r="L24" s="11" t="s">
        <v>1450</v>
      </c>
    </row>
    <row r="25" spans="1:13" s="11" customFormat="1" ht="16.5" customHeight="1" x14ac:dyDescent="0.25">
      <c r="A25" s="11" t="s">
        <v>2666</v>
      </c>
      <c r="B25" s="119">
        <v>27410</v>
      </c>
      <c r="C25" s="28" t="s">
        <v>2693</v>
      </c>
      <c r="D25" s="65" t="s">
        <v>2694</v>
      </c>
      <c r="E25" s="141"/>
      <c r="F25" s="141"/>
      <c r="G25" s="55"/>
      <c r="L25" s="11" t="s">
        <v>1451</v>
      </c>
    </row>
    <row r="26" spans="1:13" s="11" customFormat="1" ht="16.5" customHeight="1" x14ac:dyDescent="0.25">
      <c r="A26" s="11" t="s">
        <v>2667</v>
      </c>
      <c r="B26" s="119">
        <v>27410</v>
      </c>
      <c r="C26" s="28" t="s">
        <v>2693</v>
      </c>
      <c r="D26" s="65" t="s">
        <v>2694</v>
      </c>
      <c r="E26" s="141"/>
      <c r="F26" s="141"/>
      <c r="G26" s="55"/>
      <c r="L26" s="11" t="s">
        <v>1452</v>
      </c>
      <c r="M26" s="88"/>
    </row>
    <row r="27" spans="1:13" s="11" customFormat="1" ht="16.5" customHeight="1" x14ac:dyDescent="0.25">
      <c r="A27" s="11" t="s">
        <v>2648</v>
      </c>
      <c r="B27" s="119">
        <v>27502.9</v>
      </c>
      <c r="C27" s="28">
        <v>45716</v>
      </c>
      <c r="D27" s="159">
        <v>4150</v>
      </c>
      <c r="E27" s="141"/>
      <c r="F27" s="141"/>
      <c r="G27" s="55"/>
      <c r="L27" s="11" t="s">
        <v>1453</v>
      </c>
    </row>
    <row r="28" spans="1:13" s="11" customFormat="1" ht="16.5" customHeight="1" x14ac:dyDescent="0.25">
      <c r="A28" s="11" t="s">
        <v>2674</v>
      </c>
      <c r="B28" s="119">
        <v>27502.9</v>
      </c>
      <c r="C28" s="28">
        <v>45709</v>
      </c>
      <c r="D28" s="83">
        <v>45721</v>
      </c>
      <c r="E28" s="141"/>
      <c r="F28" s="141"/>
      <c r="G28" s="55"/>
      <c r="L28" s="11" t="s">
        <v>1436</v>
      </c>
    </row>
    <row r="29" spans="1:13" s="11" customFormat="1" ht="16.5" customHeight="1" x14ac:dyDescent="0.25">
      <c r="A29" s="11" t="s">
        <v>2668</v>
      </c>
      <c r="B29" s="119">
        <v>27696</v>
      </c>
      <c r="C29" s="11" t="s">
        <v>2693</v>
      </c>
      <c r="D29" s="65" t="s">
        <v>2694</v>
      </c>
      <c r="E29" s="141"/>
      <c r="F29" s="141"/>
      <c r="G29" s="55"/>
      <c r="L29" s="11" t="s">
        <v>1454</v>
      </c>
    </row>
    <row r="30" spans="1:13" s="11" customFormat="1" ht="16.5" customHeight="1" x14ac:dyDescent="0.25">
      <c r="A30" s="11" t="s">
        <v>2649</v>
      </c>
      <c r="B30" s="119">
        <v>27963.25</v>
      </c>
      <c r="C30" s="28">
        <v>45716</v>
      </c>
      <c r="D30" s="159">
        <v>4150</v>
      </c>
      <c r="E30" s="141"/>
      <c r="F30" s="141"/>
      <c r="G30" s="55"/>
      <c r="L30" s="11" t="s">
        <v>1455</v>
      </c>
    </row>
    <row r="31" spans="1:13" s="11" customFormat="1" ht="16.5" customHeight="1" x14ac:dyDescent="0.25">
      <c r="A31" s="11" t="s">
        <v>2675</v>
      </c>
      <c r="B31" s="119">
        <v>27963.25</v>
      </c>
      <c r="C31" s="28">
        <v>45709</v>
      </c>
      <c r="D31" s="83">
        <v>45720</v>
      </c>
      <c r="E31" s="141"/>
      <c r="F31" s="141"/>
      <c r="G31" s="55"/>
      <c r="L31" s="11" t="s">
        <v>1456</v>
      </c>
    </row>
    <row r="32" spans="1:13" s="11" customFormat="1" ht="16.5" customHeight="1" x14ac:dyDescent="0.25">
      <c r="A32" s="11" t="s">
        <v>2650</v>
      </c>
      <c r="B32" s="119">
        <v>28020.76</v>
      </c>
      <c r="C32" s="28">
        <v>45715</v>
      </c>
      <c r="D32" s="159">
        <v>4200</v>
      </c>
      <c r="E32" s="141"/>
      <c r="F32" s="141"/>
      <c r="G32" s="55"/>
      <c r="L32" s="11" t="s">
        <v>1457</v>
      </c>
    </row>
    <row r="33" spans="1:12" s="11" customFormat="1" ht="16.5" customHeight="1" x14ac:dyDescent="0.25">
      <c r="A33" s="11" t="s">
        <v>2677</v>
      </c>
      <c r="B33" s="119">
        <v>28020.76</v>
      </c>
      <c r="C33" s="28">
        <v>45694</v>
      </c>
      <c r="D33" s="86">
        <v>45727</v>
      </c>
      <c r="E33" s="141"/>
      <c r="F33" s="141"/>
      <c r="G33" s="55"/>
      <c r="L33" s="11" t="s">
        <v>2506</v>
      </c>
    </row>
    <row r="34" spans="1:12" s="11" customFormat="1" ht="16.5" customHeight="1" x14ac:dyDescent="0.25">
      <c r="A34" s="11" t="s">
        <v>2678</v>
      </c>
      <c r="B34" s="119">
        <v>28481.11</v>
      </c>
      <c r="C34" s="28">
        <v>45698</v>
      </c>
      <c r="D34" s="159">
        <v>4800</v>
      </c>
      <c r="E34" s="141"/>
      <c r="F34" s="141"/>
      <c r="G34" s="55"/>
      <c r="L34" s="11" t="s">
        <v>1458</v>
      </c>
    </row>
    <row r="35" spans="1:12" s="11" customFormat="1" ht="16.5" customHeight="1" x14ac:dyDescent="0.25">
      <c r="A35" s="11" t="s">
        <v>2651</v>
      </c>
      <c r="B35" s="119">
        <v>28481.11</v>
      </c>
      <c r="C35" s="84">
        <v>45694</v>
      </c>
      <c r="D35" s="159">
        <v>4150</v>
      </c>
      <c r="E35" s="141"/>
      <c r="F35" s="141"/>
      <c r="G35" s="55"/>
      <c r="L35" s="11" t="s">
        <v>1368</v>
      </c>
    </row>
    <row r="36" spans="1:12" s="11" customFormat="1" ht="16.5" customHeight="1" x14ac:dyDescent="0.25">
      <c r="A36" s="11" t="s">
        <v>2652</v>
      </c>
      <c r="B36" s="119">
        <v>28481.11</v>
      </c>
      <c r="C36" s="28">
        <v>45715</v>
      </c>
      <c r="D36" s="159">
        <v>4200</v>
      </c>
      <c r="E36" s="141"/>
      <c r="F36" s="141"/>
      <c r="G36" s="55"/>
      <c r="L36" s="11" t="s">
        <v>1459</v>
      </c>
    </row>
    <row r="37" spans="1:12" s="11" customFormat="1" ht="16.5" customHeight="1" x14ac:dyDescent="0.25">
      <c r="A37" s="11" t="s">
        <v>2653</v>
      </c>
      <c r="B37" s="119">
        <v>28481.11</v>
      </c>
      <c r="C37" s="84">
        <v>45716</v>
      </c>
      <c r="D37" s="159">
        <v>4200</v>
      </c>
      <c r="E37" s="141"/>
      <c r="F37" s="141"/>
      <c r="G37" s="55"/>
      <c r="L37" s="11" t="s">
        <v>1369</v>
      </c>
    </row>
    <row r="38" spans="1:12" s="11" customFormat="1" ht="16.5" customHeight="1" x14ac:dyDescent="0.25">
      <c r="A38" s="11" t="s">
        <v>2692</v>
      </c>
      <c r="B38" s="119">
        <v>28481.11</v>
      </c>
      <c r="C38" s="84">
        <v>45715</v>
      </c>
      <c r="D38" s="159">
        <v>4200</v>
      </c>
      <c r="E38" s="141"/>
      <c r="F38" s="141"/>
      <c r="G38" s="55"/>
      <c r="L38" s="11" t="s">
        <v>1460</v>
      </c>
    </row>
    <row r="39" spans="1:12" s="11" customFormat="1" ht="16.5" customHeight="1" x14ac:dyDescent="0.25">
      <c r="A39" s="11" t="s">
        <v>2658</v>
      </c>
      <c r="B39" s="119">
        <v>29406.46</v>
      </c>
      <c r="C39" s="84">
        <v>45715</v>
      </c>
      <c r="D39" s="159">
        <v>4150</v>
      </c>
      <c r="E39" s="141"/>
      <c r="F39" s="141"/>
      <c r="G39" s="55"/>
    </row>
    <row r="40" spans="1:12" s="11" customFormat="1" ht="16.5" customHeight="1" x14ac:dyDescent="0.25">
      <c r="A40" s="11" t="s">
        <v>2669</v>
      </c>
      <c r="B40" s="119">
        <v>30006</v>
      </c>
      <c r="C40" s="28" t="s">
        <v>2693</v>
      </c>
      <c r="D40" s="65" t="s">
        <v>2694</v>
      </c>
      <c r="E40" s="141"/>
      <c r="F40" s="141"/>
      <c r="G40" s="55"/>
    </row>
    <row r="41" spans="1:12" s="11" customFormat="1" ht="16.5" customHeight="1" x14ac:dyDescent="0.25">
      <c r="A41" s="11" t="s">
        <v>2670</v>
      </c>
      <c r="B41" s="119">
        <v>34011</v>
      </c>
      <c r="C41" s="28" t="s">
        <v>2693</v>
      </c>
      <c r="D41" s="65" t="s">
        <v>2694</v>
      </c>
      <c r="E41" s="141"/>
      <c r="F41" s="141"/>
      <c r="G41" s="55"/>
    </row>
    <row r="42" spans="1:12" s="11" customFormat="1" ht="16.5" customHeight="1" x14ac:dyDescent="0.25">
      <c r="A42" s="11" t="s">
        <v>2671</v>
      </c>
      <c r="B42" s="119">
        <v>34011</v>
      </c>
      <c r="C42" s="28" t="s">
        <v>2693</v>
      </c>
      <c r="D42" s="65" t="s">
        <v>2694</v>
      </c>
      <c r="E42" s="141"/>
      <c r="F42" s="141"/>
      <c r="G42" s="55"/>
    </row>
    <row r="43" spans="1:12" s="11" customFormat="1" ht="16.5" customHeight="1" x14ac:dyDescent="0.25">
      <c r="A43" s="11" t="s">
        <v>2672</v>
      </c>
      <c r="B43" s="119">
        <v>34011</v>
      </c>
      <c r="C43" s="28" t="s">
        <v>2693</v>
      </c>
      <c r="D43" s="65" t="s">
        <v>2694</v>
      </c>
      <c r="E43" s="141"/>
      <c r="F43" s="141"/>
      <c r="G43" s="55"/>
    </row>
    <row r="44" spans="1:12" s="11" customFormat="1" ht="16.5" customHeight="1" x14ac:dyDescent="0.25">
      <c r="A44" s="11" t="s">
        <v>2676</v>
      </c>
      <c r="B44" s="119">
        <v>35496</v>
      </c>
      <c r="C44" s="51" t="s">
        <v>2693</v>
      </c>
      <c r="D44" s="65" t="s">
        <v>2694</v>
      </c>
      <c r="E44" s="141"/>
      <c r="F44" s="141"/>
      <c r="G44" s="55"/>
    </row>
    <row r="45" spans="1:12" s="11" customFormat="1" ht="16.5" customHeight="1" x14ac:dyDescent="0.25">
      <c r="A45" s="11" t="s">
        <v>2695</v>
      </c>
      <c r="B45" s="119">
        <v>42387.8</v>
      </c>
      <c r="C45" s="28">
        <v>45590</v>
      </c>
      <c r="D45" s="83">
        <v>45728</v>
      </c>
      <c r="E45" s="141"/>
      <c r="F45" s="141"/>
      <c r="G45" s="55"/>
    </row>
    <row r="46" spans="1:12" s="11" customFormat="1" ht="16.5" customHeight="1" x14ac:dyDescent="0.25">
      <c r="A46" s="11" t="s">
        <v>2696</v>
      </c>
      <c r="B46" s="119">
        <v>42387.8</v>
      </c>
      <c r="C46" s="84">
        <v>45593</v>
      </c>
      <c r="D46" s="83">
        <v>45728</v>
      </c>
      <c r="E46" s="141"/>
      <c r="F46" s="141"/>
      <c r="G46" s="55"/>
    </row>
    <row r="47" spans="1:12" s="11" customFormat="1" ht="16.5" customHeight="1" x14ac:dyDescent="0.25">
      <c r="A47" s="11" t="s">
        <v>2697</v>
      </c>
      <c r="B47" s="119">
        <v>42387.8</v>
      </c>
      <c r="C47" s="84">
        <v>45602</v>
      </c>
      <c r="D47" s="83">
        <v>45728</v>
      </c>
      <c r="E47" s="141"/>
      <c r="F47" s="141"/>
      <c r="G47" s="55"/>
    </row>
    <row r="48" spans="1:12" s="11" customFormat="1" ht="16.5" customHeight="1" x14ac:dyDescent="0.25">
      <c r="A48" s="11" t="s">
        <v>2698</v>
      </c>
      <c r="B48" s="119">
        <v>42387.8</v>
      </c>
      <c r="C48" s="84">
        <v>45590</v>
      </c>
      <c r="D48" s="83">
        <v>45728</v>
      </c>
      <c r="E48" s="141"/>
      <c r="F48" s="141"/>
      <c r="G48" s="55"/>
    </row>
    <row r="49" spans="1:13" s="11" customFormat="1" ht="16.5" customHeight="1" x14ac:dyDescent="0.25">
      <c r="A49" s="11" t="s">
        <v>2679</v>
      </c>
      <c r="B49" s="119">
        <v>47506.400000000001</v>
      </c>
      <c r="C49" s="84">
        <v>45713</v>
      </c>
      <c r="D49" s="86">
        <v>45720</v>
      </c>
      <c r="E49" s="141"/>
      <c r="F49" s="141"/>
      <c r="G49" s="55"/>
    </row>
    <row r="50" spans="1:13" s="11" customFormat="1" ht="16.5" customHeight="1" x14ac:dyDescent="0.25">
      <c r="A50" s="11" t="s">
        <v>2680</v>
      </c>
      <c r="B50" s="119">
        <v>50790.6</v>
      </c>
      <c r="C50" s="84">
        <v>45713</v>
      </c>
      <c r="D50" s="86">
        <v>45720</v>
      </c>
      <c r="E50" s="141"/>
      <c r="F50" s="141"/>
      <c r="G50" s="55"/>
    </row>
    <row r="51" spans="1:13" s="11" customFormat="1" ht="16.5" customHeight="1" x14ac:dyDescent="0.25">
      <c r="A51" s="11" t="s">
        <v>2681</v>
      </c>
      <c r="B51" s="119">
        <v>51250.95</v>
      </c>
      <c r="C51" s="84">
        <v>45712</v>
      </c>
      <c r="D51" s="86">
        <v>45720</v>
      </c>
      <c r="E51" s="141"/>
      <c r="F51" s="141"/>
      <c r="G51" s="55"/>
    </row>
    <row r="52" spans="1:13" s="11" customFormat="1" ht="16.5" customHeight="1" x14ac:dyDescent="0.25">
      <c r="A52" s="11" t="s">
        <v>2682</v>
      </c>
      <c r="B52" s="119">
        <v>51250.95</v>
      </c>
      <c r="C52" s="84">
        <v>45712</v>
      </c>
      <c r="D52" s="86">
        <v>45720</v>
      </c>
      <c r="E52" s="141"/>
      <c r="F52" s="141"/>
      <c r="G52" s="55"/>
    </row>
    <row r="53" spans="1:13" s="11" customFormat="1" ht="16.5" customHeight="1" x14ac:dyDescent="0.25">
      <c r="A53" s="11" t="s">
        <v>2186</v>
      </c>
      <c r="B53" s="119">
        <v>52483</v>
      </c>
      <c r="C53" s="84">
        <v>45419</v>
      </c>
      <c r="D53" s="65" t="s">
        <v>2699</v>
      </c>
      <c r="E53" s="141"/>
      <c r="F53" s="141"/>
      <c r="G53" s="55"/>
    </row>
    <row r="54" spans="1:13" s="11" customFormat="1" ht="16.5" customHeight="1" x14ac:dyDescent="0.25">
      <c r="A54" s="11" t="s">
        <v>2683</v>
      </c>
      <c r="B54" s="119">
        <v>54990.85</v>
      </c>
      <c r="C54" s="84">
        <v>45709</v>
      </c>
      <c r="D54" s="86">
        <v>45727</v>
      </c>
      <c r="E54" s="141"/>
      <c r="F54" s="141"/>
      <c r="G54" s="55"/>
    </row>
    <row r="55" spans="1:13" s="11" customFormat="1" ht="16.5" customHeight="1" x14ac:dyDescent="0.25">
      <c r="A55" s="11" t="s">
        <v>2684</v>
      </c>
      <c r="B55" s="119">
        <v>60721.85</v>
      </c>
      <c r="C55" s="84">
        <v>45716</v>
      </c>
      <c r="D55" s="86">
        <v>45722</v>
      </c>
      <c r="E55" s="141"/>
      <c r="F55" s="141"/>
      <c r="G55" s="55"/>
    </row>
    <row r="56" spans="1:13" s="11" customFormat="1" ht="16.5" customHeight="1" x14ac:dyDescent="0.25">
      <c r="A56" s="11" t="s">
        <v>2685</v>
      </c>
      <c r="B56" s="119">
        <v>60721.85</v>
      </c>
      <c r="C56" s="84">
        <v>45716</v>
      </c>
      <c r="D56" s="86">
        <v>45721</v>
      </c>
      <c r="E56" s="141"/>
      <c r="F56" s="141"/>
      <c r="G56" s="55"/>
    </row>
    <row r="57" spans="1:13" s="11" customFormat="1" ht="16.5" customHeight="1" x14ac:dyDescent="0.25">
      <c r="A57" s="11" t="s">
        <v>2686</v>
      </c>
      <c r="B57" s="119">
        <v>61279.85</v>
      </c>
      <c r="C57" s="84">
        <v>45716</v>
      </c>
      <c r="D57" s="86">
        <v>45721</v>
      </c>
      <c r="E57" s="141"/>
      <c r="F57" s="141"/>
      <c r="G57" s="55"/>
    </row>
    <row r="58" spans="1:13" s="11" customFormat="1" ht="16.5" customHeight="1" x14ac:dyDescent="0.25">
      <c r="A58" s="11" t="s">
        <v>2687</v>
      </c>
      <c r="B58" s="119">
        <v>61279.85</v>
      </c>
      <c r="C58" s="84">
        <v>45716</v>
      </c>
      <c r="D58" s="86">
        <v>45727</v>
      </c>
      <c r="E58" s="141"/>
      <c r="F58" s="141"/>
      <c r="G58" s="55"/>
    </row>
    <row r="59" spans="1:13" s="11" customFormat="1" ht="16.5" customHeight="1" x14ac:dyDescent="0.25">
      <c r="A59" s="11" t="s">
        <v>2688</v>
      </c>
      <c r="B59" s="119">
        <v>61980.4</v>
      </c>
      <c r="C59" s="84">
        <v>45566</v>
      </c>
      <c r="D59" s="86">
        <v>45727</v>
      </c>
      <c r="E59" s="141"/>
      <c r="F59" s="141"/>
      <c r="G59" s="55"/>
    </row>
    <row r="60" spans="1:13" s="11" customFormat="1" ht="16.5" customHeight="1" x14ac:dyDescent="0.25">
      <c r="A60" s="11" t="s">
        <v>2689</v>
      </c>
      <c r="B60" s="119">
        <v>76879.8</v>
      </c>
      <c r="C60" s="84">
        <v>45702</v>
      </c>
      <c r="D60" s="86">
        <v>45721</v>
      </c>
      <c r="E60" s="141"/>
      <c r="F60" s="141"/>
      <c r="G60" s="55"/>
    </row>
    <row r="61" spans="1:13" s="11" customFormat="1" ht="16.5" customHeight="1" x14ac:dyDescent="0.25">
      <c r="A61" s="11" t="s">
        <v>2690</v>
      </c>
      <c r="B61" s="119">
        <v>88297.85</v>
      </c>
      <c r="C61" s="84">
        <v>45706</v>
      </c>
      <c r="D61" s="86">
        <v>45720</v>
      </c>
      <c r="E61" s="141"/>
      <c r="F61" s="141"/>
      <c r="G61" s="55"/>
    </row>
    <row r="62" spans="1:13" s="11" customFormat="1" ht="16.5" customHeight="1" x14ac:dyDescent="0.25">
      <c r="A62" s="11" t="s">
        <v>2691</v>
      </c>
      <c r="B62" s="119">
        <v>88855.85</v>
      </c>
      <c r="C62" s="84">
        <v>45706</v>
      </c>
      <c r="D62" s="86">
        <v>45720</v>
      </c>
      <c r="E62" s="141"/>
      <c r="F62" s="141"/>
      <c r="G62" s="55"/>
    </row>
    <row r="63" spans="1:13" s="11" customFormat="1" ht="16.5" customHeight="1" thickBot="1" x14ac:dyDescent="0.3">
      <c r="B63" s="119"/>
      <c r="C63" s="150"/>
      <c r="D63" s="145"/>
      <c r="E63" s="141"/>
      <c r="F63" s="141"/>
      <c r="G63" s="55"/>
      <c r="M63" s="88"/>
    </row>
    <row r="64" spans="1:13" s="11" customFormat="1" ht="15.75" x14ac:dyDescent="0.25">
      <c r="B64" s="25">
        <f>SUM(B23:B63)</f>
        <v>1680058.0800000008</v>
      </c>
      <c r="C64" s="147" t="s">
        <v>1459</v>
      </c>
      <c r="D64" s="148"/>
      <c r="E64" s="141"/>
      <c r="F64" s="141"/>
      <c r="G64" s="55"/>
    </row>
    <row r="65" spans="1:7" s="11" customFormat="1" ht="16.5" thickBot="1" x14ac:dyDescent="0.3">
      <c r="A65" s="11" t="s">
        <v>1</v>
      </c>
      <c r="B65" s="17">
        <f>B64+B21</f>
        <v>1325000.0800000008</v>
      </c>
      <c r="C65" s="146" t="s">
        <v>1369</v>
      </c>
      <c r="D65" s="149"/>
      <c r="E65" s="141"/>
      <c r="F65" s="141"/>
      <c r="G65" s="55"/>
    </row>
    <row r="66" spans="1:7" s="11" customFormat="1" ht="15.75" x14ac:dyDescent="0.25">
      <c r="A66" s="11" t="s">
        <v>0</v>
      </c>
      <c r="B66" s="17">
        <f>B65-B7</f>
        <v>0</v>
      </c>
      <c r="E66" s="141"/>
      <c r="F66" s="141"/>
      <c r="G66" s="55"/>
    </row>
    <row r="67" spans="1:7" s="11" customFormat="1" ht="15.75" x14ac:dyDescent="0.25">
      <c r="E67" s="141"/>
      <c r="F67" s="141"/>
      <c r="G67" s="55"/>
    </row>
    <row r="68" spans="1:7" s="11" customFormat="1" ht="15.75" x14ac:dyDescent="0.25">
      <c r="E68" s="141"/>
      <c r="F68" s="141"/>
      <c r="G68" s="55"/>
    </row>
    <row r="69" spans="1:7" s="11" customFormat="1" ht="15.75" x14ac:dyDescent="0.25">
      <c r="E69" s="141"/>
      <c r="F69" s="141"/>
      <c r="G69" s="55"/>
    </row>
    <row r="70" spans="1:7" s="11" customFormat="1" ht="15.75" x14ac:dyDescent="0.25">
      <c r="E70" s="141"/>
      <c r="F70" s="141"/>
      <c r="G70" s="55"/>
    </row>
    <row r="71" spans="1:7" s="11" customFormat="1" ht="15.75" x14ac:dyDescent="0.25">
      <c r="E71" s="141"/>
      <c r="F71" s="141"/>
      <c r="G71" s="55"/>
    </row>
    <row r="72" spans="1:7" s="11" customFormat="1" ht="15.75" x14ac:dyDescent="0.25">
      <c r="E72" s="141"/>
      <c r="F72" s="141"/>
      <c r="G72" s="55"/>
    </row>
    <row r="73" spans="1:7" s="11" customFormat="1" ht="15.75" x14ac:dyDescent="0.25">
      <c r="E73" s="141"/>
      <c r="F73" s="141"/>
      <c r="G73" s="55"/>
    </row>
    <row r="74" spans="1:7" s="11" customFormat="1" ht="15.75" x14ac:dyDescent="0.25">
      <c r="E74" s="141"/>
      <c r="F74" s="141"/>
      <c r="G74" s="55"/>
    </row>
    <row r="75" spans="1:7" s="11" customFormat="1" ht="15.75" x14ac:dyDescent="0.25">
      <c r="E75" s="141"/>
      <c r="F75" s="141"/>
      <c r="G75" s="55"/>
    </row>
    <row r="76" spans="1:7" s="11" customFormat="1" ht="15.75" x14ac:dyDescent="0.25">
      <c r="E76" s="141"/>
      <c r="F76" s="141"/>
      <c r="G76" s="55"/>
    </row>
    <row r="77" spans="1:7" s="11" customFormat="1" ht="15.75" x14ac:dyDescent="0.25">
      <c r="E77" s="141"/>
      <c r="F77" s="141"/>
      <c r="G77" s="55"/>
    </row>
    <row r="78" spans="1:7" s="11" customFormat="1" ht="15.75" x14ac:dyDescent="0.25">
      <c r="E78" s="141"/>
      <c r="F78" s="141"/>
      <c r="G78" s="55"/>
    </row>
    <row r="79" spans="1:7" s="11" customFormat="1" ht="15.95" customHeight="1" x14ac:dyDescent="0.25">
      <c r="E79" s="141"/>
      <c r="F79" s="141"/>
    </row>
    <row r="80" spans="1:7" s="11" customFormat="1" ht="15.95" customHeight="1" x14ac:dyDescent="0.25">
      <c r="E80" s="141"/>
      <c r="F80" s="141"/>
    </row>
    <row r="81" spans="1:8" s="11" customFormat="1" ht="15.95" customHeight="1" x14ac:dyDescent="0.25">
      <c r="E81" s="141"/>
      <c r="F81" s="141"/>
    </row>
    <row r="82" spans="1:8" s="11" customFormat="1" ht="15.95" customHeight="1" x14ac:dyDescent="0.25">
      <c r="E82" s="141"/>
      <c r="F82" s="141"/>
    </row>
    <row r="83" spans="1:8" s="11" customFormat="1" ht="15.95" customHeight="1" x14ac:dyDescent="0.25">
      <c r="E83" s="141"/>
      <c r="F83" s="141"/>
    </row>
    <row r="84" spans="1:8" s="11" customFormat="1" ht="15.95" customHeight="1" x14ac:dyDescent="0.25">
      <c r="B84" s="17"/>
      <c r="E84" s="141"/>
      <c r="F84" s="141"/>
    </row>
    <row r="85" spans="1:8" s="11" customFormat="1" ht="15.95" customHeight="1" x14ac:dyDescent="0.25">
      <c r="A85" s="39"/>
      <c r="B85" s="93"/>
      <c r="C85" s="18"/>
      <c r="D85" s="18"/>
      <c r="E85" s="141"/>
      <c r="F85" s="141"/>
    </row>
    <row r="86" spans="1:8" s="11" customFormat="1" ht="15.95" customHeight="1" x14ac:dyDescent="0.3">
      <c r="A86" s="1"/>
      <c r="B86" s="10"/>
      <c r="C86" s="13"/>
      <c r="D86" s="47"/>
      <c r="E86" s="141"/>
      <c r="F86" s="141"/>
    </row>
    <row r="87" spans="1:8" s="11" customFormat="1" ht="15.95" customHeight="1" x14ac:dyDescent="0.3">
      <c r="A87" s="1"/>
      <c r="B87" s="10"/>
      <c r="C87" s="13"/>
      <c r="D87" s="47"/>
      <c r="E87" s="141"/>
      <c r="F87" s="141"/>
    </row>
    <row r="88" spans="1:8" s="11" customFormat="1" ht="15.95" customHeight="1" x14ac:dyDescent="0.3">
      <c r="A88" s="1"/>
      <c r="B88" s="10"/>
      <c r="C88" s="13"/>
      <c r="D88" s="47"/>
      <c r="E88" s="141"/>
      <c r="F88" s="141"/>
    </row>
    <row r="89" spans="1:8" s="11" customFormat="1" ht="15.95" customHeight="1" x14ac:dyDescent="0.25">
      <c r="E89" s="141"/>
      <c r="F89" s="141"/>
    </row>
    <row r="90" spans="1:8" s="11" customFormat="1" ht="15.95" customHeight="1" x14ac:dyDescent="0.25">
      <c r="E90" s="141"/>
      <c r="F90" s="141"/>
    </row>
    <row r="91" spans="1:8" s="11" customFormat="1" ht="15.95" customHeight="1" x14ac:dyDescent="0.25">
      <c r="E91" s="141"/>
      <c r="F91" s="141"/>
    </row>
    <row r="92" spans="1:8" s="11" customFormat="1" ht="15.95" customHeight="1" x14ac:dyDescent="0.25">
      <c r="E92" s="141"/>
      <c r="F92" s="141"/>
    </row>
    <row r="93" spans="1:8" s="11" customFormat="1" ht="15.95" customHeight="1" x14ac:dyDescent="0.25">
      <c r="E93" s="141"/>
      <c r="F93" s="141"/>
    </row>
    <row r="94" spans="1:8" s="11" customFormat="1" ht="15.95" customHeight="1" x14ac:dyDescent="0.25">
      <c r="E94" s="141"/>
      <c r="F94" s="141"/>
      <c r="H94" s="88"/>
    </row>
    <row r="95" spans="1:8" s="11" customFormat="1" ht="15.95" customHeight="1" x14ac:dyDescent="0.25">
      <c r="E95" s="141"/>
      <c r="F95" s="141"/>
      <c r="H95" s="88"/>
    </row>
    <row r="96" spans="1:8" s="11" customFormat="1" ht="15.95" customHeight="1" x14ac:dyDescent="0.25">
      <c r="E96" s="141"/>
      <c r="F96" s="141"/>
      <c r="G96" s="126"/>
      <c r="H96" s="88"/>
    </row>
    <row r="97" spans="1:19" s="11" customFormat="1" ht="15.95" customHeight="1" x14ac:dyDescent="0.25">
      <c r="E97" s="141"/>
      <c r="F97" s="141"/>
      <c r="H97" s="88"/>
    </row>
    <row r="98" spans="1:19" s="11" customFormat="1" ht="20.100000000000001" customHeight="1" x14ac:dyDescent="0.25">
      <c r="E98" s="141"/>
      <c r="F98" s="141"/>
      <c r="H98" s="88"/>
    </row>
    <row r="99" spans="1:19" s="11" customFormat="1" ht="20.100000000000001" customHeight="1" x14ac:dyDescent="0.25">
      <c r="E99" s="141"/>
      <c r="F99" s="141"/>
      <c r="H99" s="88"/>
    </row>
    <row r="100" spans="1:19" s="11" customFormat="1" ht="20.100000000000001" customHeight="1" x14ac:dyDescent="0.25">
      <c r="E100" s="141"/>
      <c r="F100" s="141"/>
      <c r="G100" s="126"/>
      <c r="H100" s="88"/>
    </row>
    <row r="101" spans="1:19" s="11" customFormat="1" ht="20.100000000000001" customHeight="1" x14ac:dyDescent="0.25">
      <c r="E101" s="141"/>
      <c r="F101" s="141"/>
      <c r="H101" s="88"/>
    </row>
    <row r="102" spans="1:19" s="13" customFormat="1" ht="20.100000000000001" customHeight="1" x14ac:dyDescent="0.3">
      <c r="A102" s="1"/>
      <c r="B102" s="10"/>
      <c r="D102" s="47"/>
      <c r="E102" s="141"/>
      <c r="F102" s="141"/>
      <c r="H102" s="88"/>
      <c r="I102" s="11"/>
    </row>
    <row r="103" spans="1:19" s="13" customFormat="1" ht="20.100000000000001" customHeight="1" x14ac:dyDescent="0.3">
      <c r="A103" s="1"/>
      <c r="B103" s="10"/>
      <c r="D103" s="47"/>
      <c r="E103" s="141"/>
      <c r="F103" s="141"/>
      <c r="H103" s="88"/>
      <c r="I103" s="11"/>
    </row>
    <row r="104" spans="1:19" s="13" customFormat="1" ht="20.100000000000001" customHeight="1" x14ac:dyDescent="0.3">
      <c r="A104" s="1"/>
      <c r="B104" s="10"/>
      <c r="D104" s="47"/>
      <c r="E104" s="141"/>
      <c r="F104" s="141"/>
      <c r="H104" s="88"/>
      <c r="I104" s="11"/>
    </row>
    <row r="105" spans="1:19" s="90" customFormat="1" ht="20.100000000000001" customHeight="1" x14ac:dyDescent="0.3">
      <c r="A105" s="1"/>
      <c r="B105" s="10"/>
      <c r="C105" s="13"/>
      <c r="D105" s="116"/>
      <c r="E105" s="141"/>
      <c r="F105" s="141"/>
      <c r="G105" s="1"/>
      <c r="I105" s="1"/>
      <c r="J105" s="1"/>
      <c r="K105" s="1"/>
      <c r="M105" s="1"/>
      <c r="N105" s="1"/>
      <c r="O105" s="1"/>
      <c r="P105" s="1"/>
      <c r="Q105" s="1"/>
      <c r="R105" s="1"/>
      <c r="S105" s="1"/>
    </row>
    <row r="106" spans="1:19" s="90" customFormat="1" ht="20.100000000000001" customHeight="1" x14ac:dyDescent="0.3">
      <c r="A106" s="1"/>
      <c r="B106" s="10"/>
      <c r="C106" s="13"/>
      <c r="D106" s="116"/>
      <c r="E106" s="141"/>
      <c r="F106" s="141"/>
      <c r="G106" s="1"/>
      <c r="I106" s="1"/>
      <c r="J106" s="1"/>
      <c r="K106" s="1"/>
      <c r="M106" s="1"/>
      <c r="N106" s="1"/>
      <c r="O106" s="1"/>
      <c r="P106" s="1"/>
      <c r="Q106" s="1"/>
      <c r="R106" s="1"/>
      <c r="S106" s="1"/>
    </row>
    <row r="107" spans="1:19" s="90" customFormat="1" ht="20.100000000000001" customHeight="1" x14ac:dyDescent="0.3">
      <c r="A107" s="1"/>
      <c r="B107" s="10"/>
      <c r="C107" s="13"/>
      <c r="D107" s="116"/>
      <c r="E107" s="141"/>
      <c r="F107" s="141"/>
      <c r="G107" s="1"/>
      <c r="I107" s="1"/>
      <c r="J107" s="1"/>
      <c r="K107" s="1"/>
      <c r="M107" s="1"/>
      <c r="N107" s="1"/>
      <c r="O107" s="1"/>
      <c r="P107" s="1"/>
      <c r="Q107" s="1"/>
      <c r="R107" s="1"/>
      <c r="S107" s="1"/>
    </row>
    <row r="108" spans="1:19" s="90" customFormat="1" ht="20.100000000000001" customHeight="1" x14ac:dyDescent="0.3">
      <c r="A108" s="1"/>
      <c r="B108" s="10"/>
      <c r="C108" s="13"/>
      <c r="D108" s="116"/>
      <c r="E108" s="141"/>
      <c r="F108" s="141"/>
      <c r="G108" s="11"/>
      <c r="I108" s="1"/>
      <c r="J108" s="1"/>
      <c r="K108" s="1"/>
      <c r="M108" s="1"/>
      <c r="N108" s="1"/>
      <c r="O108" s="1"/>
      <c r="P108" s="1"/>
      <c r="Q108" s="1"/>
      <c r="R108" s="1"/>
      <c r="S108" s="1"/>
    </row>
  </sheetData>
  <phoneticPr fontId="6" type="noConversion"/>
  <pageMargins left="0.7" right="0.7" top="0.75" bottom="0.75" header="0.3" footer="0.3"/>
  <pageSetup scale="79" fitToHeight="0"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D27F5-BE93-482F-A626-2AC760DA65D8}">
  <sheetPr>
    <pageSetUpPr fitToPage="1"/>
  </sheetPr>
  <dimension ref="A1:S104"/>
  <sheetViews>
    <sheetView zoomScale="96" zoomScaleNormal="96" workbookViewId="0">
      <selection activeCell="G57" sqref="G57"/>
    </sheetView>
  </sheetViews>
  <sheetFormatPr defaultRowHeight="18.75" x14ac:dyDescent="0.3"/>
  <cols>
    <col min="1" max="1" width="20.7109375" style="1" customWidth="1"/>
    <col min="2" max="2" width="16.85546875" style="10" customWidth="1"/>
    <col min="3" max="3" width="25" style="13" bestFit="1" customWidth="1"/>
    <col min="4" max="4" width="25.140625" style="116" customWidth="1"/>
    <col min="5" max="5" width="9.7109375" style="141" customWidth="1"/>
    <col min="6" max="6" width="16.5703125" style="141" customWidth="1"/>
    <col min="7" max="7" width="35" style="1" bestFit="1" customWidth="1"/>
    <col min="8" max="8" width="5.5703125" style="90" bestFit="1" customWidth="1"/>
    <col min="9" max="11" width="9.140625" style="1"/>
    <col min="12" max="12" width="57.5703125" style="1" bestFit="1" customWidth="1"/>
    <col min="13" max="16384" width="9.140625" style="1"/>
  </cols>
  <sheetData>
    <row r="1" spans="1:19" s="11" customFormat="1" ht="20.100000000000001" customHeight="1" x14ac:dyDescent="0.25">
      <c r="A1" s="11" t="s">
        <v>1203</v>
      </c>
      <c r="B1" s="17"/>
      <c r="C1" s="13"/>
      <c r="D1" s="47"/>
      <c r="E1" s="141"/>
      <c r="H1" s="88"/>
      <c r="L1" s="11" t="s">
        <v>1437</v>
      </c>
    </row>
    <row r="2" spans="1:19" s="11" customFormat="1" ht="20.100000000000001" customHeight="1" x14ac:dyDescent="0.25">
      <c r="A2" s="14">
        <v>45747</v>
      </c>
      <c r="B2" s="17"/>
      <c r="C2" s="13"/>
      <c r="D2" s="47"/>
      <c r="E2" s="141"/>
      <c r="H2" s="88"/>
      <c r="L2" s="11" t="s">
        <v>1438</v>
      </c>
    </row>
    <row r="3" spans="1:19" s="11" customFormat="1" ht="20.100000000000001" customHeight="1" x14ac:dyDescent="0.25">
      <c r="A3" s="11" t="s">
        <v>311</v>
      </c>
      <c r="B3" s="17">
        <v>24410361.52</v>
      </c>
      <c r="C3" s="13"/>
      <c r="D3" s="47"/>
      <c r="E3" s="141"/>
      <c r="H3" s="88"/>
      <c r="L3" s="11" t="s">
        <v>1439</v>
      </c>
      <c r="M3" s="89"/>
    </row>
    <row r="4" spans="1:19" s="11" customFormat="1" ht="20.100000000000001" customHeight="1" x14ac:dyDescent="0.25">
      <c r="A4" s="11" t="s">
        <v>6</v>
      </c>
      <c r="B4" s="17"/>
      <c r="C4" s="13"/>
      <c r="D4" s="47"/>
      <c r="E4" s="141"/>
      <c r="H4" s="88"/>
      <c r="L4" s="11" t="s">
        <v>1440</v>
      </c>
      <c r="M4" s="89"/>
    </row>
    <row r="5" spans="1:19" s="11" customFormat="1" ht="20.100000000000001" customHeight="1" x14ac:dyDescent="0.25">
      <c r="A5" s="11">
        <v>2100</v>
      </c>
      <c r="B5" s="17">
        <v>-21541912.699999999</v>
      </c>
      <c r="C5" s="13"/>
      <c r="D5" s="47"/>
      <c r="E5" s="141"/>
      <c r="H5" s="88"/>
      <c r="L5" s="11" t="s">
        <v>1441</v>
      </c>
      <c r="M5" s="89"/>
    </row>
    <row r="6" spans="1:19" s="11" customFormat="1" ht="20.100000000000001" customHeight="1" x14ac:dyDescent="0.25">
      <c r="A6" s="11" t="s">
        <v>5</v>
      </c>
      <c r="B6" s="17">
        <f>SUM(B5)</f>
        <v>-21541912.699999999</v>
      </c>
      <c r="C6" s="13"/>
      <c r="D6" s="47"/>
      <c r="E6" s="141"/>
      <c r="H6" s="88"/>
      <c r="L6" s="11" t="s">
        <v>1442</v>
      </c>
      <c r="M6" s="89"/>
      <c r="O6" s="62"/>
      <c r="P6" s="62"/>
      <c r="Q6" s="62"/>
      <c r="R6" s="62"/>
      <c r="S6" s="62"/>
    </row>
    <row r="7" spans="1:19" s="11" customFormat="1" ht="20.100000000000001" customHeight="1" x14ac:dyDescent="0.25">
      <c r="A7" s="11" t="s">
        <v>4</v>
      </c>
      <c r="B7" s="17">
        <f>B6+B3</f>
        <v>2868448.8200000003</v>
      </c>
      <c r="C7" s="13"/>
      <c r="D7" s="47"/>
      <c r="E7" s="141"/>
      <c r="H7" s="88"/>
      <c r="L7" s="11" t="s">
        <v>1443</v>
      </c>
      <c r="M7" s="88"/>
    </row>
    <row r="8" spans="1:19" s="11" customFormat="1" ht="15.95" customHeight="1" x14ac:dyDescent="0.25">
      <c r="A8" s="11" t="s">
        <v>3</v>
      </c>
      <c r="B8" s="17"/>
      <c r="C8" s="44" t="s">
        <v>628</v>
      </c>
      <c r="D8" s="47" t="s">
        <v>626</v>
      </c>
      <c r="E8" s="141"/>
      <c r="H8" s="88"/>
      <c r="L8" s="11" t="s">
        <v>1444</v>
      </c>
      <c r="M8" s="88"/>
    </row>
    <row r="9" spans="1:19" s="11" customFormat="1" ht="15.75" x14ac:dyDescent="0.25">
      <c r="A9" s="282" t="s">
        <v>2700</v>
      </c>
      <c r="B9" s="283">
        <v>-35394</v>
      </c>
      <c r="C9" s="284">
        <v>45744</v>
      </c>
      <c r="D9" s="219" t="s">
        <v>2727</v>
      </c>
      <c r="E9" s="220"/>
      <c r="F9" s="141"/>
      <c r="G9" s="55"/>
      <c r="L9" s="11" t="s">
        <v>1445</v>
      </c>
      <c r="M9" s="88"/>
    </row>
    <row r="10" spans="1:19" s="11" customFormat="1" ht="15.75" x14ac:dyDescent="0.25">
      <c r="A10" s="282"/>
      <c r="B10" s="283"/>
      <c r="C10" s="285"/>
      <c r="D10" s="219"/>
      <c r="E10" s="220"/>
      <c r="F10" s="141"/>
      <c r="G10" s="55"/>
      <c r="L10" s="11" t="s">
        <v>1446</v>
      </c>
      <c r="M10" s="88"/>
    </row>
    <row r="11" spans="1:19" s="11" customFormat="1" ht="15.75" x14ac:dyDescent="0.25">
      <c r="A11" s="77"/>
      <c r="B11" s="98"/>
      <c r="C11" s="31"/>
      <c r="D11" s="28"/>
      <c r="E11" s="141"/>
      <c r="F11" s="141"/>
      <c r="G11" s="55"/>
      <c r="L11" s="11" t="s">
        <v>1447</v>
      </c>
      <c r="M11" s="88"/>
    </row>
    <row r="12" spans="1:19" s="11" customFormat="1" ht="15.75" x14ac:dyDescent="0.25">
      <c r="B12" s="25">
        <f>SUM(B9:B11)</f>
        <v>-35394</v>
      </c>
      <c r="C12" s="28"/>
      <c r="D12" s="28"/>
      <c r="E12" s="141"/>
      <c r="F12" s="141"/>
      <c r="G12" s="55"/>
      <c r="L12" s="11" t="s">
        <v>1448</v>
      </c>
    </row>
    <row r="13" spans="1:19" s="11" customFormat="1" ht="16.5" customHeight="1" x14ac:dyDescent="0.25">
      <c r="A13" s="11" t="s">
        <v>2</v>
      </c>
      <c r="B13" s="25"/>
      <c r="C13" s="52" t="s">
        <v>626</v>
      </c>
      <c r="D13" s="158" t="s">
        <v>628</v>
      </c>
      <c r="E13" s="141"/>
      <c r="F13" s="141"/>
      <c r="G13" s="55"/>
      <c r="L13" s="11" t="s">
        <v>1449</v>
      </c>
    </row>
    <row r="14" spans="1:19" s="11" customFormat="1" ht="16.5" customHeight="1" x14ac:dyDescent="0.25">
      <c r="A14" s="11" t="s">
        <v>2740</v>
      </c>
      <c r="B14" s="119">
        <v>27502.9</v>
      </c>
      <c r="C14" s="13">
        <v>45716</v>
      </c>
      <c r="D14" s="86">
        <v>45757</v>
      </c>
      <c r="E14" s="141"/>
      <c r="F14" s="141"/>
      <c r="G14" s="55"/>
      <c r="L14" s="11" t="s">
        <v>1450</v>
      </c>
    </row>
    <row r="15" spans="1:19" s="11" customFormat="1" ht="16.5" customHeight="1" x14ac:dyDescent="0.25">
      <c r="A15" s="11" t="s">
        <v>2705</v>
      </c>
      <c r="B15" s="119">
        <v>27963.25</v>
      </c>
      <c r="C15" s="13">
        <v>45716</v>
      </c>
      <c r="D15" s="86">
        <v>45754</v>
      </c>
      <c r="E15" s="141"/>
      <c r="F15" s="141"/>
      <c r="G15" s="55"/>
      <c r="L15" s="11" t="s">
        <v>1451</v>
      </c>
    </row>
    <row r="16" spans="1:19" s="11" customFormat="1" ht="16.5" customHeight="1" x14ac:dyDescent="0.25">
      <c r="A16" s="11" t="s">
        <v>2728</v>
      </c>
      <c r="B16" s="119">
        <v>28481.11</v>
      </c>
      <c r="C16" s="13">
        <v>45694</v>
      </c>
      <c r="D16" s="86">
        <v>45756</v>
      </c>
      <c r="E16" s="141"/>
      <c r="F16" s="141"/>
      <c r="G16" s="55"/>
      <c r="L16" s="11" t="s">
        <v>1452</v>
      </c>
    </row>
    <row r="17" spans="1:13" s="11" customFormat="1" ht="16.5" customHeight="1" x14ac:dyDescent="0.25">
      <c r="A17" s="11" t="s">
        <v>2729</v>
      </c>
      <c r="B17" s="119">
        <v>28946.11</v>
      </c>
      <c r="C17" s="13">
        <v>45747</v>
      </c>
      <c r="D17" s="86">
        <v>45756</v>
      </c>
      <c r="E17" s="141"/>
      <c r="F17" s="141"/>
      <c r="G17" s="55"/>
      <c r="L17" s="11" t="s">
        <v>1453</v>
      </c>
      <c r="M17" s="88"/>
    </row>
    <row r="18" spans="1:13" s="11" customFormat="1" ht="16.5" customHeight="1" x14ac:dyDescent="0.25">
      <c r="A18" s="11" t="s">
        <v>2730</v>
      </c>
      <c r="B18" s="119">
        <v>29406.46</v>
      </c>
      <c r="C18" s="13">
        <v>45722</v>
      </c>
      <c r="D18" s="86">
        <v>45756</v>
      </c>
      <c r="E18" s="141"/>
      <c r="F18" s="141"/>
      <c r="G18" s="55"/>
      <c r="L18" s="11" t="s">
        <v>1436</v>
      </c>
    </row>
    <row r="19" spans="1:13" s="11" customFormat="1" ht="16.5" customHeight="1" x14ac:dyDescent="0.25">
      <c r="A19" s="11" t="s">
        <v>2706</v>
      </c>
      <c r="B19" s="119">
        <v>29406.46</v>
      </c>
      <c r="C19" s="13">
        <v>45715</v>
      </c>
      <c r="D19" s="86">
        <v>45752</v>
      </c>
      <c r="E19" s="141"/>
      <c r="F19" s="141"/>
      <c r="G19" s="55"/>
      <c r="L19" s="11" t="s">
        <v>1454</v>
      </c>
    </row>
    <row r="20" spans="1:13" s="11" customFormat="1" ht="16.5" customHeight="1" x14ac:dyDescent="0.25">
      <c r="A20" s="11" t="s">
        <v>2731</v>
      </c>
      <c r="B20" s="119">
        <v>29406.46</v>
      </c>
      <c r="C20" s="13">
        <v>45747</v>
      </c>
      <c r="D20" s="86">
        <v>45756</v>
      </c>
      <c r="E20" s="141"/>
      <c r="F20" s="141"/>
      <c r="G20" s="55"/>
      <c r="L20" s="11" t="s">
        <v>1455</v>
      </c>
    </row>
    <row r="21" spans="1:13" s="11" customFormat="1" ht="16.5" customHeight="1" x14ac:dyDescent="0.25">
      <c r="A21" s="11" t="s">
        <v>2707</v>
      </c>
      <c r="B21" s="119">
        <v>30055.51</v>
      </c>
      <c r="C21" s="13">
        <v>45743</v>
      </c>
      <c r="D21" s="86">
        <v>45754</v>
      </c>
      <c r="E21" s="141"/>
      <c r="F21" s="141"/>
      <c r="G21" s="55"/>
      <c r="L21" s="11" t="s">
        <v>1456</v>
      </c>
    </row>
    <row r="22" spans="1:13" s="11" customFormat="1" ht="16.5" customHeight="1" x14ac:dyDescent="0.25">
      <c r="A22" s="11" t="s">
        <v>2708</v>
      </c>
      <c r="B22" s="119">
        <v>30055.51</v>
      </c>
      <c r="C22" s="13">
        <v>45744</v>
      </c>
      <c r="D22" s="86">
        <v>45754</v>
      </c>
      <c r="E22" s="141"/>
      <c r="F22" s="141"/>
      <c r="G22" s="55"/>
      <c r="L22" s="11" t="s">
        <v>1457</v>
      </c>
    </row>
    <row r="23" spans="1:13" s="11" customFormat="1" ht="16.5" customHeight="1" x14ac:dyDescent="0.25">
      <c r="A23" s="11" t="s">
        <v>2741</v>
      </c>
      <c r="B23" s="119">
        <v>45440.55</v>
      </c>
      <c r="C23" s="13">
        <v>45742</v>
      </c>
      <c r="D23" s="86">
        <v>45758</v>
      </c>
      <c r="E23" s="141"/>
      <c r="F23" s="141"/>
      <c r="G23" s="55"/>
      <c r="L23" s="11" t="s">
        <v>2506</v>
      </c>
    </row>
    <row r="24" spans="1:13" s="11" customFormat="1" ht="16.5" customHeight="1" x14ac:dyDescent="0.25">
      <c r="A24" s="11" t="s">
        <v>2709</v>
      </c>
      <c r="B24" s="119">
        <v>45440.55</v>
      </c>
      <c r="C24" s="13">
        <v>45737</v>
      </c>
      <c r="D24" s="86">
        <v>45748</v>
      </c>
      <c r="E24" s="141"/>
      <c r="F24" s="141"/>
      <c r="G24" s="55"/>
      <c r="L24" s="11" t="s">
        <v>1458</v>
      </c>
    </row>
    <row r="25" spans="1:13" s="11" customFormat="1" ht="16.5" customHeight="1" x14ac:dyDescent="0.25">
      <c r="A25" s="11" t="s">
        <v>2701</v>
      </c>
      <c r="B25" s="119">
        <v>45593.4</v>
      </c>
      <c r="C25" s="13">
        <v>45740</v>
      </c>
      <c r="D25" s="91">
        <v>4800</v>
      </c>
      <c r="E25" s="141"/>
      <c r="F25" s="141"/>
      <c r="G25" s="55"/>
      <c r="L25" s="11" t="s">
        <v>1368</v>
      </c>
    </row>
    <row r="26" spans="1:13" s="11" customFormat="1" ht="16.5" customHeight="1" x14ac:dyDescent="0.25">
      <c r="A26" s="11" t="s">
        <v>2710</v>
      </c>
      <c r="B26" s="119">
        <v>46053.75</v>
      </c>
      <c r="C26" s="51">
        <v>45740</v>
      </c>
      <c r="D26" s="86">
        <v>45754</v>
      </c>
      <c r="E26" s="141"/>
      <c r="F26" s="141"/>
      <c r="G26" s="55"/>
      <c r="L26" s="11" t="s">
        <v>1459</v>
      </c>
    </row>
    <row r="27" spans="1:13" s="11" customFormat="1" ht="16.5" customHeight="1" x14ac:dyDescent="0.25">
      <c r="A27" s="11" t="s">
        <v>2711</v>
      </c>
      <c r="B27" s="119">
        <v>51935.45</v>
      </c>
      <c r="C27" s="13">
        <v>45743</v>
      </c>
      <c r="D27" s="86">
        <v>45754</v>
      </c>
      <c r="E27" s="141"/>
      <c r="F27" s="141"/>
      <c r="G27" s="55"/>
      <c r="L27" s="11" t="s">
        <v>1369</v>
      </c>
    </row>
    <row r="28" spans="1:13" s="11" customFormat="1" ht="16.5" customHeight="1" thickBot="1" x14ac:dyDescent="0.3">
      <c r="A28" s="11" t="s">
        <v>2186</v>
      </c>
      <c r="B28" s="119">
        <v>52483</v>
      </c>
      <c r="C28" s="51">
        <v>45419</v>
      </c>
      <c r="D28" s="91">
        <v>4300</v>
      </c>
      <c r="E28" s="141"/>
      <c r="F28" s="141"/>
      <c r="G28" s="55"/>
      <c r="L28" s="11" t="s">
        <v>1460</v>
      </c>
    </row>
    <row r="29" spans="1:13" s="11" customFormat="1" ht="16.5" customHeight="1" thickBot="1" x14ac:dyDescent="0.3">
      <c r="A29" s="11" t="s">
        <v>2742</v>
      </c>
      <c r="B29" s="119">
        <v>53939.6</v>
      </c>
      <c r="C29" s="51">
        <v>45740</v>
      </c>
      <c r="D29" s="86">
        <v>0.44444444444444442</v>
      </c>
      <c r="E29" s="141"/>
      <c r="F29" s="141"/>
      <c r="G29" s="55"/>
      <c r="L29" s="147" t="s">
        <v>1459</v>
      </c>
    </row>
    <row r="30" spans="1:13" s="11" customFormat="1" ht="16.5" customHeight="1" thickBot="1" x14ac:dyDescent="0.3">
      <c r="A30" s="11" t="s">
        <v>2712</v>
      </c>
      <c r="B30" s="119">
        <v>59913.3</v>
      </c>
      <c r="C30" s="51">
        <v>45736</v>
      </c>
      <c r="D30" s="86">
        <v>45748</v>
      </c>
      <c r="E30" s="141"/>
      <c r="F30" s="141"/>
      <c r="G30" s="55"/>
      <c r="L30" s="146" t="s">
        <v>1369</v>
      </c>
      <c r="M30" s="148"/>
    </row>
    <row r="31" spans="1:13" s="11" customFormat="1" ht="16.5" customHeight="1" thickBot="1" x14ac:dyDescent="0.3">
      <c r="A31" s="11" t="s">
        <v>2702</v>
      </c>
      <c r="B31" s="119">
        <v>60373.65</v>
      </c>
      <c r="C31" s="13">
        <v>45742</v>
      </c>
      <c r="D31" s="91">
        <v>4300</v>
      </c>
      <c r="E31" s="141"/>
      <c r="F31" s="141"/>
      <c r="G31" s="55"/>
      <c r="M31" s="149"/>
    </row>
    <row r="32" spans="1:13" s="11" customFormat="1" ht="16.5" customHeight="1" x14ac:dyDescent="0.25">
      <c r="A32" s="11" t="s">
        <v>2713</v>
      </c>
      <c r="B32" s="119">
        <v>60373.65</v>
      </c>
      <c r="C32" s="13">
        <v>45742</v>
      </c>
      <c r="D32" s="86">
        <v>45749</v>
      </c>
      <c r="E32" s="141"/>
      <c r="F32" s="141"/>
      <c r="G32" s="55"/>
    </row>
    <row r="33" spans="1:7" s="11" customFormat="1" ht="16.5" customHeight="1" x14ac:dyDescent="0.25">
      <c r="A33" s="11" t="s">
        <v>2714</v>
      </c>
      <c r="B33" s="119">
        <v>60373.65</v>
      </c>
      <c r="C33" s="13">
        <v>45737</v>
      </c>
      <c r="D33" s="86">
        <v>45748</v>
      </c>
      <c r="E33" s="141"/>
      <c r="F33" s="141"/>
      <c r="G33" s="55"/>
    </row>
    <row r="34" spans="1:7" s="11" customFormat="1" ht="16.5" customHeight="1" x14ac:dyDescent="0.25">
      <c r="A34" s="11" t="s">
        <v>2715</v>
      </c>
      <c r="B34" s="119">
        <v>63689.1</v>
      </c>
      <c r="C34" s="13">
        <v>45735</v>
      </c>
      <c r="D34" s="86">
        <v>45748</v>
      </c>
      <c r="E34" s="141"/>
      <c r="F34" s="141"/>
      <c r="G34" s="55"/>
    </row>
    <row r="35" spans="1:7" s="11" customFormat="1" ht="16.5" customHeight="1" x14ac:dyDescent="0.25">
      <c r="A35" s="11" t="s">
        <v>2716</v>
      </c>
      <c r="B35" s="119">
        <v>64149.45</v>
      </c>
      <c r="C35" s="51">
        <v>45735</v>
      </c>
      <c r="D35" s="86">
        <v>45748</v>
      </c>
      <c r="E35" s="141"/>
      <c r="F35" s="141"/>
      <c r="G35" s="55"/>
    </row>
    <row r="36" spans="1:7" s="11" customFormat="1" ht="16.5" customHeight="1" x14ac:dyDescent="0.25">
      <c r="A36" s="11" t="s">
        <v>2717</v>
      </c>
      <c r="B36" s="119">
        <v>64149.45</v>
      </c>
      <c r="C36" s="13">
        <v>45737</v>
      </c>
      <c r="D36" s="86">
        <v>45748</v>
      </c>
      <c r="E36" s="141"/>
      <c r="F36" s="141"/>
      <c r="G36" s="55"/>
    </row>
    <row r="37" spans="1:7" s="11" customFormat="1" ht="16.5" customHeight="1" x14ac:dyDescent="0.25">
      <c r="A37" s="11" t="s">
        <v>2718</v>
      </c>
      <c r="B37" s="119">
        <v>74774.7</v>
      </c>
      <c r="C37" s="51">
        <v>45740</v>
      </c>
      <c r="D37" s="86">
        <v>45749</v>
      </c>
      <c r="E37" s="141"/>
      <c r="F37" s="141"/>
      <c r="G37" s="55"/>
    </row>
    <row r="38" spans="1:7" s="11" customFormat="1" ht="16.5" customHeight="1" x14ac:dyDescent="0.25">
      <c r="A38" s="11" t="s">
        <v>2703</v>
      </c>
      <c r="B38" s="119">
        <v>74774.7</v>
      </c>
      <c r="C38" s="51">
        <v>45747</v>
      </c>
      <c r="D38" s="91">
        <v>4150</v>
      </c>
      <c r="E38" s="141"/>
      <c r="F38" s="141"/>
      <c r="G38" s="55"/>
    </row>
    <row r="39" spans="1:7" s="11" customFormat="1" ht="16.5" customHeight="1" x14ac:dyDescent="0.25">
      <c r="A39" s="11" t="s">
        <v>2719</v>
      </c>
      <c r="B39" s="119">
        <v>74774.7</v>
      </c>
      <c r="C39" s="51">
        <v>45742</v>
      </c>
      <c r="D39" s="86">
        <v>45749</v>
      </c>
      <c r="E39" s="141"/>
      <c r="F39" s="141"/>
      <c r="G39" s="55"/>
    </row>
    <row r="40" spans="1:7" s="11" customFormat="1" ht="16.5" customHeight="1" x14ac:dyDescent="0.25">
      <c r="A40" s="11" t="s">
        <v>2720</v>
      </c>
      <c r="B40" s="119">
        <v>75384.800000000003</v>
      </c>
      <c r="C40" s="51">
        <v>45733</v>
      </c>
      <c r="D40" s="86">
        <v>45754</v>
      </c>
      <c r="E40" s="141"/>
      <c r="F40" s="141"/>
      <c r="G40" s="55"/>
    </row>
    <row r="41" spans="1:7" s="11" customFormat="1" ht="16.5" customHeight="1" x14ac:dyDescent="0.25">
      <c r="A41" s="11" t="s">
        <v>2704</v>
      </c>
      <c r="B41" s="119">
        <v>76298.55</v>
      </c>
      <c r="C41" s="51">
        <v>45733</v>
      </c>
      <c r="D41" s="91">
        <v>4150</v>
      </c>
      <c r="E41" s="141"/>
      <c r="F41" s="141"/>
      <c r="G41" s="55"/>
    </row>
    <row r="42" spans="1:7" s="11" customFormat="1" ht="16.5" customHeight="1" x14ac:dyDescent="0.25">
      <c r="A42" s="11" t="s">
        <v>2721</v>
      </c>
      <c r="B42" s="119">
        <v>79812.899999999994</v>
      </c>
      <c r="C42" s="51">
        <v>45747</v>
      </c>
      <c r="D42" s="86">
        <v>45749</v>
      </c>
      <c r="E42" s="141"/>
      <c r="F42" s="141"/>
      <c r="G42" s="55"/>
    </row>
    <row r="43" spans="1:7" s="11" customFormat="1" ht="16.5" customHeight="1" x14ac:dyDescent="0.25">
      <c r="A43" s="11" t="s">
        <v>2722</v>
      </c>
      <c r="B43" s="119">
        <v>83495</v>
      </c>
      <c r="C43" s="51">
        <v>45742</v>
      </c>
      <c r="D43" s="86">
        <v>45754</v>
      </c>
      <c r="E43" s="141"/>
      <c r="F43" s="141"/>
      <c r="G43" s="55"/>
    </row>
    <row r="44" spans="1:7" s="11" customFormat="1" ht="16.5" customHeight="1" x14ac:dyDescent="0.25">
      <c r="A44" s="11" t="s">
        <v>2732</v>
      </c>
      <c r="B44" s="119">
        <v>83495</v>
      </c>
      <c r="C44" s="51">
        <v>45744</v>
      </c>
      <c r="D44" s="86">
        <v>45756</v>
      </c>
      <c r="E44" s="141"/>
      <c r="F44" s="141"/>
      <c r="G44" s="55"/>
    </row>
    <row r="45" spans="1:7" s="11" customFormat="1" ht="16.5" customHeight="1" x14ac:dyDescent="0.25">
      <c r="A45" s="11" t="s">
        <v>2733</v>
      </c>
      <c r="B45" s="119">
        <v>83495</v>
      </c>
      <c r="C45" s="51">
        <v>45744</v>
      </c>
      <c r="D45" s="86">
        <v>45756</v>
      </c>
      <c r="E45" s="141"/>
      <c r="F45" s="141"/>
      <c r="G45" s="55"/>
    </row>
    <row r="46" spans="1:7" s="11" customFormat="1" ht="16.5" customHeight="1" x14ac:dyDescent="0.25">
      <c r="A46" s="11" t="s">
        <v>2734</v>
      </c>
      <c r="B46" s="119">
        <v>83495</v>
      </c>
      <c r="C46" s="51">
        <v>45744</v>
      </c>
      <c r="D46" s="86">
        <v>45756</v>
      </c>
      <c r="E46" s="141"/>
      <c r="F46" s="141"/>
      <c r="G46" s="55"/>
    </row>
    <row r="47" spans="1:7" s="11" customFormat="1" ht="16.5" customHeight="1" x14ac:dyDescent="0.25">
      <c r="A47" s="11" t="s">
        <v>2735</v>
      </c>
      <c r="B47" s="119">
        <v>83495</v>
      </c>
      <c r="C47" s="51">
        <v>45744</v>
      </c>
      <c r="D47" s="86">
        <v>45756</v>
      </c>
      <c r="E47" s="141"/>
      <c r="F47" s="141"/>
      <c r="G47" s="55"/>
    </row>
    <row r="48" spans="1:7" s="11" customFormat="1" ht="16.5" customHeight="1" x14ac:dyDescent="0.25">
      <c r="A48" s="11" t="s">
        <v>2743</v>
      </c>
      <c r="B48" s="119">
        <v>83495</v>
      </c>
      <c r="C48" s="51">
        <v>45747</v>
      </c>
      <c r="D48" s="86">
        <v>45757</v>
      </c>
      <c r="E48" s="141"/>
      <c r="F48" s="141"/>
      <c r="G48" s="55"/>
    </row>
    <row r="49" spans="1:13" s="11" customFormat="1" ht="16.5" customHeight="1" x14ac:dyDescent="0.25">
      <c r="A49" s="11" t="s">
        <v>2744</v>
      </c>
      <c r="B49" s="119">
        <v>83495</v>
      </c>
      <c r="C49" s="51">
        <v>45747</v>
      </c>
      <c r="D49" s="86">
        <v>45757</v>
      </c>
      <c r="E49" s="141"/>
      <c r="F49" s="141"/>
      <c r="G49" s="55"/>
    </row>
    <row r="50" spans="1:13" s="11" customFormat="1" ht="16.5" customHeight="1" x14ac:dyDescent="0.25">
      <c r="A50" s="11" t="s">
        <v>2736</v>
      </c>
      <c r="B50" s="119">
        <v>83495</v>
      </c>
      <c r="C50" s="51">
        <v>45747</v>
      </c>
      <c r="D50" s="86">
        <v>45756</v>
      </c>
      <c r="E50" s="141"/>
      <c r="F50" s="141"/>
      <c r="G50" s="55"/>
    </row>
    <row r="51" spans="1:13" s="11" customFormat="1" ht="16.5" customHeight="1" x14ac:dyDescent="0.25">
      <c r="A51" s="11" t="s">
        <v>2745</v>
      </c>
      <c r="B51" s="119">
        <v>83495</v>
      </c>
      <c r="C51" s="51">
        <v>45747</v>
      </c>
      <c r="D51" s="86">
        <v>45756</v>
      </c>
      <c r="E51" s="141"/>
      <c r="F51" s="141"/>
      <c r="G51" s="55"/>
    </row>
    <row r="52" spans="1:13" s="11" customFormat="1" ht="16.5" customHeight="1" x14ac:dyDescent="0.25">
      <c r="A52" s="11" t="s">
        <v>2737</v>
      </c>
      <c r="B52" s="119">
        <v>83495</v>
      </c>
      <c r="C52" s="51">
        <v>45747</v>
      </c>
      <c r="D52" s="86">
        <v>45756</v>
      </c>
      <c r="E52" s="141"/>
      <c r="F52" s="141"/>
      <c r="G52" s="55"/>
    </row>
    <row r="53" spans="1:13" s="11" customFormat="1" ht="16.5" customHeight="1" x14ac:dyDescent="0.25">
      <c r="A53" s="11" t="s">
        <v>2738</v>
      </c>
      <c r="B53" s="119">
        <v>88037.1</v>
      </c>
      <c r="C53" s="51">
        <v>45743</v>
      </c>
      <c r="D53" s="86">
        <v>45756</v>
      </c>
      <c r="E53" s="141"/>
      <c r="F53" s="141"/>
      <c r="G53" s="55"/>
    </row>
    <row r="54" spans="1:13" s="11" customFormat="1" ht="16.5" customHeight="1" x14ac:dyDescent="0.25">
      <c r="A54" s="11" t="s">
        <v>2723</v>
      </c>
      <c r="B54" s="119">
        <v>90911.25</v>
      </c>
      <c r="C54" s="51">
        <v>45742</v>
      </c>
      <c r="D54" s="86">
        <v>45749</v>
      </c>
      <c r="E54" s="141"/>
      <c r="F54" s="141"/>
      <c r="G54" s="55"/>
    </row>
    <row r="55" spans="1:13" s="11" customFormat="1" ht="16.5" customHeight="1" x14ac:dyDescent="0.25">
      <c r="A55" s="11" t="s">
        <v>2724</v>
      </c>
      <c r="B55" s="119">
        <v>91469.25</v>
      </c>
      <c r="C55" s="51">
        <v>45747</v>
      </c>
      <c r="D55" s="86">
        <v>45749</v>
      </c>
      <c r="E55" s="141"/>
      <c r="F55" s="141"/>
      <c r="G55" s="55"/>
    </row>
    <row r="56" spans="1:13" s="11" customFormat="1" ht="16.5" customHeight="1" x14ac:dyDescent="0.25">
      <c r="A56" s="11" t="s">
        <v>2725</v>
      </c>
      <c r="B56" s="119">
        <v>92217.9</v>
      </c>
      <c r="C56" s="51">
        <v>45744</v>
      </c>
      <c r="D56" s="86">
        <v>45750</v>
      </c>
      <c r="E56" s="141"/>
      <c r="F56" s="141"/>
      <c r="G56" s="55"/>
    </row>
    <row r="57" spans="1:13" s="11" customFormat="1" ht="16.5" customHeight="1" x14ac:dyDescent="0.25">
      <c r="A57" s="11" t="s">
        <v>2726</v>
      </c>
      <c r="B57" s="119">
        <v>96874.65</v>
      </c>
      <c r="C57" s="51">
        <v>45742</v>
      </c>
      <c r="D57" s="86">
        <v>45748</v>
      </c>
      <c r="E57" s="141"/>
      <c r="F57" s="141"/>
      <c r="G57" s="55"/>
    </row>
    <row r="58" spans="1:13" s="11" customFormat="1" ht="16.5" customHeight="1" x14ac:dyDescent="0.25">
      <c r="A58" s="11" t="s">
        <v>2739</v>
      </c>
      <c r="B58" s="119">
        <v>118430</v>
      </c>
      <c r="C58" s="51">
        <v>45733</v>
      </c>
      <c r="D58" s="86">
        <v>45756</v>
      </c>
      <c r="E58" s="141"/>
      <c r="F58" s="141"/>
      <c r="G58" s="55"/>
    </row>
    <row r="59" spans="1:13" s="11" customFormat="1" ht="16.5" customHeight="1" thickBot="1" x14ac:dyDescent="0.3">
      <c r="B59" s="119"/>
      <c r="C59" s="150"/>
      <c r="D59" s="145"/>
      <c r="E59" s="141"/>
      <c r="F59" s="141"/>
      <c r="G59" s="55"/>
      <c r="M59" s="88"/>
    </row>
    <row r="60" spans="1:13" s="11" customFormat="1" ht="15.75" x14ac:dyDescent="0.25">
      <c r="B60" s="25">
        <f>SUM(B14:B59)</f>
        <v>2903842.82</v>
      </c>
      <c r="C60" s="147" t="s">
        <v>1457</v>
      </c>
      <c r="D60" s="148"/>
      <c r="E60" s="141"/>
      <c r="F60" s="141"/>
      <c r="G60" s="55"/>
    </row>
    <row r="61" spans="1:13" s="11" customFormat="1" ht="15.75" x14ac:dyDescent="0.25">
      <c r="A61" s="11" t="s">
        <v>1</v>
      </c>
      <c r="B61" s="17">
        <f>B60+B12</f>
        <v>2868448.82</v>
      </c>
      <c r="C61" s="151" t="s">
        <v>1459</v>
      </c>
      <c r="D61" s="152"/>
      <c r="E61" s="141"/>
      <c r="F61" s="141"/>
      <c r="G61" s="55"/>
    </row>
    <row r="62" spans="1:13" s="11" customFormat="1" ht="16.5" thickBot="1" x14ac:dyDescent="0.3">
      <c r="A62" s="11" t="s">
        <v>0</v>
      </c>
      <c r="B62" s="17">
        <f>B61-B7</f>
        <v>0</v>
      </c>
      <c r="C62" s="146" t="s">
        <v>1369</v>
      </c>
      <c r="D62" s="149"/>
      <c r="E62" s="141"/>
      <c r="F62" s="141"/>
      <c r="G62" s="55"/>
    </row>
    <row r="63" spans="1:13" s="11" customFormat="1" ht="15.75" x14ac:dyDescent="0.25">
      <c r="E63" s="141"/>
      <c r="F63" s="141"/>
      <c r="G63" s="55"/>
    </row>
    <row r="64" spans="1:13" s="11" customFormat="1" ht="15.75" x14ac:dyDescent="0.25">
      <c r="E64" s="141"/>
      <c r="F64" s="141"/>
      <c r="G64" s="55"/>
    </row>
    <row r="65" spans="2:7" s="11" customFormat="1" ht="15.75" x14ac:dyDescent="0.25">
      <c r="E65" s="141"/>
      <c r="F65" s="141"/>
      <c r="G65" s="55"/>
    </row>
    <row r="66" spans="2:7" s="11" customFormat="1" ht="15.75" x14ac:dyDescent="0.25">
      <c r="E66" s="141"/>
      <c r="F66" s="141"/>
      <c r="G66" s="55"/>
    </row>
    <row r="67" spans="2:7" s="11" customFormat="1" ht="15.75" x14ac:dyDescent="0.25">
      <c r="E67" s="141"/>
      <c r="F67" s="141"/>
      <c r="G67" s="55"/>
    </row>
    <row r="68" spans="2:7" s="11" customFormat="1" ht="15.75" x14ac:dyDescent="0.25">
      <c r="E68" s="141"/>
      <c r="F68" s="141"/>
      <c r="G68" s="55"/>
    </row>
    <row r="69" spans="2:7" s="11" customFormat="1" ht="15.75" x14ac:dyDescent="0.25">
      <c r="E69" s="141"/>
      <c r="F69" s="141"/>
      <c r="G69" s="55"/>
    </row>
    <row r="70" spans="2:7" s="11" customFormat="1" ht="15.75" x14ac:dyDescent="0.25">
      <c r="E70" s="141"/>
      <c r="F70" s="141"/>
      <c r="G70" s="55"/>
    </row>
    <row r="71" spans="2:7" s="11" customFormat="1" ht="15.75" x14ac:dyDescent="0.25">
      <c r="E71" s="141"/>
      <c r="F71" s="141"/>
      <c r="G71" s="55"/>
    </row>
    <row r="72" spans="2:7" s="11" customFormat="1" ht="15.75" x14ac:dyDescent="0.25">
      <c r="E72" s="141"/>
      <c r="F72" s="141"/>
      <c r="G72" s="55"/>
    </row>
    <row r="73" spans="2:7" s="11" customFormat="1" ht="15.75" x14ac:dyDescent="0.25">
      <c r="E73" s="141"/>
      <c r="F73" s="141"/>
      <c r="G73" s="55"/>
    </row>
    <row r="74" spans="2:7" s="11" customFormat="1" ht="15.75" x14ac:dyDescent="0.25">
      <c r="E74" s="141"/>
      <c r="F74" s="141"/>
      <c r="G74" s="55"/>
    </row>
    <row r="75" spans="2:7" s="11" customFormat="1" ht="15.95" customHeight="1" x14ac:dyDescent="0.25">
      <c r="E75" s="141"/>
      <c r="F75" s="141"/>
    </row>
    <row r="76" spans="2:7" s="11" customFormat="1" ht="15.95" customHeight="1" x14ac:dyDescent="0.25">
      <c r="E76" s="141"/>
      <c r="F76" s="141"/>
    </row>
    <row r="77" spans="2:7" s="11" customFormat="1" ht="15.95" customHeight="1" x14ac:dyDescent="0.25">
      <c r="E77" s="141"/>
      <c r="F77" s="141"/>
    </row>
    <row r="78" spans="2:7" s="11" customFormat="1" ht="15.95" customHeight="1" x14ac:dyDescent="0.25">
      <c r="E78" s="141"/>
      <c r="F78" s="141"/>
    </row>
    <row r="79" spans="2:7" s="11" customFormat="1" ht="15.95" customHeight="1" x14ac:dyDescent="0.25">
      <c r="E79" s="141"/>
      <c r="F79" s="141"/>
    </row>
    <row r="80" spans="2:7" s="11" customFormat="1" ht="15.95" customHeight="1" x14ac:dyDescent="0.25">
      <c r="B80" s="17"/>
      <c r="E80" s="141"/>
      <c r="F80" s="141"/>
    </row>
    <row r="81" spans="1:8" s="11" customFormat="1" ht="15.95" customHeight="1" x14ac:dyDescent="0.25">
      <c r="A81" s="39"/>
      <c r="B81" s="93"/>
      <c r="C81" s="18"/>
      <c r="D81" s="18"/>
      <c r="E81" s="141"/>
      <c r="F81" s="141"/>
    </row>
    <row r="82" spans="1:8" s="11" customFormat="1" ht="15.95" customHeight="1" x14ac:dyDescent="0.3">
      <c r="A82" s="1"/>
      <c r="B82" s="10"/>
      <c r="C82" s="13"/>
      <c r="D82" s="47"/>
      <c r="E82" s="141"/>
      <c r="F82" s="141"/>
    </row>
    <row r="83" spans="1:8" s="11" customFormat="1" ht="15.95" customHeight="1" x14ac:dyDescent="0.3">
      <c r="A83" s="1"/>
      <c r="B83" s="10"/>
      <c r="C83" s="13"/>
      <c r="D83" s="47"/>
      <c r="E83" s="141"/>
      <c r="F83" s="141"/>
    </row>
    <row r="84" spans="1:8" s="11" customFormat="1" ht="15.95" customHeight="1" x14ac:dyDescent="0.3">
      <c r="A84" s="1"/>
      <c r="B84" s="10"/>
      <c r="C84" s="13"/>
      <c r="D84" s="47"/>
      <c r="E84" s="141"/>
      <c r="F84" s="141"/>
    </row>
    <row r="85" spans="1:8" s="11" customFormat="1" ht="15.95" customHeight="1" x14ac:dyDescent="0.25">
      <c r="E85" s="141"/>
      <c r="F85" s="141"/>
    </row>
    <row r="86" spans="1:8" s="11" customFormat="1" ht="15.95" customHeight="1" x14ac:dyDescent="0.25">
      <c r="E86" s="141"/>
      <c r="F86" s="141"/>
    </row>
    <row r="87" spans="1:8" s="11" customFormat="1" ht="15.95" customHeight="1" x14ac:dyDescent="0.25">
      <c r="E87" s="141"/>
      <c r="F87" s="141"/>
    </row>
    <row r="88" spans="1:8" s="11" customFormat="1" ht="15.95" customHeight="1" x14ac:dyDescent="0.25">
      <c r="E88" s="141"/>
      <c r="F88" s="141"/>
    </row>
    <row r="89" spans="1:8" s="11" customFormat="1" ht="15.95" customHeight="1" x14ac:dyDescent="0.25">
      <c r="E89" s="141"/>
      <c r="F89" s="141"/>
    </row>
    <row r="90" spans="1:8" s="11" customFormat="1" ht="15.95" customHeight="1" x14ac:dyDescent="0.25">
      <c r="E90" s="141"/>
      <c r="F90" s="141"/>
      <c r="H90" s="88"/>
    </row>
    <row r="91" spans="1:8" s="11" customFormat="1" ht="15.95" customHeight="1" x14ac:dyDescent="0.25">
      <c r="E91" s="141"/>
      <c r="F91" s="141"/>
      <c r="H91" s="88"/>
    </row>
    <row r="92" spans="1:8" s="11" customFormat="1" ht="15.95" customHeight="1" x14ac:dyDescent="0.25">
      <c r="E92" s="141"/>
      <c r="F92" s="141"/>
      <c r="G92" s="126"/>
      <c r="H92" s="88"/>
    </row>
    <row r="93" spans="1:8" s="11" customFormat="1" ht="15.95" customHeight="1" x14ac:dyDescent="0.25">
      <c r="E93" s="141"/>
      <c r="F93" s="141"/>
      <c r="H93" s="88"/>
    </row>
    <row r="94" spans="1:8" s="11" customFormat="1" ht="20.100000000000001" customHeight="1" x14ac:dyDescent="0.25">
      <c r="E94" s="141"/>
      <c r="F94" s="141"/>
      <c r="H94" s="88"/>
    </row>
    <row r="95" spans="1:8" s="11" customFormat="1" ht="20.100000000000001" customHeight="1" x14ac:dyDescent="0.25">
      <c r="E95" s="141"/>
      <c r="F95" s="141"/>
      <c r="H95" s="88"/>
    </row>
    <row r="96" spans="1:8" s="11" customFormat="1" ht="20.100000000000001" customHeight="1" x14ac:dyDescent="0.25">
      <c r="E96" s="141"/>
      <c r="F96" s="141"/>
      <c r="G96" s="126"/>
      <c r="H96" s="88"/>
    </row>
    <row r="97" spans="1:19" s="11" customFormat="1" ht="20.100000000000001" customHeight="1" x14ac:dyDescent="0.25">
      <c r="E97" s="141"/>
      <c r="F97" s="141"/>
      <c r="H97" s="88"/>
    </row>
    <row r="98" spans="1:19" s="13" customFormat="1" ht="20.100000000000001" customHeight="1" x14ac:dyDescent="0.3">
      <c r="A98" s="1"/>
      <c r="B98" s="10"/>
      <c r="D98" s="47"/>
      <c r="E98" s="141"/>
      <c r="F98" s="141"/>
      <c r="H98" s="88"/>
      <c r="I98" s="11"/>
    </row>
    <row r="99" spans="1:19" s="13" customFormat="1" ht="20.100000000000001" customHeight="1" x14ac:dyDescent="0.3">
      <c r="A99" s="1"/>
      <c r="B99" s="10"/>
      <c r="D99" s="47"/>
      <c r="E99" s="141"/>
      <c r="F99" s="141"/>
      <c r="H99" s="88"/>
      <c r="I99" s="11"/>
    </row>
    <row r="100" spans="1:19" s="13" customFormat="1" ht="20.100000000000001" customHeight="1" x14ac:dyDescent="0.3">
      <c r="A100" s="1"/>
      <c r="B100" s="10"/>
      <c r="D100" s="47"/>
      <c r="E100" s="141"/>
      <c r="F100" s="141"/>
      <c r="H100" s="88"/>
      <c r="I100" s="11"/>
    </row>
    <row r="101" spans="1:19" s="90" customFormat="1" ht="20.100000000000001" customHeight="1" x14ac:dyDescent="0.3">
      <c r="A101" s="1"/>
      <c r="B101" s="10"/>
      <c r="C101" s="13"/>
      <c r="D101" s="116"/>
      <c r="E101" s="141"/>
      <c r="F101" s="141"/>
      <c r="G101" s="1"/>
      <c r="I101" s="1"/>
      <c r="J101" s="1"/>
      <c r="K101" s="1"/>
      <c r="M101" s="1"/>
      <c r="N101" s="1"/>
      <c r="O101" s="1"/>
      <c r="P101" s="1"/>
      <c r="Q101" s="1"/>
      <c r="R101" s="1"/>
      <c r="S101" s="1"/>
    </row>
    <row r="102" spans="1:19" s="90" customFormat="1" ht="20.100000000000001" customHeight="1" x14ac:dyDescent="0.3">
      <c r="A102" s="1"/>
      <c r="B102" s="10"/>
      <c r="C102" s="13"/>
      <c r="D102" s="116"/>
      <c r="E102" s="141"/>
      <c r="F102" s="141"/>
      <c r="G102" s="1"/>
      <c r="I102" s="1"/>
      <c r="J102" s="1"/>
      <c r="K102" s="1"/>
      <c r="M102" s="1"/>
      <c r="N102" s="1"/>
      <c r="O102" s="1"/>
      <c r="P102" s="1"/>
      <c r="Q102" s="1"/>
      <c r="R102" s="1"/>
      <c r="S102" s="1"/>
    </row>
    <row r="103" spans="1:19" s="90" customFormat="1" ht="20.100000000000001" customHeight="1" x14ac:dyDescent="0.3">
      <c r="A103" s="1"/>
      <c r="B103" s="10"/>
      <c r="C103" s="13"/>
      <c r="D103" s="116"/>
      <c r="E103" s="141"/>
      <c r="F103" s="141"/>
      <c r="G103" s="1"/>
      <c r="I103" s="1"/>
      <c r="J103" s="1"/>
      <c r="K103" s="1"/>
      <c r="M103" s="1"/>
      <c r="N103" s="1"/>
      <c r="O103" s="1"/>
      <c r="P103" s="1"/>
      <c r="Q103" s="1"/>
      <c r="R103" s="1"/>
      <c r="S103" s="1"/>
    </row>
    <row r="104" spans="1:19" s="90" customFormat="1" ht="20.100000000000001" customHeight="1" x14ac:dyDescent="0.3">
      <c r="A104" s="1"/>
      <c r="B104" s="10"/>
      <c r="C104" s="13"/>
      <c r="D104" s="116"/>
      <c r="E104" s="141"/>
      <c r="F104" s="141"/>
      <c r="G104" s="11"/>
      <c r="I104" s="1"/>
      <c r="J104" s="1"/>
      <c r="K104" s="1"/>
      <c r="M104" s="1"/>
      <c r="N104" s="1"/>
      <c r="O104" s="1"/>
      <c r="P104" s="1"/>
      <c r="Q104" s="1"/>
      <c r="R104" s="1"/>
      <c r="S104" s="1"/>
    </row>
  </sheetData>
  <mergeCells count="4">
    <mergeCell ref="D9:E10"/>
    <mergeCell ref="A9:A10"/>
    <mergeCell ref="B9:B10"/>
    <mergeCell ref="C9:C10"/>
  </mergeCells>
  <pageMargins left="0.7" right="0.7" top="0.75" bottom="0.75" header="0.3" footer="0.3"/>
  <pageSetup scale="79" fitToHeight="0"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0CA0A-5CC5-4C31-824D-2B7D9D657AC5}">
  <sheetPr>
    <pageSetUpPr fitToPage="1"/>
  </sheetPr>
  <dimension ref="A1:S222"/>
  <sheetViews>
    <sheetView topLeftCell="A164" zoomScale="96" zoomScaleNormal="96" workbookViewId="0">
      <selection activeCell="G182" sqref="G182"/>
    </sheetView>
  </sheetViews>
  <sheetFormatPr defaultRowHeight="18.75" x14ac:dyDescent="0.3"/>
  <cols>
    <col min="1" max="1" width="20.7109375" style="1" customWidth="1"/>
    <col min="2" max="2" width="16.85546875" style="10" customWidth="1"/>
    <col min="3" max="3" width="25" style="13" bestFit="1" customWidth="1"/>
    <col min="4" max="4" width="25.140625" style="116" customWidth="1"/>
    <col min="5" max="5" width="9.7109375" style="141" customWidth="1"/>
    <col min="6" max="6" width="16.5703125" style="141" customWidth="1"/>
    <col min="7" max="7" width="35" style="1" bestFit="1" customWidth="1"/>
    <col min="8" max="8" width="5.5703125" style="90" bestFit="1" customWidth="1"/>
    <col min="9" max="11" width="9.140625" style="1"/>
    <col min="12" max="12" width="57.5703125" style="1" bestFit="1" customWidth="1"/>
    <col min="13" max="16384" width="9.140625" style="1"/>
  </cols>
  <sheetData>
    <row r="1" spans="1:19" s="11" customFormat="1" ht="20.100000000000001" customHeight="1" x14ac:dyDescent="0.25">
      <c r="A1" s="11" t="s">
        <v>1203</v>
      </c>
      <c r="B1" s="17"/>
      <c r="C1" s="13"/>
      <c r="D1" s="47"/>
      <c r="E1" s="141"/>
      <c r="H1" s="88"/>
      <c r="L1" s="11" t="s">
        <v>1437</v>
      </c>
    </row>
    <row r="2" spans="1:19" s="11" customFormat="1" ht="20.100000000000001" customHeight="1" x14ac:dyDescent="0.25">
      <c r="A2" s="14">
        <v>45777</v>
      </c>
      <c r="B2" s="17"/>
      <c r="C2" s="13"/>
      <c r="D2" s="47"/>
      <c r="E2" s="141"/>
      <c r="H2" s="88"/>
      <c r="L2" s="11" t="s">
        <v>1438</v>
      </c>
    </row>
    <row r="3" spans="1:19" s="11" customFormat="1" ht="20.100000000000001" customHeight="1" x14ac:dyDescent="0.25">
      <c r="A3" s="11" t="s">
        <v>311</v>
      </c>
      <c r="B3" s="17">
        <v>33415092.100000001</v>
      </c>
      <c r="C3" s="13"/>
      <c r="D3" s="47"/>
      <c r="E3" s="141"/>
      <c r="H3" s="88"/>
      <c r="L3" s="11" t="s">
        <v>1439</v>
      </c>
      <c r="M3" s="89"/>
    </row>
    <row r="4" spans="1:19" s="11" customFormat="1" ht="20.100000000000001" customHeight="1" x14ac:dyDescent="0.25">
      <c r="A4" s="11" t="s">
        <v>6</v>
      </c>
      <c r="B4" s="17"/>
      <c r="C4" s="13"/>
      <c r="D4" s="47"/>
      <c r="E4" s="141"/>
      <c r="H4" s="88"/>
      <c r="L4" s="11" t="s">
        <v>1440</v>
      </c>
      <c r="M4" s="89"/>
    </row>
    <row r="5" spans="1:19" s="11" customFormat="1" ht="20.100000000000001" customHeight="1" x14ac:dyDescent="0.25">
      <c r="A5" s="11">
        <v>2100</v>
      </c>
      <c r="B5" s="17">
        <v>-23522444.25</v>
      </c>
      <c r="C5" s="13"/>
      <c r="D5" s="47"/>
      <c r="E5" s="141"/>
      <c r="H5" s="88"/>
      <c r="L5" s="11" t="s">
        <v>1441</v>
      </c>
      <c r="M5" s="89"/>
    </row>
    <row r="6" spans="1:19" s="11" customFormat="1" ht="20.100000000000001" customHeight="1" x14ac:dyDescent="0.25">
      <c r="A6" s="11" t="s">
        <v>5</v>
      </c>
      <c r="B6" s="17">
        <f>SUM(B5)</f>
        <v>-23522444.25</v>
      </c>
      <c r="C6" s="13"/>
      <c r="D6" s="47"/>
      <c r="E6" s="141"/>
      <c r="H6" s="88"/>
      <c r="L6" s="11" t="s">
        <v>1442</v>
      </c>
      <c r="M6" s="89"/>
      <c r="O6" s="62"/>
      <c r="P6" s="62"/>
      <c r="Q6" s="62"/>
      <c r="R6" s="62"/>
      <c r="S6" s="62"/>
    </row>
    <row r="7" spans="1:19" s="11" customFormat="1" ht="20.100000000000001" customHeight="1" x14ac:dyDescent="0.25">
      <c r="A7" s="11" t="s">
        <v>4</v>
      </c>
      <c r="B7" s="17">
        <f>B6+B3</f>
        <v>9892647.8500000015</v>
      </c>
      <c r="C7" s="13"/>
      <c r="D7" s="47"/>
      <c r="E7" s="141"/>
      <c r="H7" s="88"/>
      <c r="L7" s="11" t="s">
        <v>1443</v>
      </c>
      <c r="M7" s="88"/>
    </row>
    <row r="8" spans="1:19" s="11" customFormat="1" ht="15.95" customHeight="1" x14ac:dyDescent="0.25">
      <c r="A8" s="11" t="s">
        <v>3</v>
      </c>
      <c r="B8" s="17"/>
      <c r="C8" s="44" t="s">
        <v>628</v>
      </c>
      <c r="D8" s="158" t="s">
        <v>626</v>
      </c>
      <c r="E8" s="141"/>
      <c r="H8" s="88"/>
      <c r="L8" s="11" t="s">
        <v>1444</v>
      </c>
      <c r="M8" s="88"/>
    </row>
    <row r="9" spans="1:19" s="11" customFormat="1" ht="15.75" x14ac:dyDescent="0.25">
      <c r="A9" s="160" t="s">
        <v>2746</v>
      </c>
      <c r="B9" s="161">
        <v>-27725</v>
      </c>
      <c r="C9" s="164">
        <v>45777</v>
      </c>
      <c r="D9" s="163">
        <v>45779</v>
      </c>
      <c r="E9" s="160"/>
      <c r="F9" s="141"/>
      <c r="G9" s="55"/>
      <c r="L9" s="11" t="s">
        <v>1445</v>
      </c>
      <c r="M9" s="88"/>
    </row>
    <row r="10" spans="1:19" s="11" customFormat="1" ht="15.75" x14ac:dyDescent="0.25">
      <c r="A10" s="160" t="s">
        <v>2747</v>
      </c>
      <c r="B10" s="161">
        <v>-27725</v>
      </c>
      <c r="C10" s="164">
        <v>45777</v>
      </c>
      <c r="D10" s="163">
        <v>45779</v>
      </c>
      <c r="E10" s="160"/>
      <c r="F10" s="141"/>
      <c r="G10" s="55"/>
      <c r="L10" s="11" t="s">
        <v>1446</v>
      </c>
      <c r="M10" s="88"/>
    </row>
    <row r="11" spans="1:19" s="11" customFormat="1" ht="15.75" x14ac:dyDescent="0.25">
      <c r="A11" s="160" t="s">
        <v>2748</v>
      </c>
      <c r="B11" s="161">
        <v>-28939</v>
      </c>
      <c r="C11" s="164">
        <v>45777</v>
      </c>
      <c r="D11" s="163">
        <v>45779</v>
      </c>
      <c r="E11" s="160"/>
      <c r="F11" s="141"/>
      <c r="G11" s="55"/>
      <c r="L11" s="11" t="s">
        <v>1447</v>
      </c>
      <c r="M11" s="88"/>
    </row>
    <row r="12" spans="1:19" s="11" customFormat="1" ht="15.75" x14ac:dyDescent="0.25">
      <c r="A12" s="160" t="s">
        <v>2749</v>
      </c>
      <c r="B12" s="161">
        <v>-30094</v>
      </c>
      <c r="C12" s="164">
        <v>45777</v>
      </c>
      <c r="D12" s="163">
        <v>45779</v>
      </c>
      <c r="E12" s="160"/>
      <c r="F12" s="141"/>
      <c r="G12" s="55"/>
      <c r="L12" s="11" t="s">
        <v>1448</v>
      </c>
      <c r="M12" s="88"/>
    </row>
    <row r="13" spans="1:19" s="11" customFormat="1" ht="15.75" x14ac:dyDescent="0.25">
      <c r="A13" s="160" t="s">
        <v>2750</v>
      </c>
      <c r="B13" s="161">
        <v>-35152</v>
      </c>
      <c r="C13" s="164">
        <v>45777</v>
      </c>
      <c r="D13" s="163">
        <v>45779</v>
      </c>
      <c r="E13" s="160"/>
      <c r="F13" s="141"/>
      <c r="G13" s="55"/>
      <c r="L13" s="11" t="s">
        <v>1449</v>
      </c>
      <c r="M13" s="88"/>
    </row>
    <row r="14" spans="1:19" s="11" customFormat="1" ht="15.75" x14ac:dyDescent="0.25">
      <c r="A14" s="160" t="s">
        <v>2751</v>
      </c>
      <c r="B14" s="161">
        <v>-35152</v>
      </c>
      <c r="C14" s="164">
        <v>45777</v>
      </c>
      <c r="D14" s="163">
        <v>45779</v>
      </c>
      <c r="E14" s="160"/>
      <c r="F14" s="141"/>
      <c r="G14" s="55"/>
      <c r="L14" s="11" t="s">
        <v>1450</v>
      </c>
      <c r="M14" s="88"/>
    </row>
    <row r="15" spans="1:19" s="11" customFormat="1" ht="15.75" x14ac:dyDescent="0.25">
      <c r="A15" s="160" t="s">
        <v>2752</v>
      </c>
      <c r="B15" s="161">
        <v>-39151</v>
      </c>
      <c r="C15" s="164">
        <v>45777</v>
      </c>
      <c r="D15" s="163">
        <v>45779</v>
      </c>
      <c r="E15" s="160"/>
      <c r="F15" s="141"/>
      <c r="G15" s="55"/>
      <c r="L15" s="11" t="s">
        <v>1451</v>
      </c>
      <c r="M15" s="88"/>
    </row>
    <row r="16" spans="1:19" s="11" customFormat="1" ht="15.75" x14ac:dyDescent="0.25">
      <c r="A16" s="160" t="s">
        <v>2753</v>
      </c>
      <c r="B16" s="161">
        <v>-39331</v>
      </c>
      <c r="C16" s="164">
        <v>45777</v>
      </c>
      <c r="D16" s="163">
        <v>45779</v>
      </c>
      <c r="E16" s="160"/>
      <c r="F16" s="141"/>
      <c r="G16" s="55"/>
      <c r="L16" s="11" t="s">
        <v>1452</v>
      </c>
      <c r="M16" s="88"/>
    </row>
    <row r="17" spans="1:13" s="11" customFormat="1" ht="15.75" x14ac:dyDescent="0.25">
      <c r="A17" s="77" t="s">
        <v>2754</v>
      </c>
      <c r="B17" s="162">
        <v>-41812</v>
      </c>
      <c r="C17" s="31">
        <v>45777</v>
      </c>
      <c r="D17" s="28">
        <v>45779</v>
      </c>
      <c r="E17" s="141"/>
      <c r="F17" s="141"/>
      <c r="G17" s="55"/>
      <c r="L17" s="11" t="s">
        <v>1453</v>
      </c>
      <c r="M17" s="88"/>
    </row>
    <row r="18" spans="1:13" s="11" customFormat="1" ht="15.75" x14ac:dyDescent="0.25">
      <c r="A18" s="77"/>
      <c r="B18" s="162"/>
      <c r="C18" s="13"/>
      <c r="D18" s="28"/>
      <c r="E18" s="141"/>
      <c r="F18" s="141"/>
      <c r="G18" s="55"/>
      <c r="L18" s="11" t="s">
        <v>1436</v>
      </c>
      <c r="M18" s="88"/>
    </row>
    <row r="19" spans="1:13" s="11" customFormat="1" ht="15.75" x14ac:dyDescent="0.25">
      <c r="A19" s="77"/>
      <c r="B19" s="162"/>
      <c r="C19" s="13"/>
      <c r="D19" s="28"/>
      <c r="E19" s="141"/>
      <c r="F19" s="141"/>
      <c r="G19" s="55"/>
      <c r="L19" s="11" t="s">
        <v>1454</v>
      </c>
      <c r="M19" s="88"/>
    </row>
    <row r="20" spans="1:13" s="11" customFormat="1" ht="15.75" x14ac:dyDescent="0.25">
      <c r="A20" s="77"/>
      <c r="B20" s="162"/>
      <c r="C20" s="13"/>
      <c r="D20" s="28"/>
      <c r="E20" s="141"/>
      <c r="F20" s="141"/>
      <c r="G20" s="55"/>
      <c r="L20" s="11" t="s">
        <v>1455</v>
      </c>
      <c r="M20" s="88"/>
    </row>
    <row r="21" spans="1:13" s="11" customFormat="1" ht="15.75" x14ac:dyDescent="0.25">
      <c r="B21" s="25">
        <f>SUM(B9:B20)</f>
        <v>-305081</v>
      </c>
      <c r="C21" s="28"/>
      <c r="D21" s="28"/>
      <c r="E21" s="141"/>
      <c r="F21" s="141"/>
      <c r="G21" s="55"/>
      <c r="L21" s="11" t="s">
        <v>1456</v>
      </c>
    </row>
    <row r="22" spans="1:13" s="11" customFormat="1" ht="16.5" customHeight="1" x14ac:dyDescent="0.25">
      <c r="A22" s="11" t="s">
        <v>2</v>
      </c>
      <c r="B22" s="25"/>
      <c r="C22" s="52" t="s">
        <v>626</v>
      </c>
      <c r="D22" s="158" t="s">
        <v>628</v>
      </c>
      <c r="E22" s="141"/>
      <c r="F22" s="141"/>
      <c r="G22" s="55"/>
      <c r="L22" s="11" t="s">
        <v>1457</v>
      </c>
    </row>
    <row r="23" spans="1:13" s="11" customFormat="1" ht="16.5" customHeight="1" x14ac:dyDescent="0.25">
      <c r="A23" s="11" t="s">
        <v>2769</v>
      </c>
      <c r="B23" s="119">
        <v>26401.25</v>
      </c>
      <c r="C23" s="13">
        <v>45771</v>
      </c>
      <c r="D23" s="86">
        <v>45779</v>
      </c>
      <c r="E23" s="141"/>
      <c r="F23" s="141"/>
      <c r="G23" s="55"/>
      <c r="L23" s="11" t="s">
        <v>2506</v>
      </c>
    </row>
    <row r="24" spans="1:13" s="11" customFormat="1" ht="16.5" customHeight="1" x14ac:dyDescent="0.25">
      <c r="A24" s="11" t="s">
        <v>2770</v>
      </c>
      <c r="B24" s="119">
        <v>26401.25</v>
      </c>
      <c r="C24" s="13">
        <v>45771</v>
      </c>
      <c r="D24" s="86">
        <v>45779</v>
      </c>
      <c r="E24" s="141"/>
      <c r="F24" s="141"/>
      <c r="G24" s="55"/>
      <c r="L24" s="11" t="s">
        <v>1458</v>
      </c>
    </row>
    <row r="25" spans="1:13" s="11" customFormat="1" ht="16.5" customHeight="1" x14ac:dyDescent="0.25">
      <c r="A25" s="11" t="s">
        <v>2771</v>
      </c>
      <c r="B25" s="119">
        <v>27323.9</v>
      </c>
      <c r="C25" s="13">
        <v>45771</v>
      </c>
      <c r="D25" s="86">
        <v>45779</v>
      </c>
      <c r="E25" s="141"/>
      <c r="F25" s="141"/>
      <c r="G25" s="55"/>
      <c r="L25" s="11" t="s">
        <v>1368</v>
      </c>
    </row>
    <row r="26" spans="1:13" s="11" customFormat="1" ht="16.5" customHeight="1" x14ac:dyDescent="0.25">
      <c r="A26" s="11" t="s">
        <v>2866</v>
      </c>
      <c r="B26" s="119">
        <v>36878.449999999997</v>
      </c>
      <c r="C26" s="13">
        <v>45771</v>
      </c>
      <c r="D26" s="86">
        <v>45796</v>
      </c>
      <c r="E26" s="141"/>
      <c r="F26" s="141"/>
      <c r="G26" s="55"/>
      <c r="L26" s="11" t="s">
        <v>1459</v>
      </c>
      <c r="M26" s="88"/>
    </row>
    <row r="27" spans="1:13" s="11" customFormat="1" ht="16.5" customHeight="1" x14ac:dyDescent="0.25">
      <c r="A27" s="11" t="s">
        <v>2867</v>
      </c>
      <c r="B27" s="119">
        <v>37338.800000000003</v>
      </c>
      <c r="C27" s="13">
        <v>45771</v>
      </c>
      <c r="D27" s="86">
        <v>45791</v>
      </c>
      <c r="E27" s="141"/>
      <c r="F27" s="141"/>
      <c r="G27" s="55"/>
      <c r="L27" s="11" t="s">
        <v>1369</v>
      </c>
    </row>
    <row r="28" spans="1:13" s="11" customFormat="1" ht="16.5" customHeight="1" x14ac:dyDescent="0.25">
      <c r="A28" s="11" t="s">
        <v>2868</v>
      </c>
      <c r="B28" s="119">
        <v>53882.3</v>
      </c>
      <c r="C28" s="13">
        <v>45777</v>
      </c>
      <c r="D28" s="86">
        <v>45790</v>
      </c>
      <c r="E28" s="141"/>
      <c r="F28" s="141"/>
      <c r="G28" s="55"/>
      <c r="L28" s="11" t="s">
        <v>1460</v>
      </c>
    </row>
    <row r="29" spans="1:13" s="11" customFormat="1" ht="16.5" customHeight="1" x14ac:dyDescent="0.25">
      <c r="A29" s="11" t="s">
        <v>2755</v>
      </c>
      <c r="B29" s="119">
        <v>54342.65</v>
      </c>
      <c r="C29" s="13">
        <v>45772</v>
      </c>
      <c r="D29" s="91">
        <v>4200</v>
      </c>
      <c r="E29" s="141"/>
      <c r="F29" s="141"/>
      <c r="G29" s="55"/>
    </row>
    <row r="30" spans="1:13" s="11" customFormat="1" ht="16.5" customHeight="1" x14ac:dyDescent="0.25">
      <c r="A30" s="11" t="s">
        <v>2869</v>
      </c>
      <c r="B30" s="119">
        <v>59499.45</v>
      </c>
      <c r="C30" s="13">
        <v>45761</v>
      </c>
      <c r="D30" s="86">
        <v>45790</v>
      </c>
      <c r="E30" s="141"/>
      <c r="F30" s="141"/>
      <c r="G30" s="55"/>
    </row>
    <row r="31" spans="1:13" s="11" customFormat="1" ht="16.5" customHeight="1" x14ac:dyDescent="0.25">
      <c r="A31" s="11" t="s">
        <v>2870</v>
      </c>
      <c r="B31" s="119">
        <v>59499.45</v>
      </c>
      <c r="C31" s="13">
        <v>45761</v>
      </c>
      <c r="D31" s="86">
        <v>45798</v>
      </c>
      <c r="E31" s="141"/>
      <c r="F31" s="141"/>
      <c r="G31" s="55"/>
    </row>
    <row r="32" spans="1:13" s="11" customFormat="1" ht="16.5" customHeight="1" x14ac:dyDescent="0.25">
      <c r="A32" s="11" t="s">
        <v>2871</v>
      </c>
      <c r="B32" s="119">
        <v>59499.45</v>
      </c>
      <c r="C32" s="13">
        <v>45761</v>
      </c>
      <c r="D32" s="86">
        <v>45790</v>
      </c>
      <c r="E32" s="141"/>
      <c r="F32" s="141"/>
      <c r="G32" s="55"/>
    </row>
    <row r="33" spans="1:13" s="11" customFormat="1" ht="16.5" customHeight="1" x14ac:dyDescent="0.25">
      <c r="A33" s="11" t="s">
        <v>2772</v>
      </c>
      <c r="B33" s="119">
        <v>59499.45</v>
      </c>
      <c r="C33" s="13">
        <v>45761</v>
      </c>
      <c r="D33" s="86">
        <v>45778</v>
      </c>
      <c r="E33" s="141"/>
      <c r="F33" s="141"/>
      <c r="G33" s="55"/>
    </row>
    <row r="34" spans="1:13" s="11" customFormat="1" ht="16.5" customHeight="1" x14ac:dyDescent="0.25">
      <c r="A34" s="11" t="s">
        <v>2872</v>
      </c>
      <c r="B34" s="119">
        <v>59499.45</v>
      </c>
      <c r="C34" s="13">
        <v>45761</v>
      </c>
      <c r="D34" s="86">
        <v>45791</v>
      </c>
      <c r="E34" s="141"/>
      <c r="F34" s="141"/>
      <c r="G34" s="55"/>
    </row>
    <row r="35" spans="1:13" s="11" customFormat="1" ht="16.5" customHeight="1" x14ac:dyDescent="0.25">
      <c r="A35" s="11" t="s">
        <v>2773</v>
      </c>
      <c r="B35" s="119">
        <v>59499.45</v>
      </c>
      <c r="C35" s="51">
        <v>45762</v>
      </c>
      <c r="D35" s="86">
        <v>45782</v>
      </c>
      <c r="E35" s="141"/>
      <c r="F35" s="141"/>
      <c r="G35" s="55"/>
    </row>
    <row r="36" spans="1:13" s="11" customFormat="1" ht="16.5" customHeight="1" x14ac:dyDescent="0.25">
      <c r="A36" s="11" t="s">
        <v>2756</v>
      </c>
      <c r="B36" s="119">
        <v>59499.45</v>
      </c>
      <c r="C36" s="13">
        <v>45761</v>
      </c>
      <c r="D36" s="91">
        <v>4800</v>
      </c>
      <c r="E36" s="141"/>
      <c r="F36" s="141"/>
      <c r="G36" s="55"/>
    </row>
    <row r="37" spans="1:13" s="11" customFormat="1" ht="16.5" customHeight="1" x14ac:dyDescent="0.25">
      <c r="A37" s="11" t="s">
        <v>2858</v>
      </c>
      <c r="B37" s="119">
        <v>59499.45</v>
      </c>
      <c r="C37" s="51">
        <v>45762</v>
      </c>
      <c r="D37" s="86">
        <v>45789</v>
      </c>
      <c r="E37" s="141"/>
      <c r="F37" s="141"/>
      <c r="G37" s="55"/>
    </row>
    <row r="38" spans="1:13" s="11" customFormat="1" ht="16.5" customHeight="1" thickBot="1" x14ac:dyDescent="0.3">
      <c r="A38" s="11" t="s">
        <v>2873</v>
      </c>
      <c r="B38" s="119">
        <v>59499.45</v>
      </c>
      <c r="C38" s="51">
        <v>45762</v>
      </c>
      <c r="D38" s="86">
        <v>45790</v>
      </c>
      <c r="E38" s="141"/>
      <c r="F38" s="141"/>
      <c r="G38" s="55"/>
    </row>
    <row r="39" spans="1:13" s="11" customFormat="1" ht="16.5" customHeight="1" x14ac:dyDescent="0.25">
      <c r="A39" s="11" t="s">
        <v>2774</v>
      </c>
      <c r="B39" s="119">
        <v>59499.45</v>
      </c>
      <c r="C39" s="51">
        <v>45762</v>
      </c>
      <c r="D39" s="86">
        <v>45779</v>
      </c>
      <c r="E39" s="141"/>
      <c r="F39" s="141"/>
      <c r="G39" s="55"/>
      <c r="M39" s="148"/>
    </row>
    <row r="40" spans="1:13" s="11" customFormat="1" ht="16.5" customHeight="1" thickBot="1" x14ac:dyDescent="0.3">
      <c r="A40" s="11" t="s">
        <v>2874</v>
      </c>
      <c r="B40" s="119">
        <v>59959.8</v>
      </c>
      <c r="C40" s="13">
        <v>45758</v>
      </c>
      <c r="D40" s="86">
        <v>45792</v>
      </c>
      <c r="E40" s="141"/>
      <c r="F40" s="141"/>
      <c r="G40" s="55"/>
      <c r="M40" s="149"/>
    </row>
    <row r="41" spans="1:13" s="11" customFormat="1" ht="16.5" customHeight="1" x14ac:dyDescent="0.25">
      <c r="A41" s="11" t="s">
        <v>2875</v>
      </c>
      <c r="B41" s="119">
        <v>59959.8</v>
      </c>
      <c r="C41" s="13">
        <v>45758</v>
      </c>
      <c r="D41" s="86">
        <v>45790</v>
      </c>
      <c r="E41" s="141"/>
      <c r="F41" s="141"/>
      <c r="G41" s="55"/>
    </row>
    <row r="42" spans="1:13" s="11" customFormat="1" ht="16.5" customHeight="1" x14ac:dyDescent="0.25">
      <c r="A42" s="11" t="s">
        <v>2757</v>
      </c>
      <c r="B42" s="119">
        <v>59959.8</v>
      </c>
      <c r="C42" s="13">
        <v>45761</v>
      </c>
      <c r="D42" s="91">
        <v>4800</v>
      </c>
      <c r="E42" s="141"/>
      <c r="F42" s="141"/>
      <c r="G42" s="55"/>
    </row>
    <row r="43" spans="1:13" s="11" customFormat="1" ht="16.5" customHeight="1" x14ac:dyDescent="0.25">
      <c r="A43" s="11" t="s">
        <v>2775</v>
      </c>
      <c r="B43" s="119">
        <v>59959.8</v>
      </c>
      <c r="C43" s="13">
        <v>45761</v>
      </c>
      <c r="D43" s="86">
        <v>45782</v>
      </c>
      <c r="E43" s="141"/>
      <c r="F43" s="141"/>
      <c r="G43" s="55"/>
    </row>
    <row r="44" spans="1:13" s="11" customFormat="1" ht="16.5" customHeight="1" x14ac:dyDescent="0.25">
      <c r="A44" s="11" t="s">
        <v>2776</v>
      </c>
      <c r="B44" s="119">
        <v>59959.8</v>
      </c>
      <c r="C44" s="51">
        <v>45761</v>
      </c>
      <c r="D44" s="86">
        <v>45779</v>
      </c>
      <c r="E44" s="141"/>
      <c r="F44" s="141"/>
      <c r="G44" s="55"/>
    </row>
    <row r="45" spans="1:13" s="11" customFormat="1" ht="16.5" customHeight="1" x14ac:dyDescent="0.25">
      <c r="A45" s="11" t="s">
        <v>2859</v>
      </c>
      <c r="B45" s="119">
        <v>59959.8</v>
      </c>
      <c r="C45" s="13">
        <v>45758</v>
      </c>
      <c r="D45" s="86">
        <v>45789</v>
      </c>
      <c r="E45" s="141"/>
      <c r="F45" s="141"/>
      <c r="G45" s="55"/>
    </row>
    <row r="46" spans="1:13" s="11" customFormat="1" ht="16.5" customHeight="1" x14ac:dyDescent="0.25">
      <c r="A46" s="11" t="s">
        <v>2876</v>
      </c>
      <c r="B46" s="119">
        <v>59959.8</v>
      </c>
      <c r="C46" s="51">
        <v>45758</v>
      </c>
      <c r="D46" s="86">
        <v>45791</v>
      </c>
      <c r="E46" s="141"/>
      <c r="F46" s="141"/>
      <c r="G46" s="55"/>
    </row>
    <row r="47" spans="1:13" s="11" customFormat="1" ht="16.5" customHeight="1" x14ac:dyDescent="0.25">
      <c r="A47" s="11" t="s">
        <v>2777</v>
      </c>
      <c r="B47" s="119">
        <v>59959.8</v>
      </c>
      <c r="C47" s="51">
        <v>45761</v>
      </c>
      <c r="D47" s="86">
        <v>45778</v>
      </c>
      <c r="E47" s="141"/>
      <c r="F47" s="141"/>
      <c r="G47" s="55"/>
    </row>
    <row r="48" spans="1:13" s="11" customFormat="1" ht="16.5" customHeight="1" x14ac:dyDescent="0.25">
      <c r="A48" s="11" t="s">
        <v>2860</v>
      </c>
      <c r="B48" s="119">
        <v>59959.8</v>
      </c>
      <c r="C48" s="51">
        <v>45762</v>
      </c>
      <c r="D48" s="86">
        <v>45789</v>
      </c>
      <c r="E48" s="141"/>
      <c r="F48" s="141"/>
      <c r="G48" s="55"/>
    </row>
    <row r="49" spans="1:7" s="11" customFormat="1" ht="16.5" customHeight="1" x14ac:dyDescent="0.25">
      <c r="A49" s="11" t="s">
        <v>2778</v>
      </c>
      <c r="B49" s="119">
        <v>59959.8</v>
      </c>
      <c r="C49" s="51">
        <v>45761</v>
      </c>
      <c r="D49" s="86">
        <v>45778</v>
      </c>
      <c r="E49" s="141"/>
      <c r="F49" s="141"/>
      <c r="G49" s="55"/>
    </row>
    <row r="50" spans="1:7" s="11" customFormat="1" ht="16.5" customHeight="1" x14ac:dyDescent="0.25">
      <c r="A50" s="11" t="s">
        <v>2779</v>
      </c>
      <c r="B50" s="119">
        <v>59959.8</v>
      </c>
      <c r="C50" s="51">
        <v>45761</v>
      </c>
      <c r="D50" s="86">
        <v>45778</v>
      </c>
      <c r="E50" s="141"/>
      <c r="F50" s="141"/>
      <c r="G50" s="55"/>
    </row>
    <row r="51" spans="1:7" s="11" customFormat="1" ht="16.5" customHeight="1" x14ac:dyDescent="0.25">
      <c r="A51" s="11" t="s">
        <v>2780</v>
      </c>
      <c r="B51" s="119">
        <v>59959.8</v>
      </c>
      <c r="C51" s="51">
        <v>45761</v>
      </c>
      <c r="D51" s="86">
        <v>45782</v>
      </c>
      <c r="E51" s="141"/>
      <c r="F51" s="141"/>
      <c r="G51" s="55"/>
    </row>
    <row r="52" spans="1:7" s="11" customFormat="1" ht="16.5" customHeight="1" x14ac:dyDescent="0.25">
      <c r="A52" s="11" t="s">
        <v>2781</v>
      </c>
      <c r="B52" s="119">
        <v>59959.8</v>
      </c>
      <c r="C52" s="51">
        <v>45762</v>
      </c>
      <c r="D52" s="86">
        <v>45779</v>
      </c>
      <c r="E52" s="141"/>
      <c r="F52" s="141"/>
      <c r="G52" s="55"/>
    </row>
    <row r="53" spans="1:7" s="11" customFormat="1" ht="16.5" customHeight="1" x14ac:dyDescent="0.25">
      <c r="A53" s="11" t="s">
        <v>2877</v>
      </c>
      <c r="B53" s="119">
        <v>60373.65</v>
      </c>
      <c r="C53" s="51">
        <v>45751</v>
      </c>
      <c r="D53" s="86">
        <v>45796</v>
      </c>
      <c r="E53" s="141"/>
      <c r="F53" s="141"/>
      <c r="G53" s="55"/>
    </row>
    <row r="54" spans="1:7" s="11" customFormat="1" ht="16.5" customHeight="1" x14ac:dyDescent="0.25">
      <c r="A54" s="11" t="s">
        <v>2782</v>
      </c>
      <c r="B54" s="119">
        <v>60373.65</v>
      </c>
      <c r="C54" s="51">
        <v>45771</v>
      </c>
      <c r="D54" s="86">
        <v>45778</v>
      </c>
      <c r="E54" s="141"/>
      <c r="F54" s="141"/>
      <c r="G54" s="55"/>
    </row>
    <row r="55" spans="1:7" s="11" customFormat="1" ht="16.5" customHeight="1" x14ac:dyDescent="0.25">
      <c r="A55" s="11" t="s">
        <v>2783</v>
      </c>
      <c r="B55" s="119">
        <v>60373.65</v>
      </c>
      <c r="C55" s="51">
        <v>45751</v>
      </c>
      <c r="D55" s="86">
        <v>45778</v>
      </c>
      <c r="E55" s="141"/>
      <c r="F55" s="141"/>
      <c r="G55" s="55"/>
    </row>
    <row r="56" spans="1:7" s="11" customFormat="1" ht="16.5" customHeight="1" x14ac:dyDescent="0.25">
      <c r="A56" s="11" t="s">
        <v>2784</v>
      </c>
      <c r="B56" s="119">
        <v>60373.65</v>
      </c>
      <c r="C56" s="51">
        <v>45771</v>
      </c>
      <c r="D56" s="86">
        <v>45778</v>
      </c>
      <c r="E56" s="141"/>
      <c r="F56" s="141"/>
      <c r="G56" s="55"/>
    </row>
    <row r="57" spans="1:7" s="11" customFormat="1" ht="16.5" customHeight="1" x14ac:dyDescent="0.25">
      <c r="A57" s="11" t="s">
        <v>2785</v>
      </c>
      <c r="B57" s="119">
        <v>60373.65</v>
      </c>
      <c r="C57" s="51">
        <v>45751</v>
      </c>
      <c r="D57" s="86">
        <v>45778</v>
      </c>
      <c r="E57" s="141"/>
      <c r="F57" s="141"/>
      <c r="G57" s="55"/>
    </row>
    <row r="58" spans="1:7" s="11" customFormat="1" ht="16.5" customHeight="1" x14ac:dyDescent="0.25">
      <c r="A58" s="11" t="s">
        <v>2852</v>
      </c>
      <c r="B58" s="119">
        <v>60373.65</v>
      </c>
      <c r="C58" s="51">
        <v>45751</v>
      </c>
      <c r="D58" s="86">
        <v>45787</v>
      </c>
      <c r="E58" s="141"/>
      <c r="F58" s="141"/>
      <c r="G58" s="55"/>
    </row>
    <row r="59" spans="1:7" s="11" customFormat="1" ht="16.5" customHeight="1" x14ac:dyDescent="0.25">
      <c r="A59" s="11" t="s">
        <v>2786</v>
      </c>
      <c r="B59" s="119">
        <v>60373.65</v>
      </c>
      <c r="C59" s="51">
        <v>45751</v>
      </c>
      <c r="D59" s="86">
        <v>45779</v>
      </c>
      <c r="E59" s="141"/>
      <c r="F59" s="141"/>
      <c r="G59" s="55"/>
    </row>
    <row r="60" spans="1:7" s="11" customFormat="1" ht="16.5" customHeight="1" x14ac:dyDescent="0.25">
      <c r="A60" s="11" t="s">
        <v>2878</v>
      </c>
      <c r="B60" s="119">
        <v>60373.65</v>
      </c>
      <c r="C60" s="51">
        <v>45771</v>
      </c>
      <c r="D60" s="86">
        <v>45796</v>
      </c>
      <c r="E60" s="141"/>
      <c r="F60" s="141"/>
      <c r="G60" s="55"/>
    </row>
    <row r="61" spans="1:7" s="11" customFormat="1" ht="16.5" customHeight="1" x14ac:dyDescent="0.25">
      <c r="A61" s="11" t="s">
        <v>2879</v>
      </c>
      <c r="B61" s="119">
        <v>60373.65</v>
      </c>
      <c r="C61" s="51">
        <v>45771</v>
      </c>
      <c r="D61" s="86">
        <v>45796</v>
      </c>
      <c r="E61" s="141"/>
      <c r="F61" s="141"/>
      <c r="G61" s="55"/>
    </row>
    <row r="62" spans="1:7" s="11" customFormat="1" ht="16.5" customHeight="1" x14ac:dyDescent="0.25">
      <c r="A62" s="11" t="s">
        <v>2880</v>
      </c>
      <c r="B62" s="119">
        <v>60834</v>
      </c>
      <c r="C62" s="51">
        <v>45769</v>
      </c>
      <c r="D62" s="86">
        <v>45790</v>
      </c>
      <c r="E62" s="141"/>
      <c r="F62" s="141"/>
      <c r="G62" s="55"/>
    </row>
    <row r="63" spans="1:7" s="11" customFormat="1" ht="16.5" customHeight="1" x14ac:dyDescent="0.25">
      <c r="A63" s="11" t="s">
        <v>2881</v>
      </c>
      <c r="B63" s="119">
        <v>60834</v>
      </c>
      <c r="C63" s="51">
        <v>45771</v>
      </c>
      <c r="D63" s="86">
        <v>45790</v>
      </c>
      <c r="E63" s="141"/>
      <c r="F63" s="141"/>
      <c r="G63" s="55"/>
    </row>
    <row r="64" spans="1:7" s="11" customFormat="1" ht="16.5" customHeight="1" x14ac:dyDescent="0.25">
      <c r="A64" s="11" t="s">
        <v>2787</v>
      </c>
      <c r="B64" s="119">
        <v>60834</v>
      </c>
      <c r="C64" s="51">
        <v>45769</v>
      </c>
      <c r="D64" s="86">
        <v>45778</v>
      </c>
      <c r="E64" s="141"/>
      <c r="F64" s="141"/>
      <c r="G64" s="55"/>
    </row>
    <row r="65" spans="1:7" s="11" customFormat="1" ht="16.5" customHeight="1" x14ac:dyDescent="0.25">
      <c r="A65" s="11" t="s">
        <v>2758</v>
      </c>
      <c r="B65" s="119">
        <v>60834</v>
      </c>
      <c r="C65" s="51">
        <v>45771</v>
      </c>
      <c r="D65" s="91">
        <v>4300</v>
      </c>
      <c r="E65" s="141"/>
      <c r="F65" s="141"/>
      <c r="G65" s="55"/>
    </row>
    <row r="66" spans="1:7" s="11" customFormat="1" ht="16.5" customHeight="1" x14ac:dyDescent="0.25">
      <c r="A66" s="11" t="s">
        <v>2853</v>
      </c>
      <c r="B66" s="119">
        <v>60834</v>
      </c>
      <c r="C66" s="51">
        <v>45772</v>
      </c>
      <c r="D66" s="86">
        <v>45787</v>
      </c>
      <c r="E66" s="141"/>
      <c r="F66" s="141"/>
      <c r="G66" s="55"/>
    </row>
    <row r="67" spans="1:7" s="11" customFormat="1" ht="16.5" customHeight="1" x14ac:dyDescent="0.25">
      <c r="A67" s="11" t="s">
        <v>2788</v>
      </c>
      <c r="B67" s="119">
        <v>60834</v>
      </c>
      <c r="C67" s="51">
        <v>45770</v>
      </c>
      <c r="D67" s="86">
        <v>45779</v>
      </c>
      <c r="E67" s="141"/>
      <c r="F67" s="141"/>
      <c r="G67" s="55"/>
    </row>
    <row r="68" spans="1:7" s="11" customFormat="1" ht="16.5" customHeight="1" x14ac:dyDescent="0.25">
      <c r="A68" s="11" t="s">
        <v>2789</v>
      </c>
      <c r="B68" s="119">
        <v>60834</v>
      </c>
      <c r="C68" s="51">
        <v>45771</v>
      </c>
      <c r="D68" s="86">
        <v>45779</v>
      </c>
      <c r="E68" s="141"/>
      <c r="F68" s="141"/>
      <c r="G68" s="55"/>
    </row>
    <row r="69" spans="1:7" s="11" customFormat="1" ht="16.5" customHeight="1" x14ac:dyDescent="0.25">
      <c r="A69" s="11" t="s">
        <v>2759</v>
      </c>
      <c r="B69" s="119">
        <v>60834</v>
      </c>
      <c r="C69" s="51">
        <v>45770</v>
      </c>
      <c r="D69" s="91">
        <v>4300</v>
      </c>
      <c r="E69" s="141"/>
      <c r="F69" s="141"/>
      <c r="G69" s="55"/>
    </row>
    <row r="70" spans="1:7" s="11" customFormat="1" ht="16.5" customHeight="1" x14ac:dyDescent="0.25">
      <c r="A70" s="11" t="s">
        <v>2790</v>
      </c>
      <c r="B70" s="119">
        <v>60834</v>
      </c>
      <c r="C70" s="51">
        <v>45770</v>
      </c>
      <c r="D70" s="86">
        <v>45779</v>
      </c>
      <c r="E70" s="141"/>
      <c r="F70" s="141"/>
      <c r="G70" s="55"/>
    </row>
    <row r="71" spans="1:7" s="11" customFormat="1" ht="16.5" customHeight="1" x14ac:dyDescent="0.25">
      <c r="A71" s="11" t="s">
        <v>2882</v>
      </c>
      <c r="B71" s="119">
        <v>60834</v>
      </c>
      <c r="C71" s="51">
        <v>45771</v>
      </c>
      <c r="D71" s="86">
        <v>45796</v>
      </c>
      <c r="E71" s="141"/>
      <c r="F71" s="141"/>
      <c r="G71" s="55"/>
    </row>
    <row r="72" spans="1:7" s="11" customFormat="1" ht="16.5" customHeight="1" x14ac:dyDescent="0.25">
      <c r="A72" s="11" t="s">
        <v>2854</v>
      </c>
      <c r="B72" s="119">
        <v>60834</v>
      </c>
      <c r="C72" s="51">
        <v>45769</v>
      </c>
      <c r="D72" s="86">
        <v>45787</v>
      </c>
      <c r="E72" s="141"/>
      <c r="F72" s="141"/>
      <c r="G72" s="55"/>
    </row>
    <row r="73" spans="1:7" s="11" customFormat="1" ht="16.5" customHeight="1" x14ac:dyDescent="0.25">
      <c r="A73" s="11" t="s">
        <v>2883</v>
      </c>
      <c r="B73" s="119">
        <v>60834</v>
      </c>
      <c r="C73" s="51">
        <v>45771</v>
      </c>
      <c r="D73" s="86">
        <v>45793</v>
      </c>
      <c r="E73" s="141"/>
      <c r="F73" s="141"/>
      <c r="G73" s="55"/>
    </row>
    <row r="74" spans="1:7" s="11" customFormat="1" ht="16.5" customHeight="1" x14ac:dyDescent="0.25">
      <c r="A74" s="11" t="s">
        <v>2855</v>
      </c>
      <c r="B74" s="119">
        <v>60834</v>
      </c>
      <c r="C74" s="51">
        <v>45769</v>
      </c>
      <c r="D74" s="86">
        <v>45787</v>
      </c>
      <c r="E74" s="141"/>
      <c r="F74" s="141"/>
      <c r="G74" s="55"/>
    </row>
    <row r="75" spans="1:7" s="11" customFormat="1" ht="16.5" customHeight="1" x14ac:dyDescent="0.25">
      <c r="A75" s="11" t="s">
        <v>2791</v>
      </c>
      <c r="B75" s="119">
        <v>60834</v>
      </c>
      <c r="C75" s="51">
        <v>45771</v>
      </c>
      <c r="D75" s="86">
        <v>45785</v>
      </c>
      <c r="E75" s="141"/>
      <c r="F75" s="141"/>
      <c r="G75" s="55"/>
    </row>
    <row r="76" spans="1:7" s="11" customFormat="1" ht="16.5" customHeight="1" x14ac:dyDescent="0.25">
      <c r="A76" s="11" t="s">
        <v>2792</v>
      </c>
      <c r="B76" s="119">
        <v>60834</v>
      </c>
      <c r="C76" s="51">
        <v>45769</v>
      </c>
      <c r="D76" s="86">
        <v>45785</v>
      </c>
      <c r="E76" s="141"/>
      <c r="F76" s="141"/>
      <c r="G76" s="55"/>
    </row>
    <row r="77" spans="1:7" s="11" customFormat="1" ht="16.5" customHeight="1" x14ac:dyDescent="0.25">
      <c r="A77" s="11" t="s">
        <v>2793</v>
      </c>
      <c r="B77" s="119">
        <v>60834</v>
      </c>
      <c r="C77" s="51">
        <v>45769</v>
      </c>
      <c r="D77" s="86">
        <v>45778</v>
      </c>
      <c r="E77" s="141"/>
      <c r="F77" s="141"/>
      <c r="G77" s="55"/>
    </row>
    <row r="78" spans="1:7" s="11" customFormat="1" ht="16.5" customHeight="1" x14ac:dyDescent="0.25">
      <c r="A78" s="11" t="s">
        <v>2856</v>
      </c>
      <c r="B78" s="119">
        <v>60834</v>
      </c>
      <c r="C78" s="51">
        <v>45769</v>
      </c>
      <c r="D78" s="86">
        <v>45787</v>
      </c>
      <c r="E78" s="141"/>
      <c r="F78" s="141"/>
      <c r="G78" s="55"/>
    </row>
    <row r="79" spans="1:7" s="11" customFormat="1" ht="16.5" customHeight="1" x14ac:dyDescent="0.25">
      <c r="A79" s="11" t="s">
        <v>2884</v>
      </c>
      <c r="B79" s="119">
        <v>63740.25</v>
      </c>
      <c r="C79" s="51">
        <v>45761</v>
      </c>
      <c r="D79" s="86">
        <v>45792</v>
      </c>
      <c r="E79" s="141"/>
      <c r="F79" s="141"/>
      <c r="G79" s="55"/>
    </row>
    <row r="80" spans="1:7" s="11" customFormat="1" ht="16.5" customHeight="1" x14ac:dyDescent="0.25">
      <c r="A80" s="11" t="s">
        <v>2885</v>
      </c>
      <c r="B80" s="119">
        <v>63740.25</v>
      </c>
      <c r="C80" s="51">
        <v>45762</v>
      </c>
      <c r="D80" s="86">
        <v>45792</v>
      </c>
      <c r="E80" s="141"/>
      <c r="F80" s="141"/>
      <c r="G80" s="55"/>
    </row>
    <row r="81" spans="1:7" s="11" customFormat="1" ht="16.5" customHeight="1" x14ac:dyDescent="0.25">
      <c r="A81" s="11" t="s">
        <v>2794</v>
      </c>
      <c r="B81" s="119">
        <v>63740.25</v>
      </c>
      <c r="C81" s="51">
        <v>45761</v>
      </c>
      <c r="D81" s="86">
        <v>45785</v>
      </c>
      <c r="E81" s="141"/>
      <c r="F81" s="141"/>
      <c r="G81" s="55"/>
    </row>
    <row r="82" spans="1:7" s="11" customFormat="1" ht="16.5" customHeight="1" x14ac:dyDescent="0.25">
      <c r="A82" s="11" t="s">
        <v>2886</v>
      </c>
      <c r="B82" s="119">
        <v>63740.25</v>
      </c>
      <c r="C82" s="51">
        <v>45761</v>
      </c>
      <c r="D82" s="86">
        <v>45793</v>
      </c>
      <c r="E82" s="141"/>
      <c r="F82" s="141"/>
      <c r="G82" s="55"/>
    </row>
    <row r="83" spans="1:7" s="11" customFormat="1" ht="16.5" customHeight="1" x14ac:dyDescent="0.25">
      <c r="A83" s="11" t="s">
        <v>2795</v>
      </c>
      <c r="B83" s="119">
        <v>63740.25</v>
      </c>
      <c r="C83" s="51">
        <v>45761</v>
      </c>
      <c r="D83" s="86">
        <v>45778</v>
      </c>
      <c r="E83" s="141"/>
      <c r="F83" s="141"/>
      <c r="G83" s="55"/>
    </row>
    <row r="84" spans="1:7" s="11" customFormat="1" ht="16.5" customHeight="1" x14ac:dyDescent="0.25">
      <c r="A84" s="11" t="s">
        <v>2887</v>
      </c>
      <c r="B84" s="119">
        <v>63740.25</v>
      </c>
      <c r="C84" s="51">
        <v>45761</v>
      </c>
      <c r="D84" s="86">
        <v>45792</v>
      </c>
      <c r="E84" s="141"/>
      <c r="F84" s="141"/>
      <c r="G84" s="55"/>
    </row>
    <row r="85" spans="1:7" s="11" customFormat="1" ht="16.5" customHeight="1" x14ac:dyDescent="0.25">
      <c r="A85" s="11" t="s">
        <v>2796</v>
      </c>
      <c r="B85" s="119">
        <v>64149.45</v>
      </c>
      <c r="C85" s="51">
        <v>45771</v>
      </c>
      <c r="D85" s="86">
        <v>45779</v>
      </c>
      <c r="E85" s="141"/>
      <c r="F85" s="141"/>
      <c r="G85" s="55"/>
    </row>
    <row r="86" spans="1:7" s="11" customFormat="1" ht="16.5" customHeight="1" x14ac:dyDescent="0.25">
      <c r="A86" s="11" t="s">
        <v>2797</v>
      </c>
      <c r="B86" s="119">
        <v>64149.45</v>
      </c>
      <c r="C86" s="51">
        <v>45771</v>
      </c>
      <c r="D86" s="86">
        <v>45785</v>
      </c>
      <c r="E86" s="141"/>
      <c r="F86" s="141"/>
      <c r="G86" s="55"/>
    </row>
    <row r="87" spans="1:7" s="11" customFormat="1" ht="16.5" customHeight="1" x14ac:dyDescent="0.25">
      <c r="A87" s="11" t="s">
        <v>2798</v>
      </c>
      <c r="B87" s="119">
        <v>64149.45</v>
      </c>
      <c r="C87" s="51">
        <v>45771</v>
      </c>
      <c r="D87" s="86">
        <v>45779</v>
      </c>
      <c r="E87" s="141"/>
      <c r="F87" s="141"/>
      <c r="G87" s="55"/>
    </row>
    <row r="88" spans="1:7" s="11" customFormat="1" ht="16.5" customHeight="1" x14ac:dyDescent="0.25">
      <c r="A88" s="11" t="s">
        <v>2799</v>
      </c>
      <c r="B88" s="119">
        <v>64149.45</v>
      </c>
      <c r="C88" s="51">
        <v>45771</v>
      </c>
      <c r="D88" s="86">
        <v>45783</v>
      </c>
      <c r="E88" s="141"/>
      <c r="F88" s="141"/>
      <c r="G88" s="55"/>
    </row>
    <row r="89" spans="1:7" s="11" customFormat="1" ht="16.5" customHeight="1" x14ac:dyDescent="0.25">
      <c r="A89" s="11" t="s">
        <v>2888</v>
      </c>
      <c r="B89" s="119">
        <v>64200.6</v>
      </c>
      <c r="C89" s="51">
        <v>45758</v>
      </c>
      <c r="D89" s="86">
        <v>45790</v>
      </c>
      <c r="E89" s="141"/>
      <c r="F89" s="141"/>
      <c r="G89" s="55"/>
    </row>
    <row r="90" spans="1:7" s="11" customFormat="1" ht="16.5" customHeight="1" x14ac:dyDescent="0.25">
      <c r="A90" s="11" t="s">
        <v>2889</v>
      </c>
      <c r="B90" s="119">
        <v>64200.6</v>
      </c>
      <c r="C90" s="51">
        <v>45761</v>
      </c>
      <c r="D90" s="86">
        <v>45793</v>
      </c>
      <c r="E90" s="141"/>
      <c r="F90" s="141"/>
      <c r="G90" s="55"/>
    </row>
    <row r="91" spans="1:7" s="11" customFormat="1" ht="16.5" customHeight="1" x14ac:dyDescent="0.25">
      <c r="A91" s="11" t="s">
        <v>2800</v>
      </c>
      <c r="B91" s="119">
        <v>64200.6</v>
      </c>
      <c r="C91" s="51">
        <v>45761</v>
      </c>
      <c r="D91" s="86">
        <v>45782</v>
      </c>
      <c r="E91" s="141"/>
      <c r="F91" s="141"/>
      <c r="G91" s="55"/>
    </row>
    <row r="92" spans="1:7" s="11" customFormat="1" ht="16.5" customHeight="1" x14ac:dyDescent="0.25">
      <c r="A92" s="11" t="s">
        <v>2890</v>
      </c>
      <c r="B92" s="119">
        <v>64200.6</v>
      </c>
      <c r="C92" s="51">
        <v>45761</v>
      </c>
      <c r="D92" s="86">
        <v>45791</v>
      </c>
      <c r="E92" s="141"/>
      <c r="F92" s="141"/>
      <c r="G92" s="55"/>
    </row>
    <row r="93" spans="1:7" s="11" customFormat="1" ht="16.5" customHeight="1" x14ac:dyDescent="0.25">
      <c r="A93" s="11" t="s">
        <v>2801</v>
      </c>
      <c r="B93" s="119">
        <v>64200.6</v>
      </c>
      <c r="C93" s="51">
        <v>45761</v>
      </c>
      <c r="D93" s="86">
        <v>45785</v>
      </c>
      <c r="E93" s="141"/>
      <c r="F93" s="141"/>
      <c r="G93" s="55"/>
    </row>
    <row r="94" spans="1:7" s="11" customFormat="1" ht="16.5" customHeight="1" x14ac:dyDescent="0.25">
      <c r="A94" s="11" t="s">
        <v>2802</v>
      </c>
      <c r="B94" s="119">
        <v>64200.6</v>
      </c>
      <c r="C94" s="51">
        <v>45761</v>
      </c>
      <c r="D94" s="86">
        <v>45782</v>
      </c>
      <c r="E94" s="141"/>
      <c r="F94" s="141"/>
      <c r="G94" s="55"/>
    </row>
    <row r="95" spans="1:7" s="11" customFormat="1" ht="16.5" customHeight="1" x14ac:dyDescent="0.25">
      <c r="A95" s="11" t="s">
        <v>2891</v>
      </c>
      <c r="B95" s="119">
        <v>64200.6</v>
      </c>
      <c r="C95" s="51">
        <v>45761</v>
      </c>
      <c r="D95" s="86">
        <v>45791</v>
      </c>
      <c r="E95" s="141"/>
      <c r="F95" s="141"/>
      <c r="G95" s="55"/>
    </row>
    <row r="96" spans="1:7" s="11" customFormat="1" ht="16.5" customHeight="1" x14ac:dyDescent="0.25">
      <c r="A96" s="11" t="s">
        <v>2803</v>
      </c>
      <c r="B96" s="119">
        <v>64200.6</v>
      </c>
      <c r="C96" s="51">
        <v>45761</v>
      </c>
      <c r="D96" s="86">
        <v>45779</v>
      </c>
      <c r="E96" s="141"/>
      <c r="F96" s="141"/>
      <c r="G96" s="55"/>
    </row>
    <row r="97" spans="1:7" s="11" customFormat="1" ht="16.5" customHeight="1" x14ac:dyDescent="0.25">
      <c r="A97" s="11" t="s">
        <v>2804</v>
      </c>
      <c r="B97" s="119">
        <v>64200.6</v>
      </c>
      <c r="C97" s="51">
        <v>45761</v>
      </c>
      <c r="D97" s="86">
        <v>45785</v>
      </c>
      <c r="E97" s="141"/>
      <c r="F97" s="141"/>
      <c r="G97" s="55"/>
    </row>
    <row r="98" spans="1:7" s="11" customFormat="1" ht="16.5" customHeight="1" x14ac:dyDescent="0.25">
      <c r="A98" s="11" t="s">
        <v>2805</v>
      </c>
      <c r="B98" s="119">
        <v>64200.6</v>
      </c>
      <c r="C98" s="51">
        <v>45761</v>
      </c>
      <c r="D98" s="86">
        <v>45785</v>
      </c>
      <c r="E98" s="141"/>
      <c r="F98" s="141"/>
      <c r="G98" s="55"/>
    </row>
    <row r="99" spans="1:7" s="11" customFormat="1" ht="16.5" customHeight="1" x14ac:dyDescent="0.25">
      <c r="A99" s="11" t="s">
        <v>2892</v>
      </c>
      <c r="B99" s="119">
        <v>64200.6</v>
      </c>
      <c r="C99" s="51">
        <v>45761</v>
      </c>
      <c r="D99" s="91">
        <v>4800</v>
      </c>
      <c r="E99" s="141"/>
      <c r="F99" s="141"/>
      <c r="G99" s="55"/>
    </row>
    <row r="100" spans="1:7" s="11" customFormat="1" ht="16.5" customHeight="1" x14ac:dyDescent="0.25">
      <c r="A100" s="11" t="s">
        <v>2893</v>
      </c>
      <c r="B100" s="119">
        <v>64200.6</v>
      </c>
      <c r="C100" s="51">
        <v>45761</v>
      </c>
      <c r="D100" s="86">
        <v>45793</v>
      </c>
      <c r="E100" s="141"/>
      <c r="F100" s="141"/>
      <c r="G100" s="55"/>
    </row>
    <row r="101" spans="1:7" s="11" customFormat="1" ht="16.5" customHeight="1" x14ac:dyDescent="0.25">
      <c r="A101" s="11" t="s">
        <v>2806</v>
      </c>
      <c r="B101" s="119">
        <v>64349.45</v>
      </c>
      <c r="C101" s="51">
        <v>45770</v>
      </c>
      <c r="D101" s="86">
        <v>45779</v>
      </c>
      <c r="E101" s="141"/>
      <c r="F101" s="141"/>
      <c r="G101" s="55"/>
    </row>
    <row r="102" spans="1:7" s="11" customFormat="1" ht="16.5" customHeight="1" x14ac:dyDescent="0.25">
      <c r="A102" s="11" t="s">
        <v>2807</v>
      </c>
      <c r="B102" s="119">
        <v>64349.45</v>
      </c>
      <c r="C102" s="51">
        <v>45771</v>
      </c>
      <c r="D102" s="86">
        <v>45779</v>
      </c>
      <c r="E102" s="141"/>
      <c r="F102" s="141"/>
      <c r="G102" s="55"/>
    </row>
    <row r="103" spans="1:7" s="11" customFormat="1" ht="16.5" customHeight="1" x14ac:dyDescent="0.25">
      <c r="A103" s="11" t="s">
        <v>2808</v>
      </c>
      <c r="B103" s="119">
        <v>64349.45</v>
      </c>
      <c r="C103" s="51">
        <v>45770</v>
      </c>
      <c r="D103" s="86">
        <v>45782</v>
      </c>
      <c r="E103" s="141"/>
      <c r="F103" s="141"/>
      <c r="G103" s="55"/>
    </row>
    <row r="104" spans="1:7" s="11" customFormat="1" ht="16.5" customHeight="1" x14ac:dyDescent="0.25">
      <c r="A104" s="11" t="s">
        <v>2809</v>
      </c>
      <c r="B104" s="119">
        <v>64609.8</v>
      </c>
      <c r="C104" s="51">
        <v>45772</v>
      </c>
      <c r="D104" s="86">
        <v>45778</v>
      </c>
      <c r="E104" s="141"/>
      <c r="F104" s="141"/>
      <c r="G104" s="55"/>
    </row>
    <row r="105" spans="1:7" s="11" customFormat="1" ht="16.5" customHeight="1" x14ac:dyDescent="0.25">
      <c r="A105" s="11" t="s">
        <v>2810</v>
      </c>
      <c r="B105" s="119">
        <v>64609.8</v>
      </c>
      <c r="C105" s="51">
        <v>45771</v>
      </c>
      <c r="D105" s="86">
        <v>45779</v>
      </c>
      <c r="E105" s="141"/>
      <c r="F105" s="141"/>
      <c r="G105" s="55"/>
    </row>
    <row r="106" spans="1:7" s="11" customFormat="1" ht="16.5" customHeight="1" x14ac:dyDescent="0.25">
      <c r="A106" s="11" t="s">
        <v>2811</v>
      </c>
      <c r="B106" s="119">
        <v>64609.8</v>
      </c>
      <c r="C106" s="51">
        <v>45772</v>
      </c>
      <c r="D106" s="86">
        <v>45785</v>
      </c>
      <c r="E106" s="141"/>
      <c r="F106" s="141"/>
      <c r="G106" s="55"/>
    </row>
    <row r="107" spans="1:7" s="11" customFormat="1" ht="16.5" customHeight="1" x14ac:dyDescent="0.25">
      <c r="A107" s="11" t="s">
        <v>2812</v>
      </c>
      <c r="B107" s="119">
        <v>64609.8</v>
      </c>
      <c r="C107" s="51">
        <v>45771</v>
      </c>
      <c r="D107" s="86">
        <v>45779</v>
      </c>
      <c r="E107" s="141"/>
      <c r="F107" s="141"/>
      <c r="G107" s="55"/>
    </row>
    <row r="108" spans="1:7" s="11" customFormat="1" ht="16.5" customHeight="1" x14ac:dyDescent="0.25">
      <c r="A108" s="11" t="s">
        <v>2760</v>
      </c>
      <c r="B108" s="119">
        <v>64609.8</v>
      </c>
      <c r="C108" s="51">
        <v>45772</v>
      </c>
      <c r="D108" s="91">
        <v>4300</v>
      </c>
      <c r="E108" s="141"/>
      <c r="F108" s="141"/>
      <c r="G108" s="55"/>
    </row>
    <row r="109" spans="1:7" s="11" customFormat="1" ht="16.5" customHeight="1" x14ac:dyDescent="0.25">
      <c r="A109" s="11" t="s">
        <v>2813</v>
      </c>
      <c r="B109" s="119">
        <v>64609.8</v>
      </c>
      <c r="C109" s="51">
        <v>45771</v>
      </c>
      <c r="D109" s="86">
        <v>45778</v>
      </c>
      <c r="E109" s="141"/>
      <c r="F109" s="141"/>
      <c r="G109" s="55"/>
    </row>
    <row r="110" spans="1:7" s="11" customFormat="1" ht="16.5" customHeight="1" x14ac:dyDescent="0.25">
      <c r="A110" s="11" t="s">
        <v>2814</v>
      </c>
      <c r="B110" s="119">
        <v>64609.8</v>
      </c>
      <c r="C110" s="51">
        <v>45770</v>
      </c>
      <c r="D110" s="86">
        <v>45779</v>
      </c>
      <c r="E110" s="141"/>
      <c r="F110" s="141"/>
      <c r="G110" s="55"/>
    </row>
    <row r="111" spans="1:7" s="11" customFormat="1" ht="16.5" customHeight="1" x14ac:dyDescent="0.25">
      <c r="A111" s="11" t="s">
        <v>2894</v>
      </c>
      <c r="B111" s="119">
        <v>64609.8</v>
      </c>
      <c r="C111" s="51">
        <v>45777</v>
      </c>
      <c r="D111" s="86">
        <v>45796</v>
      </c>
      <c r="E111" s="141"/>
      <c r="F111" s="141"/>
      <c r="G111" s="55"/>
    </row>
    <row r="112" spans="1:7" s="11" customFormat="1" ht="16.5" customHeight="1" x14ac:dyDescent="0.25">
      <c r="A112" s="11" t="s">
        <v>2815</v>
      </c>
      <c r="B112" s="119">
        <v>64609.8</v>
      </c>
      <c r="C112" s="51">
        <v>45772</v>
      </c>
      <c r="D112" s="86">
        <v>45785</v>
      </c>
      <c r="E112" s="141"/>
      <c r="F112" s="141"/>
      <c r="G112" s="55"/>
    </row>
    <row r="113" spans="1:7" s="11" customFormat="1" ht="16.5" customHeight="1" x14ac:dyDescent="0.25">
      <c r="A113" s="11" t="s">
        <v>2816</v>
      </c>
      <c r="B113" s="119">
        <v>64609.8</v>
      </c>
      <c r="C113" s="51">
        <v>45771</v>
      </c>
      <c r="D113" s="86">
        <v>45778</v>
      </c>
      <c r="E113" s="141"/>
      <c r="F113" s="141"/>
      <c r="G113" s="55"/>
    </row>
    <row r="114" spans="1:7" s="11" customFormat="1" ht="16.5" customHeight="1" x14ac:dyDescent="0.25">
      <c r="A114" s="11" t="s">
        <v>2817</v>
      </c>
      <c r="B114" s="119">
        <v>64609.8</v>
      </c>
      <c r="C114" s="51">
        <v>45771</v>
      </c>
      <c r="D114" s="86">
        <v>45779</v>
      </c>
      <c r="E114" s="141"/>
      <c r="F114" s="141"/>
      <c r="G114" s="55"/>
    </row>
    <row r="115" spans="1:7" s="11" customFormat="1" ht="16.5" customHeight="1" x14ac:dyDescent="0.25">
      <c r="A115" s="11" t="s">
        <v>2818</v>
      </c>
      <c r="B115" s="119">
        <v>64609.8</v>
      </c>
      <c r="C115" s="51">
        <v>45770</v>
      </c>
      <c r="D115" s="86">
        <v>45779</v>
      </c>
      <c r="E115" s="141"/>
      <c r="F115" s="141"/>
      <c r="G115" s="55"/>
    </row>
    <row r="116" spans="1:7" s="11" customFormat="1" ht="16.5" customHeight="1" x14ac:dyDescent="0.25">
      <c r="A116" s="11" t="s">
        <v>2819</v>
      </c>
      <c r="B116" s="119">
        <v>64609.8</v>
      </c>
      <c r="C116" s="51">
        <v>45771</v>
      </c>
      <c r="D116" s="86">
        <v>45778</v>
      </c>
      <c r="E116" s="141"/>
      <c r="F116" s="141"/>
      <c r="G116" s="55"/>
    </row>
    <row r="117" spans="1:7" s="11" customFormat="1" ht="16.5" customHeight="1" x14ac:dyDescent="0.25">
      <c r="A117" s="11" t="s">
        <v>2820</v>
      </c>
      <c r="B117" s="119">
        <v>64609.8</v>
      </c>
      <c r="C117" s="51">
        <v>45771</v>
      </c>
      <c r="D117" s="86">
        <v>45779</v>
      </c>
      <c r="E117" s="141"/>
      <c r="F117" s="141"/>
      <c r="G117" s="55"/>
    </row>
    <row r="118" spans="1:7" s="11" customFormat="1" ht="16.5" customHeight="1" x14ac:dyDescent="0.25">
      <c r="A118" s="11" t="s">
        <v>2861</v>
      </c>
      <c r="B118" s="119">
        <v>64609.8</v>
      </c>
      <c r="C118" s="51">
        <v>45770</v>
      </c>
      <c r="D118" s="86">
        <v>45790</v>
      </c>
      <c r="E118" s="141"/>
      <c r="F118" s="141"/>
      <c r="G118" s="55"/>
    </row>
    <row r="119" spans="1:7" s="11" customFormat="1" ht="16.5" customHeight="1" x14ac:dyDescent="0.25">
      <c r="A119" s="11" t="s">
        <v>2821</v>
      </c>
      <c r="B119" s="119">
        <v>64609.8</v>
      </c>
      <c r="C119" s="51">
        <v>45771</v>
      </c>
      <c r="D119" s="86">
        <v>45782</v>
      </c>
      <c r="E119" s="141"/>
      <c r="F119" s="141"/>
      <c r="G119" s="55"/>
    </row>
    <row r="120" spans="1:7" s="11" customFormat="1" ht="16.5" customHeight="1" x14ac:dyDescent="0.25">
      <c r="A120" s="11" t="s">
        <v>2862</v>
      </c>
      <c r="B120" s="119">
        <v>64609.8</v>
      </c>
      <c r="C120" s="51">
        <v>45770</v>
      </c>
      <c r="D120" s="91">
        <v>4300</v>
      </c>
      <c r="E120" s="141"/>
      <c r="F120" s="141"/>
      <c r="G120" s="55"/>
    </row>
    <row r="121" spans="1:7" s="11" customFormat="1" ht="16.5" customHeight="1" x14ac:dyDescent="0.25">
      <c r="A121" s="11" t="s">
        <v>2761</v>
      </c>
      <c r="B121" s="119">
        <v>64609.8</v>
      </c>
      <c r="C121" s="51">
        <v>45772</v>
      </c>
      <c r="D121" s="91">
        <v>4300</v>
      </c>
      <c r="E121" s="141"/>
      <c r="F121" s="141"/>
      <c r="G121" s="55"/>
    </row>
    <row r="122" spans="1:7" s="11" customFormat="1" ht="16.5" customHeight="1" x14ac:dyDescent="0.25">
      <c r="A122" s="11" t="s">
        <v>2822</v>
      </c>
      <c r="B122" s="119">
        <v>64609.8</v>
      </c>
      <c r="C122" s="51">
        <v>45770</v>
      </c>
      <c r="D122" s="86">
        <v>45779</v>
      </c>
      <c r="E122" s="141"/>
      <c r="F122" s="141"/>
      <c r="G122" s="55"/>
    </row>
    <row r="123" spans="1:7" s="11" customFormat="1" ht="16.5" customHeight="1" x14ac:dyDescent="0.25">
      <c r="A123" s="11" t="s">
        <v>2823</v>
      </c>
      <c r="B123" s="119">
        <v>64609.8</v>
      </c>
      <c r="C123" s="51">
        <v>45771</v>
      </c>
      <c r="D123" s="86">
        <v>45783</v>
      </c>
      <c r="E123" s="141"/>
      <c r="F123" s="141"/>
      <c r="G123" s="55"/>
    </row>
    <row r="124" spans="1:7" s="11" customFormat="1" ht="16.5" customHeight="1" x14ac:dyDescent="0.25">
      <c r="A124" s="11" t="s">
        <v>2895</v>
      </c>
      <c r="B124" s="119">
        <v>64609.8</v>
      </c>
      <c r="C124" s="51">
        <v>45771</v>
      </c>
      <c r="D124" s="86">
        <v>45790</v>
      </c>
      <c r="E124" s="141"/>
      <c r="F124" s="141"/>
      <c r="G124" s="55"/>
    </row>
    <row r="125" spans="1:7" s="11" customFormat="1" ht="16.5" customHeight="1" x14ac:dyDescent="0.25">
      <c r="A125" s="11" t="s">
        <v>2857</v>
      </c>
      <c r="B125" s="119">
        <v>64609.8</v>
      </c>
      <c r="C125" s="51">
        <v>45770</v>
      </c>
      <c r="D125" s="86">
        <v>45787</v>
      </c>
      <c r="E125" s="141"/>
      <c r="F125" s="141"/>
      <c r="G125" s="55"/>
    </row>
    <row r="126" spans="1:7" s="11" customFormat="1" ht="16.5" customHeight="1" x14ac:dyDescent="0.25">
      <c r="A126" s="11" t="s">
        <v>2762</v>
      </c>
      <c r="B126" s="119">
        <v>64660.95</v>
      </c>
      <c r="C126" s="51">
        <v>45749</v>
      </c>
      <c r="D126" s="91">
        <v>4300</v>
      </c>
      <c r="E126" s="141"/>
      <c r="F126" s="141"/>
      <c r="G126" s="55"/>
    </row>
    <row r="127" spans="1:7" s="11" customFormat="1" ht="16.5" customHeight="1" x14ac:dyDescent="0.25">
      <c r="A127" s="11" t="s">
        <v>2863</v>
      </c>
      <c r="B127" s="119">
        <v>64809.8</v>
      </c>
      <c r="C127" s="51">
        <v>45777</v>
      </c>
      <c r="D127" s="86">
        <v>45790</v>
      </c>
      <c r="E127" s="141"/>
      <c r="F127" s="141"/>
      <c r="G127" s="55"/>
    </row>
    <row r="128" spans="1:7" s="11" customFormat="1" ht="16.5" customHeight="1" x14ac:dyDescent="0.25">
      <c r="A128" s="11" t="s">
        <v>2864</v>
      </c>
      <c r="B128" s="119">
        <v>64809.8</v>
      </c>
      <c r="C128" s="51">
        <v>45777</v>
      </c>
      <c r="D128" s="86">
        <v>45790</v>
      </c>
      <c r="E128" s="141"/>
      <c r="F128" s="141"/>
      <c r="G128" s="55"/>
    </row>
    <row r="129" spans="1:7" s="11" customFormat="1" ht="16.5" customHeight="1" x14ac:dyDescent="0.25">
      <c r="A129" s="11" t="s">
        <v>2824</v>
      </c>
      <c r="B129" s="119">
        <v>64809.8</v>
      </c>
      <c r="C129" s="51">
        <v>45772</v>
      </c>
      <c r="D129" s="86">
        <v>45779</v>
      </c>
      <c r="E129" s="141"/>
      <c r="F129" s="141"/>
      <c r="G129" s="55"/>
    </row>
    <row r="130" spans="1:7" s="11" customFormat="1" ht="16.5" customHeight="1" x14ac:dyDescent="0.25">
      <c r="A130" s="11" t="s">
        <v>2825</v>
      </c>
      <c r="B130" s="119">
        <v>64809.8</v>
      </c>
      <c r="C130" s="51">
        <v>45772</v>
      </c>
      <c r="D130" s="86">
        <v>45779</v>
      </c>
      <c r="E130" s="141"/>
      <c r="F130" s="141"/>
      <c r="G130" s="55"/>
    </row>
    <row r="131" spans="1:7" s="11" customFormat="1" ht="16.5" customHeight="1" x14ac:dyDescent="0.25">
      <c r="A131" s="11" t="s">
        <v>2896</v>
      </c>
      <c r="B131" s="119">
        <v>64809.8</v>
      </c>
      <c r="C131" s="51">
        <v>45772</v>
      </c>
      <c r="D131" s="86">
        <v>45796</v>
      </c>
      <c r="E131" s="141"/>
      <c r="F131" s="141"/>
      <c r="G131" s="55"/>
    </row>
    <row r="132" spans="1:7" s="11" customFormat="1" ht="16.5" customHeight="1" x14ac:dyDescent="0.25">
      <c r="A132" s="11" t="s">
        <v>2826</v>
      </c>
      <c r="B132" s="119">
        <v>70603.649999999994</v>
      </c>
      <c r="C132" s="51">
        <v>45771</v>
      </c>
      <c r="D132" s="86">
        <v>45779</v>
      </c>
      <c r="E132" s="141"/>
      <c r="F132" s="141"/>
      <c r="G132" s="55"/>
    </row>
    <row r="133" spans="1:7" s="11" customFormat="1" ht="16.5" customHeight="1" x14ac:dyDescent="0.25">
      <c r="A133" s="11" t="s">
        <v>2763</v>
      </c>
      <c r="B133" s="119">
        <v>70603.649999999994</v>
      </c>
      <c r="C133" s="51">
        <v>45771</v>
      </c>
      <c r="D133" s="91">
        <v>4300</v>
      </c>
      <c r="E133" s="141"/>
      <c r="F133" s="141"/>
      <c r="G133" s="55"/>
    </row>
    <row r="134" spans="1:7" s="11" customFormat="1" ht="16.5" customHeight="1" x14ac:dyDescent="0.25">
      <c r="A134" s="11" t="s">
        <v>2827</v>
      </c>
      <c r="B134" s="119">
        <v>70603.649999999994</v>
      </c>
      <c r="C134" s="51">
        <v>45769</v>
      </c>
      <c r="D134" s="86">
        <v>45779</v>
      </c>
      <c r="E134" s="141"/>
      <c r="F134" s="141"/>
      <c r="G134" s="55"/>
    </row>
    <row r="135" spans="1:7" s="11" customFormat="1" ht="16.5" customHeight="1" x14ac:dyDescent="0.25">
      <c r="A135" s="11" t="s">
        <v>2764</v>
      </c>
      <c r="B135" s="119">
        <v>70603.649999999994</v>
      </c>
      <c r="C135" s="51">
        <v>45771</v>
      </c>
      <c r="D135" s="91">
        <v>4300</v>
      </c>
      <c r="E135" s="141"/>
      <c r="F135" s="141"/>
      <c r="G135" s="55"/>
    </row>
    <row r="136" spans="1:7" s="11" customFormat="1" ht="16.5" customHeight="1" x14ac:dyDescent="0.25">
      <c r="A136" s="11" t="s">
        <v>2897</v>
      </c>
      <c r="B136" s="119">
        <v>70603.649999999994</v>
      </c>
      <c r="C136" s="51">
        <v>45772</v>
      </c>
      <c r="D136" s="86">
        <v>45790</v>
      </c>
      <c r="E136" s="141"/>
      <c r="F136" s="141"/>
      <c r="G136" s="55"/>
    </row>
    <row r="137" spans="1:7" s="11" customFormat="1" ht="16.5" customHeight="1" x14ac:dyDescent="0.25">
      <c r="A137" s="11" t="s">
        <v>2765</v>
      </c>
      <c r="B137" s="119">
        <v>70603.649999999994</v>
      </c>
      <c r="C137" s="51">
        <v>45769</v>
      </c>
      <c r="D137" s="91">
        <v>4300</v>
      </c>
      <c r="E137" s="141"/>
      <c r="F137" s="141"/>
      <c r="G137" s="55"/>
    </row>
    <row r="138" spans="1:7" s="11" customFormat="1" ht="16.5" customHeight="1" x14ac:dyDescent="0.25">
      <c r="A138" s="11" t="s">
        <v>2766</v>
      </c>
      <c r="B138" s="119">
        <v>70803.649999999994</v>
      </c>
      <c r="C138" s="51">
        <v>45775</v>
      </c>
      <c r="D138" s="91">
        <v>4800</v>
      </c>
      <c r="E138" s="141"/>
      <c r="F138" s="141"/>
      <c r="G138" s="55"/>
    </row>
    <row r="139" spans="1:7" s="11" customFormat="1" ht="16.5" customHeight="1" x14ac:dyDescent="0.25">
      <c r="A139" s="11" t="s">
        <v>2828</v>
      </c>
      <c r="B139" s="119">
        <v>70803.649999999994</v>
      </c>
      <c r="C139" s="51">
        <v>45775</v>
      </c>
      <c r="D139" s="86">
        <v>45784</v>
      </c>
      <c r="E139" s="141"/>
      <c r="F139" s="141"/>
      <c r="G139" s="55"/>
    </row>
    <row r="140" spans="1:7" s="11" customFormat="1" ht="16.5" customHeight="1" x14ac:dyDescent="0.25">
      <c r="A140" s="11" t="s">
        <v>2829</v>
      </c>
      <c r="B140" s="119">
        <v>71284.100000000006</v>
      </c>
      <c r="C140" s="51">
        <v>45771</v>
      </c>
      <c r="D140" s="86">
        <v>45779</v>
      </c>
      <c r="E140" s="141"/>
      <c r="F140" s="141"/>
      <c r="G140" s="55"/>
    </row>
    <row r="141" spans="1:7" s="11" customFormat="1" ht="16.5" customHeight="1" x14ac:dyDescent="0.25">
      <c r="A141" s="11" t="s">
        <v>2850</v>
      </c>
      <c r="B141" s="119">
        <v>71524.350000000006</v>
      </c>
      <c r="C141" s="51">
        <v>45749</v>
      </c>
      <c r="D141" s="86">
        <v>45782</v>
      </c>
      <c r="E141" s="141"/>
      <c r="F141" s="141"/>
      <c r="G141" s="55"/>
    </row>
    <row r="142" spans="1:7" s="11" customFormat="1" ht="16.5" customHeight="1" x14ac:dyDescent="0.25">
      <c r="A142" s="11" t="s">
        <v>2767</v>
      </c>
      <c r="B142" s="119">
        <v>71524.350000000006</v>
      </c>
      <c r="C142" s="51">
        <v>45749</v>
      </c>
      <c r="D142" s="91">
        <v>4300</v>
      </c>
      <c r="E142" s="141"/>
      <c r="F142" s="141"/>
      <c r="G142" s="55"/>
    </row>
    <row r="143" spans="1:7" s="11" customFormat="1" ht="16.5" customHeight="1" x14ac:dyDescent="0.25">
      <c r="A143" s="11" t="s">
        <v>2830</v>
      </c>
      <c r="B143" s="119">
        <v>71744.45</v>
      </c>
      <c r="C143" s="51">
        <v>45771</v>
      </c>
      <c r="D143" s="86">
        <v>45778</v>
      </c>
      <c r="E143" s="141"/>
      <c r="F143" s="141"/>
      <c r="G143" s="55"/>
    </row>
    <row r="144" spans="1:7" s="11" customFormat="1" ht="16.5" customHeight="1" x14ac:dyDescent="0.25">
      <c r="A144" s="11" t="s">
        <v>2831</v>
      </c>
      <c r="B144" s="119">
        <v>71744.45</v>
      </c>
      <c r="C144" s="51">
        <v>45770</v>
      </c>
      <c r="D144" s="86">
        <v>45779</v>
      </c>
      <c r="E144" s="141"/>
      <c r="F144" s="141"/>
      <c r="G144" s="55"/>
    </row>
    <row r="145" spans="1:7" s="11" customFormat="1" ht="16.5" customHeight="1" x14ac:dyDescent="0.25">
      <c r="A145" s="11" t="s">
        <v>2832</v>
      </c>
      <c r="B145" s="119">
        <v>72119.600000000006</v>
      </c>
      <c r="C145" s="51">
        <v>45775</v>
      </c>
      <c r="D145" s="86">
        <v>45784</v>
      </c>
      <c r="E145" s="141"/>
      <c r="F145" s="141"/>
      <c r="G145" s="55"/>
    </row>
    <row r="146" spans="1:7" s="11" customFormat="1" ht="16.5" customHeight="1" x14ac:dyDescent="0.25">
      <c r="A146" s="11" t="s">
        <v>2833</v>
      </c>
      <c r="B146" s="119">
        <v>72119.600000000006</v>
      </c>
      <c r="C146" s="51">
        <v>45775</v>
      </c>
      <c r="D146" s="86">
        <v>45784</v>
      </c>
      <c r="E146" s="141"/>
      <c r="F146" s="141"/>
      <c r="G146" s="55"/>
    </row>
    <row r="147" spans="1:7" s="11" customFormat="1" ht="16.5" customHeight="1" x14ac:dyDescent="0.25">
      <c r="A147" s="11" t="s">
        <v>2898</v>
      </c>
      <c r="B147" s="119">
        <v>72119.600000000006</v>
      </c>
      <c r="C147" s="51">
        <v>45775</v>
      </c>
      <c r="D147" s="86">
        <v>45798</v>
      </c>
      <c r="E147" s="141"/>
      <c r="F147" s="141"/>
      <c r="G147" s="55"/>
    </row>
    <row r="148" spans="1:7" s="11" customFormat="1" ht="16.5" customHeight="1" x14ac:dyDescent="0.25">
      <c r="A148" s="11" t="s">
        <v>2834</v>
      </c>
      <c r="B148" s="119">
        <v>74216.7</v>
      </c>
      <c r="C148" s="51">
        <v>45754</v>
      </c>
      <c r="D148" s="86">
        <v>45778</v>
      </c>
      <c r="E148" s="141"/>
      <c r="F148" s="141"/>
      <c r="G148" s="55"/>
    </row>
    <row r="149" spans="1:7" s="11" customFormat="1" ht="16.5" customHeight="1" x14ac:dyDescent="0.25">
      <c r="A149" s="11" t="s">
        <v>2835</v>
      </c>
      <c r="B149" s="119">
        <v>74774.7</v>
      </c>
      <c r="C149" s="51">
        <v>45762</v>
      </c>
      <c r="D149" s="86">
        <v>45784</v>
      </c>
      <c r="E149" s="141"/>
      <c r="F149" s="141"/>
      <c r="G149" s="55"/>
    </row>
    <row r="150" spans="1:7" s="11" customFormat="1" ht="16.5" customHeight="1" x14ac:dyDescent="0.25">
      <c r="A150" s="11" t="s">
        <v>2851</v>
      </c>
      <c r="B150" s="119">
        <v>74774.7</v>
      </c>
      <c r="C150" s="51">
        <v>45772</v>
      </c>
      <c r="D150" s="91">
        <v>4200</v>
      </c>
      <c r="E150" s="141"/>
      <c r="F150" s="141"/>
      <c r="G150" s="55"/>
    </row>
    <row r="151" spans="1:7" s="11" customFormat="1" ht="16.5" customHeight="1" x14ac:dyDescent="0.25">
      <c r="A151" s="11" t="s">
        <v>2836</v>
      </c>
      <c r="B151" s="119">
        <v>76737.05</v>
      </c>
      <c r="C151" s="51">
        <v>45772</v>
      </c>
      <c r="D151" s="86">
        <v>45779</v>
      </c>
      <c r="E151" s="141"/>
      <c r="F151" s="141"/>
      <c r="G151" s="55"/>
    </row>
    <row r="152" spans="1:7" s="11" customFormat="1" ht="16.5" customHeight="1" x14ac:dyDescent="0.25">
      <c r="A152" s="11" t="s">
        <v>2899</v>
      </c>
      <c r="B152" s="119">
        <v>76737.05</v>
      </c>
      <c r="C152" s="51">
        <v>45771</v>
      </c>
      <c r="D152" s="86">
        <v>45790</v>
      </c>
      <c r="E152" s="141"/>
      <c r="F152" s="141"/>
      <c r="G152" s="55"/>
    </row>
    <row r="153" spans="1:7" s="11" customFormat="1" ht="16.5" customHeight="1" x14ac:dyDescent="0.25">
      <c r="A153" s="11" t="s">
        <v>2768</v>
      </c>
      <c r="B153" s="119">
        <v>76737.05</v>
      </c>
      <c r="C153" s="51">
        <v>45772</v>
      </c>
      <c r="D153" s="91">
        <v>4300</v>
      </c>
      <c r="E153" s="141"/>
      <c r="F153" s="141"/>
      <c r="G153" s="55"/>
    </row>
    <row r="154" spans="1:7" s="11" customFormat="1" ht="16.5" customHeight="1" x14ac:dyDescent="0.25">
      <c r="A154" s="11" t="s">
        <v>2900</v>
      </c>
      <c r="B154" s="119">
        <v>78696.25</v>
      </c>
      <c r="C154" s="51">
        <v>45772</v>
      </c>
      <c r="D154" s="86">
        <v>45793</v>
      </c>
      <c r="E154" s="141"/>
      <c r="F154" s="141"/>
      <c r="G154" s="55"/>
    </row>
    <row r="155" spans="1:7" s="11" customFormat="1" ht="16.5" customHeight="1" x14ac:dyDescent="0.25">
      <c r="A155" s="11" t="s">
        <v>2837</v>
      </c>
      <c r="B155" s="119">
        <v>81188.600000000006</v>
      </c>
      <c r="C155" s="51">
        <v>45771</v>
      </c>
      <c r="D155" s="86">
        <v>45783</v>
      </c>
      <c r="E155" s="141"/>
      <c r="F155" s="141"/>
      <c r="G155" s="55"/>
    </row>
    <row r="156" spans="1:7" s="11" customFormat="1" ht="16.5" customHeight="1" x14ac:dyDescent="0.25">
      <c r="A156" s="11" t="s">
        <v>2838</v>
      </c>
      <c r="B156" s="119">
        <v>81188.600000000006</v>
      </c>
      <c r="C156" s="51">
        <v>45771</v>
      </c>
      <c r="D156" s="86">
        <v>45783</v>
      </c>
      <c r="E156" s="141"/>
      <c r="F156" s="141"/>
      <c r="G156" s="55"/>
    </row>
    <row r="157" spans="1:7" s="11" customFormat="1" ht="16.5" customHeight="1" x14ac:dyDescent="0.25">
      <c r="A157" s="11" t="s">
        <v>2839</v>
      </c>
      <c r="B157" s="119">
        <v>81648.95</v>
      </c>
      <c r="C157" s="51">
        <v>45770</v>
      </c>
      <c r="D157" s="86">
        <v>45782</v>
      </c>
      <c r="E157" s="141"/>
      <c r="F157" s="141"/>
      <c r="G157" s="55"/>
    </row>
    <row r="158" spans="1:7" s="11" customFormat="1" ht="16.5" customHeight="1" x14ac:dyDescent="0.25">
      <c r="A158" s="11" t="s">
        <v>2901</v>
      </c>
      <c r="B158" s="119">
        <v>82465.75</v>
      </c>
      <c r="C158" s="51">
        <v>45771</v>
      </c>
      <c r="D158" s="86">
        <v>45792</v>
      </c>
      <c r="E158" s="141"/>
      <c r="F158" s="141"/>
      <c r="G158" s="55"/>
    </row>
    <row r="159" spans="1:7" s="11" customFormat="1" ht="16.5" customHeight="1" x14ac:dyDescent="0.25">
      <c r="A159" s="11" t="s">
        <v>2840</v>
      </c>
      <c r="B159" s="119">
        <v>82926.100000000006</v>
      </c>
      <c r="C159" s="51">
        <v>45768</v>
      </c>
      <c r="D159" s="86">
        <v>45782</v>
      </c>
      <c r="E159" s="141"/>
      <c r="F159" s="141"/>
      <c r="G159" s="55"/>
    </row>
    <row r="160" spans="1:7" s="11" customFormat="1" ht="16.5" customHeight="1" x14ac:dyDescent="0.25">
      <c r="A160" s="11" t="s">
        <v>2902</v>
      </c>
      <c r="B160" s="119">
        <v>82926.100000000006</v>
      </c>
      <c r="C160" s="51">
        <v>45768</v>
      </c>
      <c r="D160" s="86">
        <v>45792</v>
      </c>
      <c r="E160" s="141"/>
      <c r="F160" s="141"/>
      <c r="G160" s="55"/>
    </row>
    <row r="161" spans="1:7" s="11" customFormat="1" ht="16.5" customHeight="1" x14ac:dyDescent="0.25">
      <c r="A161" s="11" t="s">
        <v>2903</v>
      </c>
      <c r="B161" s="119">
        <v>83495</v>
      </c>
      <c r="C161" s="51">
        <v>45758</v>
      </c>
      <c r="D161" s="86">
        <v>45793</v>
      </c>
      <c r="E161" s="141"/>
      <c r="F161" s="141"/>
      <c r="G161" s="55"/>
    </row>
    <row r="162" spans="1:7" s="11" customFormat="1" ht="16.5" customHeight="1" x14ac:dyDescent="0.25">
      <c r="A162" s="11" t="s">
        <v>2904</v>
      </c>
      <c r="B162" s="119">
        <v>83495</v>
      </c>
      <c r="C162" s="51">
        <v>45758</v>
      </c>
      <c r="D162" s="86">
        <v>45793</v>
      </c>
      <c r="E162" s="141"/>
      <c r="F162" s="141"/>
      <c r="G162" s="55"/>
    </row>
    <row r="163" spans="1:7" s="11" customFormat="1" ht="16.5" customHeight="1" x14ac:dyDescent="0.25">
      <c r="A163" s="11" t="s">
        <v>2905</v>
      </c>
      <c r="B163" s="119">
        <v>83495</v>
      </c>
      <c r="C163" s="51">
        <v>45758</v>
      </c>
      <c r="D163" s="86">
        <v>45798</v>
      </c>
      <c r="E163" s="141"/>
      <c r="F163" s="141"/>
      <c r="G163" s="55"/>
    </row>
    <row r="164" spans="1:7" s="11" customFormat="1" ht="16.5" customHeight="1" x14ac:dyDescent="0.25">
      <c r="A164" s="11" t="s">
        <v>2906</v>
      </c>
      <c r="B164" s="119">
        <v>83495</v>
      </c>
      <c r="C164" s="51">
        <v>45761</v>
      </c>
      <c r="D164" s="86">
        <v>45791</v>
      </c>
      <c r="E164" s="141"/>
      <c r="F164" s="141"/>
      <c r="G164" s="55"/>
    </row>
    <row r="165" spans="1:7" s="11" customFormat="1" ht="16.5" customHeight="1" x14ac:dyDescent="0.25">
      <c r="A165" s="11" t="s">
        <v>2841</v>
      </c>
      <c r="B165" s="119">
        <v>83695</v>
      </c>
      <c r="C165" s="51">
        <v>45768</v>
      </c>
      <c r="D165" s="86">
        <v>45784</v>
      </c>
      <c r="E165" s="141"/>
      <c r="F165" s="141"/>
      <c r="G165" s="55"/>
    </row>
    <row r="166" spans="1:7" s="11" customFormat="1" ht="16.5" customHeight="1" x14ac:dyDescent="0.25">
      <c r="A166" s="11" t="s">
        <v>2907</v>
      </c>
      <c r="B166" s="119">
        <v>84362.95</v>
      </c>
      <c r="C166" s="51">
        <v>45761</v>
      </c>
      <c r="D166" s="86">
        <v>45792</v>
      </c>
      <c r="E166" s="141"/>
      <c r="F166" s="141"/>
      <c r="G166" s="55"/>
    </row>
    <row r="167" spans="1:7" s="11" customFormat="1" ht="16.5" customHeight="1" x14ac:dyDescent="0.25">
      <c r="A167" s="11" t="s">
        <v>2908</v>
      </c>
      <c r="B167" s="119">
        <v>85977.5</v>
      </c>
      <c r="C167" s="51">
        <v>45768</v>
      </c>
      <c r="D167" s="86">
        <v>45792</v>
      </c>
      <c r="E167" s="141"/>
      <c r="F167" s="141"/>
      <c r="G167" s="55"/>
    </row>
    <row r="168" spans="1:7" s="11" customFormat="1" ht="16.5" customHeight="1" x14ac:dyDescent="0.25">
      <c r="A168" s="11" t="s">
        <v>2842</v>
      </c>
      <c r="B168" s="119">
        <v>86219.35</v>
      </c>
      <c r="C168" s="51">
        <v>45772</v>
      </c>
      <c r="D168" s="86">
        <v>45785</v>
      </c>
      <c r="E168" s="141"/>
      <c r="F168" s="141"/>
      <c r="G168" s="55"/>
    </row>
    <row r="169" spans="1:7" s="11" customFormat="1" ht="16.5" customHeight="1" x14ac:dyDescent="0.25">
      <c r="A169" s="11" t="s">
        <v>2843</v>
      </c>
      <c r="B169" s="119">
        <v>86535.5</v>
      </c>
      <c r="C169" s="51">
        <v>45768</v>
      </c>
      <c r="D169" s="86">
        <v>45784</v>
      </c>
      <c r="E169" s="141"/>
      <c r="F169" s="141"/>
      <c r="G169" s="55"/>
    </row>
    <row r="170" spans="1:7" s="11" customFormat="1" ht="16.5" customHeight="1" x14ac:dyDescent="0.25">
      <c r="A170" s="11" t="s">
        <v>2844</v>
      </c>
      <c r="B170" s="119">
        <v>87423.8</v>
      </c>
      <c r="C170" s="51">
        <v>45776</v>
      </c>
      <c r="D170" s="86">
        <v>45778</v>
      </c>
      <c r="E170" s="141"/>
      <c r="F170" s="141"/>
      <c r="G170" s="55"/>
    </row>
    <row r="171" spans="1:7" s="11" customFormat="1" ht="16.5" customHeight="1" x14ac:dyDescent="0.25">
      <c r="A171" s="11" t="s">
        <v>2845</v>
      </c>
      <c r="B171" s="119">
        <v>88237.1</v>
      </c>
      <c r="C171" s="51">
        <v>45776</v>
      </c>
      <c r="D171" s="86">
        <v>45779</v>
      </c>
      <c r="E171" s="141"/>
      <c r="F171" s="141"/>
      <c r="G171" s="55"/>
    </row>
    <row r="172" spans="1:7" s="11" customFormat="1" ht="16.5" customHeight="1" x14ac:dyDescent="0.25">
      <c r="A172" s="11" t="s">
        <v>2865</v>
      </c>
      <c r="B172" s="119">
        <v>91995</v>
      </c>
      <c r="C172" s="51">
        <v>45777</v>
      </c>
      <c r="D172" s="86">
        <v>45789</v>
      </c>
      <c r="E172" s="141"/>
      <c r="F172" s="141"/>
      <c r="G172" s="55"/>
    </row>
    <row r="173" spans="1:7" s="11" customFormat="1" ht="16.5" customHeight="1" x14ac:dyDescent="0.25">
      <c r="A173" s="11" t="s">
        <v>2846</v>
      </c>
      <c r="B173" s="119">
        <v>92490</v>
      </c>
      <c r="C173" s="51">
        <v>45762</v>
      </c>
      <c r="D173" s="86">
        <v>45778</v>
      </c>
      <c r="E173" s="141"/>
      <c r="F173" s="141"/>
      <c r="G173" s="55"/>
    </row>
    <row r="174" spans="1:7" s="11" customFormat="1" ht="16.5" customHeight="1" x14ac:dyDescent="0.25">
      <c r="A174" s="11" t="s">
        <v>2847</v>
      </c>
      <c r="B174" s="119">
        <v>94754.3</v>
      </c>
      <c r="C174" s="51">
        <v>45776</v>
      </c>
      <c r="D174" s="86">
        <v>45782</v>
      </c>
      <c r="E174" s="141"/>
      <c r="F174" s="141"/>
      <c r="G174" s="55"/>
    </row>
    <row r="175" spans="1:7" s="11" customFormat="1" ht="16.5" customHeight="1" x14ac:dyDescent="0.25">
      <c r="A175" s="11" t="s">
        <v>2848</v>
      </c>
      <c r="B175" s="119">
        <v>95214.65</v>
      </c>
      <c r="C175" s="51">
        <v>45776</v>
      </c>
      <c r="D175" s="86">
        <v>45778</v>
      </c>
      <c r="E175" s="141"/>
      <c r="F175" s="141"/>
      <c r="G175" s="55"/>
    </row>
    <row r="176" spans="1:7" s="11" customFormat="1" ht="16.5" customHeight="1" x14ac:dyDescent="0.25">
      <c r="A176" s="11" t="s">
        <v>2849</v>
      </c>
      <c r="B176" s="119">
        <v>95214.65</v>
      </c>
      <c r="C176" s="51">
        <v>45777</v>
      </c>
      <c r="D176" s="86">
        <v>45783</v>
      </c>
      <c r="E176" s="141"/>
      <c r="F176" s="141"/>
      <c r="G176" s="55"/>
    </row>
    <row r="177" spans="1:13" s="11" customFormat="1" ht="16.5" customHeight="1" thickBot="1" x14ac:dyDescent="0.3">
      <c r="B177" s="119"/>
      <c r="C177" s="150"/>
      <c r="D177" s="14"/>
      <c r="E177" s="141"/>
      <c r="F177" s="141"/>
      <c r="G177" s="55"/>
      <c r="M177" s="88"/>
    </row>
    <row r="178" spans="1:13" s="11" customFormat="1" ht="15.75" x14ac:dyDescent="0.25">
      <c r="B178" s="25">
        <f>SUM(B23:B177)</f>
        <v>10197728.849999994</v>
      </c>
      <c r="C178" s="147" t="s">
        <v>1368</v>
      </c>
      <c r="D178" s="165"/>
      <c r="E178" s="141"/>
      <c r="F178" s="141"/>
      <c r="G178" s="55"/>
    </row>
    <row r="179" spans="1:13" s="11" customFormat="1" ht="15.75" x14ac:dyDescent="0.25">
      <c r="A179" s="11" t="s">
        <v>1</v>
      </c>
      <c r="B179" s="17">
        <f>B178+B21</f>
        <v>9892647.849999994</v>
      </c>
      <c r="C179" s="151" t="s">
        <v>1459</v>
      </c>
      <c r="D179" s="166"/>
      <c r="E179" s="141"/>
      <c r="F179" s="141"/>
      <c r="G179" s="55"/>
    </row>
    <row r="180" spans="1:13" s="11" customFormat="1" ht="16.5" thickBot="1" x14ac:dyDescent="0.3">
      <c r="A180" s="11" t="s">
        <v>0</v>
      </c>
      <c r="B180" s="17">
        <f>B179-B7</f>
        <v>0</v>
      </c>
      <c r="C180" s="146" t="s">
        <v>1369</v>
      </c>
      <c r="D180" s="167"/>
      <c r="E180" s="141"/>
      <c r="F180" s="141"/>
      <c r="G180" s="55"/>
    </row>
    <row r="181" spans="1:13" s="11" customFormat="1" ht="15.75" x14ac:dyDescent="0.25">
      <c r="D181" s="28"/>
      <c r="E181" s="141"/>
      <c r="F181" s="141"/>
      <c r="G181" s="55"/>
    </row>
    <row r="182" spans="1:13" s="11" customFormat="1" ht="15.75" x14ac:dyDescent="0.25">
      <c r="D182" s="28"/>
      <c r="E182" s="141"/>
      <c r="F182" s="141"/>
      <c r="G182" s="55"/>
    </row>
    <row r="183" spans="1:13" s="11" customFormat="1" ht="15.75" x14ac:dyDescent="0.25">
      <c r="D183" s="28"/>
      <c r="E183" s="141"/>
      <c r="F183" s="141"/>
      <c r="G183" s="55"/>
    </row>
    <row r="184" spans="1:13" s="11" customFormat="1" ht="15.75" x14ac:dyDescent="0.25">
      <c r="D184" s="28"/>
      <c r="E184" s="141"/>
      <c r="F184" s="141"/>
      <c r="G184" s="55"/>
    </row>
    <row r="185" spans="1:13" s="11" customFormat="1" ht="15.75" x14ac:dyDescent="0.25">
      <c r="D185" s="28"/>
      <c r="E185" s="141"/>
      <c r="F185" s="141"/>
      <c r="G185" s="55"/>
    </row>
    <row r="186" spans="1:13" s="11" customFormat="1" ht="15.75" x14ac:dyDescent="0.25">
      <c r="D186" s="28"/>
      <c r="E186" s="141"/>
      <c r="F186" s="141"/>
      <c r="G186" s="55"/>
    </row>
    <row r="187" spans="1:13" s="11" customFormat="1" ht="15.75" x14ac:dyDescent="0.25">
      <c r="D187" s="28"/>
      <c r="E187" s="141"/>
      <c r="F187" s="141"/>
      <c r="G187" s="55"/>
    </row>
    <row r="188" spans="1:13" s="11" customFormat="1" ht="15.75" x14ac:dyDescent="0.25">
      <c r="D188" s="28"/>
      <c r="E188" s="141"/>
      <c r="F188" s="141"/>
      <c r="G188" s="55"/>
    </row>
    <row r="189" spans="1:13" s="11" customFormat="1" ht="15.75" x14ac:dyDescent="0.25">
      <c r="D189" s="28"/>
      <c r="E189" s="141"/>
      <c r="F189" s="141"/>
      <c r="G189" s="55"/>
    </row>
    <row r="190" spans="1:13" s="11" customFormat="1" ht="15.75" x14ac:dyDescent="0.25">
      <c r="D190" s="28"/>
      <c r="E190" s="141"/>
      <c r="F190" s="141"/>
      <c r="G190" s="55"/>
    </row>
    <row r="191" spans="1:13" s="11" customFormat="1" ht="15.75" x14ac:dyDescent="0.25">
      <c r="D191" s="28"/>
      <c r="E191" s="141"/>
      <c r="F191" s="141"/>
      <c r="G191" s="55"/>
    </row>
    <row r="192" spans="1:13" s="11" customFormat="1" ht="15.75" x14ac:dyDescent="0.25">
      <c r="D192" s="28"/>
      <c r="E192" s="141"/>
      <c r="F192" s="141"/>
      <c r="G192" s="55"/>
    </row>
    <row r="193" spans="1:8" s="11" customFormat="1" ht="15.95" customHeight="1" x14ac:dyDescent="0.25">
      <c r="D193" s="28"/>
      <c r="E193" s="141"/>
      <c r="F193" s="141"/>
    </row>
    <row r="194" spans="1:8" s="11" customFormat="1" ht="15.95" customHeight="1" x14ac:dyDescent="0.25">
      <c r="D194" s="28"/>
      <c r="E194" s="141"/>
      <c r="F194" s="141"/>
    </row>
    <row r="195" spans="1:8" s="11" customFormat="1" ht="15.95" customHeight="1" x14ac:dyDescent="0.25">
      <c r="D195" s="28"/>
      <c r="E195" s="141"/>
      <c r="F195" s="141"/>
    </row>
    <row r="196" spans="1:8" s="11" customFormat="1" ht="15.95" customHeight="1" x14ac:dyDescent="0.25">
      <c r="D196" s="28"/>
      <c r="E196" s="141"/>
      <c r="F196" s="141"/>
    </row>
    <row r="197" spans="1:8" s="11" customFormat="1" ht="15.95" customHeight="1" x14ac:dyDescent="0.25">
      <c r="D197" s="28"/>
      <c r="E197" s="141"/>
      <c r="F197" s="141"/>
    </row>
    <row r="198" spans="1:8" s="11" customFormat="1" ht="15.95" customHeight="1" x14ac:dyDescent="0.25">
      <c r="B198" s="17"/>
      <c r="D198" s="28"/>
      <c r="E198" s="141"/>
      <c r="F198" s="141"/>
    </row>
    <row r="199" spans="1:8" s="11" customFormat="1" ht="15.95" customHeight="1" x14ac:dyDescent="0.25">
      <c r="A199" s="39"/>
      <c r="B199" s="93"/>
      <c r="C199" s="18"/>
      <c r="D199" s="18"/>
      <c r="E199" s="141"/>
      <c r="F199" s="141"/>
    </row>
    <row r="200" spans="1:8" s="11" customFormat="1" ht="15.95" customHeight="1" x14ac:dyDescent="0.3">
      <c r="A200" s="1"/>
      <c r="B200" s="10"/>
      <c r="C200" s="13"/>
      <c r="D200" s="47"/>
      <c r="E200" s="141"/>
      <c r="F200" s="141"/>
    </row>
    <row r="201" spans="1:8" s="11" customFormat="1" ht="15.95" customHeight="1" x14ac:dyDescent="0.3">
      <c r="A201" s="1"/>
      <c r="B201" s="10"/>
      <c r="C201" s="13"/>
      <c r="D201" s="47"/>
      <c r="E201" s="141"/>
      <c r="F201" s="141"/>
    </row>
    <row r="202" spans="1:8" s="11" customFormat="1" ht="15.95" customHeight="1" x14ac:dyDescent="0.3">
      <c r="A202" s="1"/>
      <c r="B202" s="10"/>
      <c r="C202" s="13"/>
      <c r="D202" s="47"/>
      <c r="E202" s="141"/>
      <c r="F202" s="141"/>
    </row>
    <row r="203" spans="1:8" s="11" customFormat="1" ht="15.95" customHeight="1" x14ac:dyDescent="0.25">
      <c r="D203" s="28"/>
      <c r="E203" s="141"/>
      <c r="F203" s="141"/>
    </row>
    <row r="204" spans="1:8" s="11" customFormat="1" ht="15.95" customHeight="1" x14ac:dyDescent="0.25">
      <c r="D204" s="28"/>
      <c r="E204" s="141"/>
      <c r="F204" s="141"/>
    </row>
    <row r="205" spans="1:8" s="11" customFormat="1" ht="15.95" customHeight="1" x14ac:dyDescent="0.25">
      <c r="D205" s="28"/>
      <c r="E205" s="141"/>
      <c r="F205" s="141"/>
    </row>
    <row r="206" spans="1:8" s="11" customFormat="1" ht="15.95" customHeight="1" x14ac:dyDescent="0.25">
      <c r="D206" s="28"/>
      <c r="E206" s="141"/>
      <c r="F206" s="141"/>
    </row>
    <row r="207" spans="1:8" s="11" customFormat="1" ht="15.95" customHeight="1" x14ac:dyDescent="0.25">
      <c r="D207" s="28"/>
      <c r="E207" s="141"/>
      <c r="F207" s="141"/>
    </row>
    <row r="208" spans="1:8" s="11" customFormat="1" ht="15.95" customHeight="1" x14ac:dyDescent="0.25">
      <c r="D208" s="28"/>
      <c r="E208" s="141"/>
      <c r="F208" s="141"/>
      <c r="H208" s="88"/>
    </row>
    <row r="209" spans="1:19" s="11" customFormat="1" ht="15.95" customHeight="1" x14ac:dyDescent="0.25">
      <c r="D209" s="28"/>
      <c r="E209" s="141"/>
      <c r="F209" s="141"/>
      <c r="H209" s="88"/>
    </row>
    <row r="210" spans="1:19" s="11" customFormat="1" ht="15.95" customHeight="1" x14ac:dyDescent="0.25">
      <c r="D210" s="28"/>
      <c r="E210" s="141"/>
      <c r="F210" s="141"/>
      <c r="G210" s="126"/>
      <c r="H210" s="88"/>
    </row>
    <row r="211" spans="1:19" s="11" customFormat="1" ht="15.95" customHeight="1" x14ac:dyDescent="0.25">
      <c r="D211" s="28"/>
      <c r="E211" s="141"/>
      <c r="F211" s="141"/>
      <c r="H211" s="88"/>
    </row>
    <row r="212" spans="1:19" s="11" customFormat="1" ht="20.100000000000001" customHeight="1" x14ac:dyDescent="0.25">
      <c r="D212" s="28"/>
      <c r="E212" s="141"/>
      <c r="F212" s="141"/>
      <c r="H212" s="88"/>
    </row>
    <row r="213" spans="1:19" s="11" customFormat="1" ht="20.100000000000001" customHeight="1" x14ac:dyDescent="0.25">
      <c r="D213" s="28"/>
      <c r="E213" s="141"/>
      <c r="F213" s="141"/>
      <c r="H213" s="88"/>
    </row>
    <row r="214" spans="1:19" s="11" customFormat="1" ht="20.100000000000001" customHeight="1" x14ac:dyDescent="0.25">
      <c r="D214" s="28"/>
      <c r="E214" s="141"/>
      <c r="F214" s="141"/>
      <c r="G214" s="126"/>
      <c r="H214" s="88"/>
    </row>
    <row r="215" spans="1:19" s="11" customFormat="1" ht="20.100000000000001" customHeight="1" x14ac:dyDescent="0.25">
      <c r="D215" s="28"/>
      <c r="E215" s="141"/>
      <c r="F215" s="141"/>
      <c r="H215" s="88"/>
    </row>
    <row r="216" spans="1:19" s="13" customFormat="1" ht="20.100000000000001" customHeight="1" x14ac:dyDescent="0.3">
      <c r="A216" s="1"/>
      <c r="B216" s="10"/>
      <c r="D216" s="47"/>
      <c r="E216" s="141"/>
      <c r="F216" s="141"/>
      <c r="H216" s="88"/>
      <c r="I216" s="11"/>
    </row>
    <row r="217" spans="1:19" s="13" customFormat="1" ht="20.100000000000001" customHeight="1" x14ac:dyDescent="0.3">
      <c r="A217" s="1"/>
      <c r="B217" s="10"/>
      <c r="D217" s="47"/>
      <c r="E217" s="141"/>
      <c r="F217" s="141"/>
      <c r="H217" s="88"/>
      <c r="I217" s="11"/>
    </row>
    <row r="218" spans="1:19" s="13" customFormat="1" ht="20.100000000000001" customHeight="1" x14ac:dyDescent="0.3">
      <c r="A218" s="1"/>
      <c r="B218" s="10"/>
      <c r="D218" s="47"/>
      <c r="E218" s="141"/>
      <c r="F218" s="141"/>
      <c r="H218" s="88"/>
      <c r="I218" s="11"/>
    </row>
    <row r="219" spans="1:19" s="90" customFormat="1" ht="20.100000000000001" customHeight="1" x14ac:dyDescent="0.3">
      <c r="A219" s="1"/>
      <c r="B219" s="10"/>
      <c r="C219" s="13"/>
      <c r="D219" s="116"/>
      <c r="E219" s="141"/>
      <c r="F219" s="141"/>
      <c r="G219" s="1"/>
      <c r="I219" s="1"/>
      <c r="J219" s="1"/>
      <c r="K219" s="1"/>
      <c r="M219" s="1"/>
      <c r="N219" s="1"/>
      <c r="O219" s="1"/>
      <c r="P219" s="1"/>
      <c r="Q219" s="1"/>
      <c r="R219" s="1"/>
      <c r="S219" s="1"/>
    </row>
    <row r="220" spans="1:19" s="90" customFormat="1" ht="20.100000000000001" customHeight="1" x14ac:dyDescent="0.3">
      <c r="A220" s="1"/>
      <c r="B220" s="10"/>
      <c r="C220" s="13"/>
      <c r="D220" s="116"/>
      <c r="E220" s="141"/>
      <c r="F220" s="141"/>
      <c r="G220" s="1"/>
      <c r="I220" s="1"/>
      <c r="J220" s="1"/>
      <c r="K220" s="1"/>
      <c r="M220" s="1"/>
      <c r="N220" s="1"/>
      <c r="O220" s="1"/>
      <c r="P220" s="1"/>
      <c r="Q220" s="1"/>
      <c r="R220" s="1"/>
      <c r="S220" s="1"/>
    </row>
    <row r="221" spans="1:19" s="90" customFormat="1" ht="20.100000000000001" customHeight="1" x14ac:dyDescent="0.3">
      <c r="A221" s="1"/>
      <c r="B221" s="10"/>
      <c r="C221" s="13"/>
      <c r="D221" s="116"/>
      <c r="E221" s="141"/>
      <c r="F221" s="141"/>
      <c r="G221" s="1"/>
      <c r="I221" s="1"/>
      <c r="J221" s="1"/>
      <c r="K221" s="1"/>
      <c r="M221" s="1"/>
      <c r="N221" s="1"/>
      <c r="O221" s="1"/>
      <c r="P221" s="1"/>
      <c r="Q221" s="1"/>
      <c r="R221" s="1"/>
      <c r="S221" s="1"/>
    </row>
    <row r="222" spans="1:19" s="90" customFormat="1" ht="20.100000000000001" customHeight="1" x14ac:dyDescent="0.3">
      <c r="A222" s="1"/>
      <c r="B222" s="10"/>
      <c r="C222" s="13"/>
      <c r="D222" s="116"/>
      <c r="E222" s="141"/>
      <c r="F222" s="141"/>
      <c r="G222" s="11"/>
      <c r="I222" s="1"/>
      <c r="J222" s="1"/>
      <c r="K222" s="1"/>
      <c r="M222" s="1"/>
      <c r="N222" s="1"/>
      <c r="O222" s="1"/>
      <c r="P222" s="1"/>
      <c r="Q222" s="1"/>
      <c r="R222" s="1"/>
      <c r="S222" s="1"/>
    </row>
  </sheetData>
  <pageMargins left="0.7" right="0.7" top="0.75" bottom="0.75" header="0.3" footer="0.3"/>
  <pageSetup scale="79" fitToHeight="0"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4370F-9E37-4376-9FFA-84C7D2D63C00}">
  <sheetPr>
    <pageSetUpPr fitToPage="1"/>
  </sheetPr>
  <dimension ref="A1:S115"/>
  <sheetViews>
    <sheetView topLeftCell="A49" zoomScale="96" zoomScaleNormal="96" workbookViewId="0">
      <selection activeCell="D80" sqref="D80"/>
    </sheetView>
  </sheetViews>
  <sheetFormatPr defaultRowHeight="18.75" x14ac:dyDescent="0.3"/>
  <cols>
    <col min="1" max="1" width="20.7109375" style="1" customWidth="1"/>
    <col min="2" max="2" width="16.85546875" style="10" customWidth="1"/>
    <col min="3" max="3" width="25" style="13" bestFit="1" customWidth="1"/>
    <col min="4" max="4" width="25.140625" style="116" customWidth="1"/>
    <col min="5" max="5" width="9.7109375" style="141" customWidth="1"/>
    <col min="6" max="6" width="16.5703125" style="141" customWidth="1"/>
    <col min="7" max="7" width="35" style="1" bestFit="1" customWidth="1"/>
    <col min="8" max="8" width="5.5703125" style="90" bestFit="1" customWidth="1"/>
    <col min="9" max="11" width="9.140625" style="1"/>
    <col min="12" max="12" width="57.5703125" style="1" bestFit="1" customWidth="1"/>
    <col min="13" max="16384" width="9.140625" style="1"/>
  </cols>
  <sheetData>
    <row r="1" spans="1:19" s="11" customFormat="1" ht="20.100000000000001" customHeight="1" x14ac:dyDescent="0.25">
      <c r="A1" s="11" t="s">
        <v>1203</v>
      </c>
      <c r="B1" s="17"/>
      <c r="C1" s="13"/>
      <c r="D1" s="47"/>
      <c r="E1" s="141"/>
      <c r="H1" s="88"/>
    </row>
    <row r="2" spans="1:19" s="11" customFormat="1" ht="20.100000000000001" customHeight="1" x14ac:dyDescent="0.25">
      <c r="A2" s="14">
        <v>45808</v>
      </c>
      <c r="B2" s="17"/>
      <c r="C2" s="13"/>
      <c r="D2" s="47"/>
      <c r="E2" s="141"/>
      <c r="H2" s="88"/>
    </row>
    <row r="3" spans="1:19" s="11" customFormat="1" ht="20.100000000000001" customHeight="1" x14ac:dyDescent="0.25">
      <c r="A3" s="11" t="s">
        <v>311</v>
      </c>
      <c r="B3" s="17">
        <v>30633182.420000002</v>
      </c>
      <c r="C3" s="13"/>
      <c r="D3" s="47"/>
      <c r="E3" s="141"/>
      <c r="H3" s="88"/>
      <c r="M3" s="89"/>
    </row>
    <row r="4" spans="1:19" s="11" customFormat="1" ht="20.100000000000001" customHeight="1" x14ac:dyDescent="0.25">
      <c r="A4" s="11" t="s">
        <v>6</v>
      </c>
      <c r="B4" s="17"/>
      <c r="C4" s="13"/>
      <c r="D4" s="47"/>
      <c r="E4" s="141"/>
      <c r="H4" s="88"/>
      <c r="M4" s="89"/>
    </row>
    <row r="5" spans="1:19" s="11" customFormat="1" ht="20.100000000000001" customHeight="1" x14ac:dyDescent="0.25">
      <c r="A5" s="11">
        <v>2100</v>
      </c>
      <c r="B5" s="17">
        <v>-28716476.02</v>
      </c>
      <c r="C5" s="13"/>
      <c r="D5" s="47"/>
      <c r="E5" s="141"/>
      <c r="H5" s="88"/>
      <c r="M5" s="89"/>
    </row>
    <row r="6" spans="1:19" s="11" customFormat="1" ht="20.100000000000001" customHeight="1" x14ac:dyDescent="0.25">
      <c r="A6" s="11" t="s">
        <v>5</v>
      </c>
      <c r="B6" s="17">
        <f>SUM(B5)</f>
        <v>-28716476.02</v>
      </c>
      <c r="C6" s="13"/>
      <c r="D6" s="47"/>
      <c r="E6" s="141"/>
      <c r="H6" s="88"/>
      <c r="M6" s="89"/>
      <c r="O6" s="62"/>
      <c r="P6" s="62"/>
      <c r="Q6" s="62"/>
      <c r="R6" s="62"/>
      <c r="S6" s="62"/>
    </row>
    <row r="7" spans="1:19" s="11" customFormat="1" ht="20.100000000000001" customHeight="1" x14ac:dyDescent="0.25">
      <c r="A7" s="11" t="s">
        <v>4</v>
      </c>
      <c r="B7" s="17">
        <f>B6+B3</f>
        <v>1916706.4000000022</v>
      </c>
      <c r="C7" s="13"/>
      <c r="D7" s="47"/>
      <c r="E7" s="141"/>
      <c r="H7" s="88"/>
      <c r="M7" s="88"/>
    </row>
    <row r="8" spans="1:19" s="11" customFormat="1" ht="15.95" customHeight="1" x14ac:dyDescent="0.25">
      <c r="A8" s="11" t="s">
        <v>3</v>
      </c>
      <c r="B8" s="17"/>
      <c r="C8" s="44" t="s">
        <v>628</v>
      </c>
      <c r="D8" s="158" t="s">
        <v>626</v>
      </c>
      <c r="E8" s="141"/>
      <c r="H8" s="88"/>
      <c r="M8" s="88"/>
    </row>
    <row r="9" spans="1:19" s="11" customFormat="1" ht="15.75" x14ac:dyDescent="0.25">
      <c r="A9" s="160" t="s">
        <v>2910</v>
      </c>
      <c r="B9" s="161">
        <v>-32086</v>
      </c>
      <c r="C9" s="164">
        <v>45636</v>
      </c>
      <c r="D9" s="163" t="s">
        <v>2952</v>
      </c>
      <c r="E9" s="160"/>
      <c r="F9" s="141"/>
      <c r="G9" s="55"/>
      <c r="M9" s="88"/>
    </row>
    <row r="10" spans="1:19" s="11" customFormat="1" ht="15.75" x14ac:dyDescent="0.25">
      <c r="A10" s="160" t="s">
        <v>2911</v>
      </c>
      <c r="B10" s="161">
        <v>-33041</v>
      </c>
      <c r="C10" s="164">
        <v>45674</v>
      </c>
      <c r="D10" s="163" t="s">
        <v>2952</v>
      </c>
      <c r="E10" s="160"/>
      <c r="F10" s="141"/>
      <c r="G10" s="55"/>
      <c r="M10" s="88"/>
    </row>
    <row r="11" spans="1:19" s="11" customFormat="1" ht="15.75" x14ac:dyDescent="0.25">
      <c r="A11" s="160" t="s">
        <v>2912</v>
      </c>
      <c r="B11" s="161">
        <v>-33306</v>
      </c>
      <c r="C11" s="164">
        <v>45628</v>
      </c>
      <c r="D11" s="163" t="s">
        <v>2952</v>
      </c>
      <c r="E11" s="160"/>
      <c r="F11" s="141"/>
      <c r="G11" s="55"/>
      <c r="M11" s="88"/>
    </row>
    <row r="12" spans="1:19" s="11" customFormat="1" ht="15.75" x14ac:dyDescent="0.25">
      <c r="A12" s="160" t="s">
        <v>2913</v>
      </c>
      <c r="B12" s="161">
        <v>-33306</v>
      </c>
      <c r="C12" s="164">
        <v>45653</v>
      </c>
      <c r="D12" s="163" t="s">
        <v>2952</v>
      </c>
      <c r="E12" s="160"/>
      <c r="F12" s="141"/>
      <c r="G12" s="55"/>
      <c r="M12" s="88"/>
    </row>
    <row r="13" spans="1:19" s="11" customFormat="1" ht="15.75" x14ac:dyDescent="0.25">
      <c r="A13" s="160" t="s">
        <v>2914</v>
      </c>
      <c r="B13" s="161">
        <v>-37296</v>
      </c>
      <c r="C13" s="164">
        <v>45604</v>
      </c>
      <c r="D13" s="163" t="s">
        <v>2952</v>
      </c>
      <c r="E13" s="160"/>
      <c r="F13" s="141"/>
      <c r="G13" s="55"/>
      <c r="M13" s="88"/>
    </row>
    <row r="14" spans="1:19" s="11" customFormat="1" ht="15.75" x14ac:dyDescent="0.25">
      <c r="A14" s="160" t="s">
        <v>2915</v>
      </c>
      <c r="B14" s="161">
        <v>-39451.75</v>
      </c>
      <c r="C14" s="164">
        <v>45808</v>
      </c>
      <c r="D14" s="163">
        <v>45811</v>
      </c>
      <c r="E14" s="160"/>
      <c r="F14" s="141"/>
      <c r="G14" s="55"/>
      <c r="M14" s="88"/>
    </row>
    <row r="15" spans="1:19" s="11" customFormat="1" ht="15.75" x14ac:dyDescent="0.25">
      <c r="A15" s="160" t="s">
        <v>2918</v>
      </c>
      <c r="B15" s="161">
        <v>-63935.6</v>
      </c>
      <c r="C15" s="164">
        <v>45807</v>
      </c>
      <c r="D15" s="163">
        <v>45811</v>
      </c>
      <c r="E15" s="160"/>
      <c r="F15" s="141"/>
      <c r="G15" s="55"/>
      <c r="M15" s="88"/>
    </row>
    <row r="16" spans="1:19" s="11" customFormat="1" ht="15.75" x14ac:dyDescent="0.25">
      <c r="A16" s="160" t="s">
        <v>2920</v>
      </c>
      <c r="B16" s="161">
        <v>-64395.95</v>
      </c>
      <c r="C16" s="164">
        <v>45808</v>
      </c>
      <c r="D16" s="163">
        <v>45810</v>
      </c>
      <c r="E16" s="160"/>
      <c r="F16" s="141"/>
      <c r="G16" s="55"/>
      <c r="M16" s="88"/>
    </row>
    <row r="17" spans="1:13" s="11" customFormat="1" ht="15.75" x14ac:dyDescent="0.25">
      <c r="A17" s="160" t="s">
        <v>2921</v>
      </c>
      <c r="B17" s="161">
        <v>-64395.95</v>
      </c>
      <c r="C17" s="164">
        <v>45808</v>
      </c>
      <c r="D17" s="163">
        <v>45810</v>
      </c>
      <c r="E17" s="160"/>
      <c r="F17" s="141"/>
      <c r="G17" s="55"/>
      <c r="M17" s="88"/>
    </row>
    <row r="18" spans="1:13" s="11" customFormat="1" ht="15.75" x14ac:dyDescent="0.25">
      <c r="A18" s="160" t="s">
        <v>2922</v>
      </c>
      <c r="B18" s="161">
        <v>-64395.95</v>
      </c>
      <c r="C18" s="164">
        <v>45807</v>
      </c>
      <c r="D18" s="163">
        <v>45811</v>
      </c>
      <c r="E18" s="160"/>
      <c r="F18" s="141"/>
      <c r="G18" s="55"/>
      <c r="M18" s="88"/>
    </row>
    <row r="19" spans="1:13" s="11" customFormat="1" ht="15.75" x14ac:dyDescent="0.25">
      <c r="A19" s="160" t="s">
        <v>2927</v>
      </c>
      <c r="B19" s="161">
        <v>-64395.95</v>
      </c>
      <c r="C19" s="164">
        <v>45807</v>
      </c>
      <c r="D19" s="163">
        <v>45811</v>
      </c>
      <c r="E19" s="160"/>
      <c r="F19" s="141"/>
      <c r="G19" s="55"/>
      <c r="M19" s="88"/>
    </row>
    <row r="20" spans="1:13" s="11" customFormat="1" ht="14.25" customHeight="1" x14ac:dyDescent="0.25">
      <c r="A20" s="160" t="s">
        <v>2926</v>
      </c>
      <c r="B20" s="161">
        <v>-88502.5</v>
      </c>
      <c r="C20" s="164">
        <v>45807</v>
      </c>
      <c r="D20" s="163">
        <v>45812</v>
      </c>
      <c r="E20" s="160"/>
      <c r="F20" s="141"/>
      <c r="G20" s="55"/>
      <c r="M20" s="88"/>
    </row>
    <row r="21" spans="1:13" s="11" customFormat="1" ht="15.75" x14ac:dyDescent="0.25">
      <c r="A21" s="160"/>
      <c r="B21" s="161"/>
      <c r="C21" s="164"/>
      <c r="D21" s="163"/>
      <c r="E21" s="160"/>
      <c r="F21" s="141"/>
      <c r="G21" s="55"/>
      <c r="M21" s="88"/>
    </row>
    <row r="22" spans="1:13" s="11" customFormat="1" ht="15.75" x14ac:dyDescent="0.25">
      <c r="B22" s="25">
        <f>SUM(B9:B21)</f>
        <v>-618508.65</v>
      </c>
      <c r="C22" s="28"/>
      <c r="D22" s="28"/>
      <c r="E22" s="141"/>
      <c r="F22" s="141"/>
      <c r="G22" s="55"/>
    </row>
    <row r="23" spans="1:13" s="11" customFormat="1" ht="16.5" customHeight="1" x14ac:dyDescent="0.25">
      <c r="A23" s="11" t="s">
        <v>2</v>
      </c>
      <c r="B23" s="25"/>
      <c r="C23" s="52" t="s">
        <v>626</v>
      </c>
      <c r="D23" s="158" t="s">
        <v>628</v>
      </c>
      <c r="E23" s="141"/>
      <c r="F23" s="141"/>
      <c r="G23" s="55"/>
      <c r="L23" s="11" t="s">
        <v>1437</v>
      </c>
    </row>
    <row r="24" spans="1:13" s="11" customFormat="1" ht="16.5" customHeight="1" x14ac:dyDescent="0.25">
      <c r="A24" s="11" t="s">
        <v>2953</v>
      </c>
      <c r="B24" s="119">
        <v>26219.9</v>
      </c>
      <c r="C24" s="13">
        <v>45807</v>
      </c>
      <c r="D24" s="86">
        <v>45813</v>
      </c>
      <c r="E24" s="141"/>
      <c r="F24" s="141"/>
      <c r="G24" s="55"/>
      <c r="L24" s="11" t="s">
        <v>1438</v>
      </c>
    </row>
    <row r="25" spans="1:13" s="11" customFormat="1" ht="16.5" customHeight="1" x14ac:dyDescent="0.25">
      <c r="A25" s="11" t="s">
        <v>2928</v>
      </c>
      <c r="B25" s="119">
        <v>26773.25</v>
      </c>
      <c r="C25" s="13">
        <v>45807</v>
      </c>
      <c r="D25" s="86">
        <v>45811</v>
      </c>
      <c r="E25" s="141"/>
      <c r="F25" s="141"/>
      <c r="G25" s="55"/>
      <c r="L25" s="11" t="s">
        <v>1439</v>
      </c>
    </row>
    <row r="26" spans="1:13" s="11" customFormat="1" ht="16.5" customHeight="1" x14ac:dyDescent="0.25">
      <c r="A26" s="11" t="s">
        <v>2929</v>
      </c>
      <c r="B26" s="119">
        <v>27323.9</v>
      </c>
      <c r="C26" s="13">
        <v>45792</v>
      </c>
      <c r="D26" s="86">
        <v>45811</v>
      </c>
      <c r="E26" s="141"/>
      <c r="F26" s="141"/>
      <c r="G26" s="55"/>
      <c r="L26" s="11" t="s">
        <v>1440</v>
      </c>
    </row>
    <row r="27" spans="1:13" s="11" customFormat="1" ht="16.5" customHeight="1" x14ac:dyDescent="0.25">
      <c r="A27" s="11" t="s">
        <v>2930</v>
      </c>
      <c r="B27" s="119">
        <v>28342.25</v>
      </c>
      <c r="C27" s="13">
        <v>45791</v>
      </c>
      <c r="D27" s="86">
        <v>45811</v>
      </c>
      <c r="E27" s="141"/>
      <c r="F27" s="141"/>
      <c r="G27" s="55"/>
      <c r="L27" s="11" t="s">
        <v>1441</v>
      </c>
      <c r="M27" s="88"/>
    </row>
    <row r="28" spans="1:13" s="11" customFormat="1" ht="16.5" customHeight="1" x14ac:dyDescent="0.25">
      <c r="A28" s="11" t="s">
        <v>2931</v>
      </c>
      <c r="B28" s="119">
        <v>28444.85</v>
      </c>
      <c r="C28" s="13">
        <v>45807</v>
      </c>
      <c r="D28" s="86">
        <v>45813</v>
      </c>
      <c r="E28" s="141"/>
      <c r="F28" s="141"/>
      <c r="G28" s="55"/>
      <c r="L28" s="11" t="s">
        <v>1442</v>
      </c>
    </row>
    <row r="29" spans="1:13" s="11" customFormat="1" ht="16.5" customHeight="1" x14ac:dyDescent="0.25">
      <c r="A29" s="11" t="s">
        <v>2954</v>
      </c>
      <c r="B29" s="119">
        <v>29982.75</v>
      </c>
      <c r="C29" s="13">
        <v>45807</v>
      </c>
      <c r="D29" s="86">
        <v>45813</v>
      </c>
      <c r="E29" s="141"/>
      <c r="F29" s="141"/>
      <c r="G29" s="55"/>
      <c r="L29" s="11" t="s">
        <v>1443</v>
      </c>
    </row>
    <row r="30" spans="1:13" s="11" customFormat="1" ht="16.5" customHeight="1" x14ac:dyDescent="0.25">
      <c r="A30" s="11" t="s">
        <v>2955</v>
      </c>
      <c r="B30" s="119">
        <v>29982.75</v>
      </c>
      <c r="C30" s="13">
        <v>45807</v>
      </c>
      <c r="D30" s="86">
        <v>45813</v>
      </c>
      <c r="E30" s="141"/>
      <c r="F30" s="141"/>
      <c r="G30" s="55"/>
      <c r="L30" s="11" t="s">
        <v>1444</v>
      </c>
    </row>
    <row r="31" spans="1:13" s="11" customFormat="1" ht="16.5" customHeight="1" x14ac:dyDescent="0.25">
      <c r="A31" s="11" t="s">
        <v>2956</v>
      </c>
      <c r="B31" s="119">
        <v>29982.75</v>
      </c>
      <c r="C31" s="13">
        <v>45807</v>
      </c>
      <c r="D31" s="86">
        <v>45813</v>
      </c>
      <c r="E31" s="141"/>
      <c r="F31" s="141"/>
      <c r="G31" s="55"/>
      <c r="L31" s="11" t="s">
        <v>1445</v>
      </c>
      <c r="M31" s="28"/>
    </row>
    <row r="32" spans="1:13" s="11" customFormat="1" ht="16.5" customHeight="1" x14ac:dyDescent="0.25">
      <c r="A32" s="11" t="s">
        <v>2957</v>
      </c>
      <c r="B32" s="119">
        <v>29982.75</v>
      </c>
      <c r="C32" s="13">
        <v>45807</v>
      </c>
      <c r="D32" s="86">
        <v>45813</v>
      </c>
      <c r="E32" s="141"/>
      <c r="F32" s="141"/>
      <c r="G32" s="55"/>
      <c r="L32" s="11" t="s">
        <v>1446</v>
      </c>
      <c r="M32" s="28"/>
    </row>
    <row r="33" spans="1:13" s="11" customFormat="1" ht="16.5" customHeight="1" x14ac:dyDescent="0.25">
      <c r="A33" s="11" t="s">
        <v>2909</v>
      </c>
      <c r="B33" s="119">
        <v>30433.200000000001</v>
      </c>
      <c r="C33" s="13">
        <v>45807</v>
      </c>
      <c r="D33" s="91">
        <v>4200</v>
      </c>
      <c r="E33" s="141"/>
      <c r="F33" s="141"/>
      <c r="G33" s="55"/>
      <c r="L33" s="11" t="s">
        <v>1447</v>
      </c>
      <c r="M33" s="28"/>
    </row>
    <row r="34" spans="1:13" s="11" customFormat="1" ht="16.5" customHeight="1" x14ac:dyDescent="0.25">
      <c r="A34" s="11" t="s">
        <v>2958</v>
      </c>
      <c r="B34" s="119">
        <v>30433.200000000001</v>
      </c>
      <c r="C34" s="13">
        <v>45807</v>
      </c>
      <c r="D34" s="86">
        <v>45813</v>
      </c>
      <c r="E34" s="141"/>
      <c r="F34" s="141"/>
      <c r="G34" s="55"/>
      <c r="L34" s="11" t="s">
        <v>1448</v>
      </c>
    </row>
    <row r="35" spans="1:13" s="11" customFormat="1" ht="16.5" customHeight="1" x14ac:dyDescent="0.25">
      <c r="A35" s="11" t="s">
        <v>2932</v>
      </c>
      <c r="B35" s="119">
        <v>30555</v>
      </c>
      <c r="C35" s="163" t="s">
        <v>2951</v>
      </c>
      <c r="D35" s="86">
        <v>45636</v>
      </c>
      <c r="E35" s="141"/>
      <c r="F35" s="141"/>
      <c r="G35" s="55"/>
      <c r="L35" s="11" t="s">
        <v>1449</v>
      </c>
    </row>
    <row r="36" spans="1:13" s="11" customFormat="1" ht="16.5" customHeight="1" x14ac:dyDescent="0.25">
      <c r="A36" s="11" t="s">
        <v>2933</v>
      </c>
      <c r="B36" s="119">
        <v>31359</v>
      </c>
      <c r="C36" s="163" t="s">
        <v>2951</v>
      </c>
      <c r="D36" s="86">
        <v>45674</v>
      </c>
      <c r="E36" s="141"/>
      <c r="F36" s="141"/>
      <c r="G36" s="55"/>
      <c r="L36" s="11" t="s">
        <v>1450</v>
      </c>
    </row>
    <row r="37" spans="1:13" s="11" customFormat="1" ht="16.5" customHeight="1" x14ac:dyDescent="0.25">
      <c r="A37" s="11" t="s">
        <v>2934</v>
      </c>
      <c r="B37" s="119">
        <v>31703</v>
      </c>
      <c r="C37" s="163" t="s">
        <v>2951</v>
      </c>
      <c r="D37" s="86">
        <v>45628</v>
      </c>
      <c r="E37" s="141"/>
      <c r="F37" s="141"/>
      <c r="G37" s="55"/>
      <c r="L37" s="11" t="s">
        <v>1451</v>
      </c>
    </row>
    <row r="38" spans="1:13" s="11" customFormat="1" ht="16.5" customHeight="1" x14ac:dyDescent="0.25">
      <c r="A38" s="11" t="s">
        <v>2935</v>
      </c>
      <c r="B38" s="119">
        <v>31703</v>
      </c>
      <c r="C38" s="163" t="s">
        <v>2951</v>
      </c>
      <c r="D38" s="86">
        <v>45653</v>
      </c>
      <c r="E38" s="141"/>
      <c r="F38" s="141"/>
      <c r="G38" s="55"/>
      <c r="L38" s="11" t="s">
        <v>1452</v>
      </c>
    </row>
    <row r="39" spans="1:13" s="11" customFormat="1" ht="16.5" customHeight="1" x14ac:dyDescent="0.25">
      <c r="A39" s="11" t="s">
        <v>2936</v>
      </c>
      <c r="B39" s="119">
        <v>35487</v>
      </c>
      <c r="C39" s="163" t="s">
        <v>2951</v>
      </c>
      <c r="D39" s="86">
        <v>45604</v>
      </c>
      <c r="E39" s="141"/>
      <c r="F39" s="141"/>
      <c r="G39" s="55"/>
      <c r="L39" s="11" t="s">
        <v>1453</v>
      </c>
    </row>
    <row r="40" spans="1:13" s="11" customFormat="1" ht="16.5" customHeight="1" x14ac:dyDescent="0.25">
      <c r="A40" s="11" t="s">
        <v>2916</v>
      </c>
      <c r="B40" s="119">
        <v>45442.400000000001</v>
      </c>
      <c r="C40" s="51">
        <v>45807</v>
      </c>
      <c r="D40" s="91">
        <v>4200</v>
      </c>
      <c r="E40" s="141"/>
      <c r="F40" s="141"/>
      <c r="G40" s="55"/>
      <c r="L40" s="11" t="s">
        <v>1436</v>
      </c>
    </row>
    <row r="41" spans="1:13" s="11" customFormat="1" ht="16.5" customHeight="1" x14ac:dyDescent="0.25">
      <c r="A41" s="11" t="s">
        <v>2917</v>
      </c>
      <c r="B41" s="119">
        <v>45902.75</v>
      </c>
      <c r="C41" s="13">
        <v>45807</v>
      </c>
      <c r="D41" s="91">
        <v>4200</v>
      </c>
      <c r="E41" s="141"/>
      <c r="F41" s="141"/>
      <c r="G41" s="55"/>
      <c r="L41" s="11" t="s">
        <v>1454</v>
      </c>
    </row>
    <row r="42" spans="1:13" s="11" customFormat="1" ht="16.5" customHeight="1" x14ac:dyDescent="0.25">
      <c r="A42" s="11" t="s">
        <v>2937</v>
      </c>
      <c r="B42" s="119">
        <v>45902.75</v>
      </c>
      <c r="C42" s="13">
        <v>45807</v>
      </c>
      <c r="D42" s="86">
        <v>45811</v>
      </c>
      <c r="E42" s="141"/>
      <c r="F42" s="141"/>
      <c r="G42" s="55"/>
      <c r="L42" s="11" t="s">
        <v>1455</v>
      </c>
    </row>
    <row r="43" spans="1:13" s="11" customFormat="1" ht="16.5" customHeight="1" x14ac:dyDescent="0.25">
      <c r="A43" s="11" t="s">
        <v>2755</v>
      </c>
      <c r="B43" s="119">
        <v>54342.65</v>
      </c>
      <c r="C43" s="13">
        <v>45772</v>
      </c>
      <c r="D43" s="91">
        <v>4800</v>
      </c>
      <c r="E43" s="141"/>
      <c r="F43" s="141"/>
      <c r="G43" s="55"/>
      <c r="L43" s="11" t="s">
        <v>1456</v>
      </c>
    </row>
    <row r="44" spans="1:13" s="11" customFormat="1" ht="16.5" customHeight="1" x14ac:dyDescent="0.25">
      <c r="A44" s="11" t="s">
        <v>2938</v>
      </c>
      <c r="B44" s="119">
        <v>60159.8</v>
      </c>
      <c r="C44" s="13">
        <v>45807</v>
      </c>
      <c r="D44" s="86">
        <v>45811</v>
      </c>
      <c r="E44" s="141"/>
      <c r="F44" s="141"/>
      <c r="G44" s="55"/>
      <c r="L44" s="11" t="s">
        <v>1457</v>
      </c>
    </row>
    <row r="45" spans="1:13" s="11" customFormat="1" ht="16.5" customHeight="1" x14ac:dyDescent="0.25">
      <c r="A45" s="11" t="s">
        <v>2758</v>
      </c>
      <c r="B45" s="119">
        <v>60834</v>
      </c>
      <c r="C45" s="51">
        <v>45771</v>
      </c>
      <c r="D45" s="91">
        <v>4800</v>
      </c>
      <c r="E45" s="141"/>
      <c r="F45" s="141"/>
      <c r="G45" s="55"/>
      <c r="L45" s="11" t="s">
        <v>2506</v>
      </c>
    </row>
    <row r="46" spans="1:13" s="11" customFormat="1" ht="16.5" customHeight="1" x14ac:dyDescent="0.25">
      <c r="A46" s="11" t="s">
        <v>2759</v>
      </c>
      <c r="B46" s="119">
        <v>60834</v>
      </c>
      <c r="C46" s="13">
        <v>45770</v>
      </c>
      <c r="D46" s="91">
        <v>4800</v>
      </c>
      <c r="E46" s="141"/>
      <c r="F46" s="141"/>
      <c r="G46" s="55"/>
      <c r="L46" s="11" t="s">
        <v>1458</v>
      </c>
    </row>
    <row r="47" spans="1:13" s="11" customFormat="1" ht="16.5" customHeight="1" x14ac:dyDescent="0.25">
      <c r="A47" s="11" t="s">
        <v>2939</v>
      </c>
      <c r="B47" s="119">
        <v>61034</v>
      </c>
      <c r="C47" s="51">
        <v>45805</v>
      </c>
      <c r="D47" s="86">
        <v>45812</v>
      </c>
      <c r="E47" s="141"/>
      <c r="F47" s="141"/>
      <c r="G47" s="55"/>
      <c r="L47" s="11" t="s">
        <v>1368</v>
      </c>
    </row>
    <row r="48" spans="1:13" s="11" customFormat="1" ht="16.5" customHeight="1" x14ac:dyDescent="0.25">
      <c r="A48" s="11" t="s">
        <v>2940</v>
      </c>
      <c r="B48" s="119">
        <v>63935.6</v>
      </c>
      <c r="C48" s="51">
        <v>45807</v>
      </c>
      <c r="D48" s="86">
        <v>45811</v>
      </c>
      <c r="E48" s="141"/>
      <c r="F48" s="141"/>
      <c r="G48" s="55"/>
      <c r="L48" s="11" t="s">
        <v>1459</v>
      </c>
    </row>
    <row r="49" spans="1:12" s="11" customFormat="1" ht="16.5" customHeight="1" x14ac:dyDescent="0.25">
      <c r="A49" s="11" t="s">
        <v>2919</v>
      </c>
      <c r="B49" s="119">
        <v>64395.95</v>
      </c>
      <c r="C49" s="51">
        <v>45804</v>
      </c>
      <c r="D49" s="91" t="s">
        <v>2963</v>
      </c>
      <c r="E49" s="141"/>
      <c r="F49" s="141"/>
      <c r="G49" s="55"/>
      <c r="L49" s="11" t="s">
        <v>1369</v>
      </c>
    </row>
    <row r="50" spans="1:12" s="11" customFormat="1" ht="16.5" customHeight="1" x14ac:dyDescent="0.25">
      <c r="A50" s="11" t="s">
        <v>2959</v>
      </c>
      <c r="B50" s="119">
        <v>64395.95</v>
      </c>
      <c r="C50" s="51">
        <v>45807</v>
      </c>
      <c r="D50" s="86">
        <v>45813</v>
      </c>
      <c r="E50" s="141"/>
      <c r="F50" s="141"/>
      <c r="G50" s="55"/>
      <c r="L50" s="11" t="s">
        <v>1460</v>
      </c>
    </row>
    <row r="51" spans="1:12" s="11" customFormat="1" ht="16.5" customHeight="1" x14ac:dyDescent="0.25">
      <c r="A51" s="11" t="s">
        <v>2960</v>
      </c>
      <c r="B51" s="119">
        <v>64395.95</v>
      </c>
      <c r="C51" s="51">
        <v>45807</v>
      </c>
      <c r="D51" s="86">
        <v>45813</v>
      </c>
      <c r="E51" s="141"/>
      <c r="F51" s="141"/>
      <c r="G51" s="55"/>
    </row>
    <row r="52" spans="1:12" s="11" customFormat="1" ht="16.5" customHeight="1" x14ac:dyDescent="0.25">
      <c r="A52" s="11" t="s">
        <v>2923</v>
      </c>
      <c r="B52" s="119">
        <v>64609.8</v>
      </c>
      <c r="C52" s="51">
        <v>45784</v>
      </c>
      <c r="D52" s="91">
        <v>4200</v>
      </c>
      <c r="E52" s="141"/>
      <c r="F52" s="141"/>
      <c r="G52" s="55"/>
    </row>
    <row r="53" spans="1:12" s="11" customFormat="1" ht="16.5" customHeight="1" x14ac:dyDescent="0.25">
      <c r="A53" s="11" t="s">
        <v>2760</v>
      </c>
      <c r="B53" s="119">
        <v>64609.8</v>
      </c>
      <c r="C53" s="51">
        <v>45772</v>
      </c>
      <c r="D53" s="91">
        <v>4800</v>
      </c>
      <c r="E53" s="141"/>
      <c r="F53" s="141"/>
      <c r="G53" s="55"/>
    </row>
    <row r="54" spans="1:12" s="11" customFormat="1" ht="16.5" customHeight="1" x14ac:dyDescent="0.25">
      <c r="A54" s="11" t="s">
        <v>2941</v>
      </c>
      <c r="B54" s="119">
        <v>64660.95</v>
      </c>
      <c r="C54" s="51">
        <v>45749</v>
      </c>
      <c r="D54" s="86">
        <v>45812</v>
      </c>
      <c r="E54" s="141"/>
      <c r="F54" s="141"/>
      <c r="G54" s="55"/>
    </row>
    <row r="55" spans="1:12" s="11" customFormat="1" ht="16.5" customHeight="1" x14ac:dyDescent="0.25">
      <c r="A55" s="11" t="s">
        <v>2942</v>
      </c>
      <c r="B55" s="119">
        <v>64809.8</v>
      </c>
      <c r="C55" s="51">
        <v>45805</v>
      </c>
      <c r="D55" s="86">
        <v>45810</v>
      </c>
      <c r="E55" s="141"/>
      <c r="F55" s="141"/>
      <c r="G55" s="55"/>
    </row>
    <row r="56" spans="1:12" s="11" customFormat="1" ht="16.5" customHeight="1" x14ac:dyDescent="0.25">
      <c r="A56" s="11" t="s">
        <v>2943</v>
      </c>
      <c r="B56" s="119">
        <v>64809.8</v>
      </c>
      <c r="C56" s="51">
        <v>45807</v>
      </c>
      <c r="D56" s="86">
        <v>45812</v>
      </c>
      <c r="E56" s="141"/>
      <c r="F56" s="141"/>
      <c r="G56" s="55"/>
    </row>
    <row r="57" spans="1:12" s="11" customFormat="1" ht="16.5" customHeight="1" x14ac:dyDescent="0.25">
      <c r="A57" s="11" t="s">
        <v>2961</v>
      </c>
      <c r="B57" s="119">
        <v>64809.8</v>
      </c>
      <c r="C57" s="51">
        <v>45805</v>
      </c>
      <c r="D57" s="86">
        <v>45814</v>
      </c>
      <c r="E57" s="141"/>
      <c r="F57" s="141"/>
      <c r="G57" s="55"/>
    </row>
    <row r="58" spans="1:12" s="11" customFormat="1" ht="16.5" customHeight="1" x14ac:dyDescent="0.25">
      <c r="A58" s="11" t="s">
        <v>2763</v>
      </c>
      <c r="B58" s="119">
        <v>70603.649999999994</v>
      </c>
      <c r="C58" s="51">
        <v>45771</v>
      </c>
      <c r="D58" s="91">
        <v>4800</v>
      </c>
      <c r="E58" s="141"/>
      <c r="F58" s="141"/>
      <c r="G58" s="55"/>
    </row>
    <row r="59" spans="1:12" s="11" customFormat="1" ht="16.5" customHeight="1" x14ac:dyDescent="0.25">
      <c r="A59" s="11" t="s">
        <v>2764</v>
      </c>
      <c r="B59" s="119">
        <v>70603.649999999994</v>
      </c>
      <c r="C59" s="51">
        <v>45771</v>
      </c>
      <c r="D59" s="91">
        <v>4800</v>
      </c>
      <c r="E59" s="141"/>
      <c r="F59" s="141"/>
      <c r="G59" s="55"/>
    </row>
    <row r="60" spans="1:12" s="11" customFormat="1" ht="16.5" customHeight="1" x14ac:dyDescent="0.25">
      <c r="A60" s="11" t="s">
        <v>2944</v>
      </c>
      <c r="B60" s="119">
        <v>70603.649999999994</v>
      </c>
      <c r="C60" s="51">
        <v>45769</v>
      </c>
      <c r="D60" s="86">
        <v>45812</v>
      </c>
      <c r="E60" s="141"/>
      <c r="F60" s="141"/>
      <c r="G60" s="55"/>
    </row>
    <row r="61" spans="1:12" s="11" customFormat="1" ht="16.5" customHeight="1" x14ac:dyDescent="0.25">
      <c r="A61" s="11" t="s">
        <v>2924</v>
      </c>
      <c r="B61" s="119">
        <v>70803.649999999994</v>
      </c>
      <c r="C61" s="51">
        <v>45775</v>
      </c>
      <c r="D61" s="91">
        <v>4800</v>
      </c>
      <c r="E61" s="141"/>
      <c r="F61" s="141"/>
      <c r="G61" s="55"/>
    </row>
    <row r="62" spans="1:12" s="11" customFormat="1" ht="16.5" customHeight="1" x14ac:dyDescent="0.25">
      <c r="A62" s="11" t="s">
        <v>2964</v>
      </c>
      <c r="B62" s="119">
        <v>71524.350000000006</v>
      </c>
      <c r="C62" s="51">
        <v>45749</v>
      </c>
      <c r="D62" s="86">
        <v>45818</v>
      </c>
      <c r="E62" s="141"/>
      <c r="F62" s="141"/>
      <c r="G62" s="55"/>
    </row>
    <row r="63" spans="1:12" s="11" customFormat="1" ht="16.5" customHeight="1" x14ac:dyDescent="0.25">
      <c r="A63" s="11" t="s">
        <v>2945</v>
      </c>
      <c r="B63" s="119">
        <v>71915</v>
      </c>
      <c r="C63" s="51">
        <v>45805</v>
      </c>
      <c r="D63" s="86">
        <v>45810</v>
      </c>
      <c r="E63" s="141"/>
      <c r="F63" s="141"/>
      <c r="G63" s="55"/>
    </row>
    <row r="64" spans="1:12" s="11" customFormat="1" ht="16.5" customHeight="1" x14ac:dyDescent="0.25">
      <c r="A64" s="11" t="s">
        <v>2925</v>
      </c>
      <c r="B64" s="119">
        <v>72119.600000000006</v>
      </c>
      <c r="C64" s="51">
        <v>45790</v>
      </c>
      <c r="D64" s="91">
        <v>4800</v>
      </c>
      <c r="E64" s="141"/>
      <c r="F64" s="141"/>
      <c r="G64" s="55"/>
    </row>
    <row r="65" spans="1:7" s="11" customFormat="1" ht="16.5" customHeight="1" x14ac:dyDescent="0.25">
      <c r="A65" s="11" t="s">
        <v>2962</v>
      </c>
      <c r="B65" s="119">
        <v>74774.7</v>
      </c>
      <c r="C65" s="51">
        <v>45772</v>
      </c>
      <c r="D65" s="91">
        <v>4800</v>
      </c>
      <c r="E65" s="141"/>
      <c r="F65" s="141"/>
      <c r="G65" s="55"/>
    </row>
    <row r="66" spans="1:7" s="11" customFormat="1" ht="16.5" customHeight="1" x14ac:dyDescent="0.25">
      <c r="A66" s="11" t="s">
        <v>2946</v>
      </c>
      <c r="B66" s="119">
        <v>76737.05</v>
      </c>
      <c r="C66" s="51">
        <v>45772</v>
      </c>
      <c r="D66" s="86">
        <v>45812</v>
      </c>
      <c r="E66" s="141"/>
      <c r="F66" s="141"/>
      <c r="G66" s="55"/>
    </row>
    <row r="67" spans="1:7" s="11" customFormat="1" ht="16.5" customHeight="1" x14ac:dyDescent="0.25">
      <c r="A67" s="11" t="s">
        <v>2947</v>
      </c>
      <c r="B67" s="119">
        <v>81388.600000000006</v>
      </c>
      <c r="C67" s="51">
        <v>45805</v>
      </c>
      <c r="D67" s="86">
        <v>45810</v>
      </c>
      <c r="E67" s="141"/>
      <c r="F67" s="141"/>
      <c r="G67" s="55"/>
    </row>
    <row r="68" spans="1:7" s="11" customFormat="1" ht="16.5" customHeight="1" x14ac:dyDescent="0.25">
      <c r="A68" s="11" t="s">
        <v>2948</v>
      </c>
      <c r="B68" s="119">
        <v>81848.95</v>
      </c>
      <c r="C68" s="51">
        <v>45805</v>
      </c>
      <c r="D68" s="86">
        <v>45810</v>
      </c>
      <c r="E68" s="141"/>
      <c r="F68" s="141"/>
      <c r="G68" s="55"/>
    </row>
    <row r="69" spans="1:7" s="11" customFormat="1" ht="16.5" customHeight="1" x14ac:dyDescent="0.25">
      <c r="A69" s="11" t="s">
        <v>2949</v>
      </c>
      <c r="B69" s="119">
        <v>81848.95</v>
      </c>
      <c r="C69" s="51">
        <v>45805</v>
      </c>
      <c r="D69" s="86">
        <v>45810</v>
      </c>
      <c r="E69" s="141"/>
      <c r="F69" s="141"/>
      <c r="G69" s="55"/>
    </row>
    <row r="70" spans="1:7" s="11" customFormat="1" ht="16.5" customHeight="1" x14ac:dyDescent="0.25">
      <c r="A70" s="11" t="s">
        <v>2950</v>
      </c>
      <c r="B70" s="119">
        <v>81848.95</v>
      </c>
      <c r="C70" s="51">
        <v>45805</v>
      </c>
      <c r="D70" s="86">
        <v>45810</v>
      </c>
      <c r="E70" s="141"/>
      <c r="F70" s="141"/>
      <c r="G70" s="55"/>
    </row>
    <row r="71" spans="1:7" s="11" customFormat="1" ht="16.5" customHeight="1" thickBot="1" x14ac:dyDescent="0.3">
      <c r="B71" s="119"/>
      <c r="C71" s="51"/>
      <c r="D71" s="86"/>
      <c r="E71" s="141"/>
      <c r="F71" s="141"/>
      <c r="G71" s="55"/>
    </row>
    <row r="72" spans="1:7" s="11" customFormat="1" ht="15.75" x14ac:dyDescent="0.25">
      <c r="B72" s="25">
        <f>SUM(B24:B71)</f>
        <v>2535215.0500000003</v>
      </c>
      <c r="C72" s="129" t="s">
        <v>1368</v>
      </c>
      <c r="E72" s="141"/>
      <c r="F72" s="141"/>
      <c r="G72" s="55"/>
    </row>
    <row r="73" spans="1:7" s="11" customFormat="1" ht="16.5" thickBot="1" x14ac:dyDescent="0.3">
      <c r="A73" s="11" t="s">
        <v>1</v>
      </c>
      <c r="B73" s="17">
        <f>B72+B22</f>
        <v>1916706.4000000004</v>
      </c>
      <c r="C73" s="131" t="s">
        <v>1369</v>
      </c>
      <c r="E73" s="141"/>
      <c r="F73" s="141"/>
      <c r="G73" s="55"/>
    </row>
    <row r="74" spans="1:7" s="11" customFormat="1" ht="15.75" x14ac:dyDescent="0.25">
      <c r="A74" s="11" t="s">
        <v>0</v>
      </c>
      <c r="B74" s="17">
        <f>B73-B7</f>
        <v>-1.862645149230957E-9</v>
      </c>
      <c r="E74" s="141"/>
      <c r="F74" s="141"/>
      <c r="G74" s="55"/>
    </row>
    <row r="75" spans="1:7" s="11" customFormat="1" ht="15.75" x14ac:dyDescent="0.25">
      <c r="D75" s="28"/>
      <c r="E75" s="141"/>
      <c r="F75" s="141"/>
      <c r="G75" s="55"/>
    </row>
    <row r="76" spans="1:7" s="11" customFormat="1" ht="15.75" x14ac:dyDescent="0.25">
      <c r="D76" s="28"/>
      <c r="E76" s="141"/>
      <c r="F76" s="141"/>
      <c r="G76" s="55"/>
    </row>
    <row r="77" spans="1:7" s="11" customFormat="1" ht="15.75" x14ac:dyDescent="0.25">
      <c r="D77" s="28"/>
      <c r="E77" s="141"/>
      <c r="F77" s="141"/>
      <c r="G77" s="55"/>
    </row>
    <row r="78" spans="1:7" s="11" customFormat="1" ht="15.75" x14ac:dyDescent="0.25">
      <c r="D78" s="28"/>
      <c r="E78" s="141"/>
      <c r="F78" s="141"/>
      <c r="G78" s="55"/>
    </row>
    <row r="79" spans="1:7" s="11" customFormat="1" ht="15.75" x14ac:dyDescent="0.25">
      <c r="D79" s="28"/>
      <c r="E79" s="141"/>
      <c r="F79" s="141"/>
      <c r="G79" s="55"/>
    </row>
    <row r="80" spans="1:7" s="11" customFormat="1" ht="15.75" x14ac:dyDescent="0.25">
      <c r="D80" s="28"/>
      <c r="E80" s="141"/>
      <c r="F80" s="141"/>
      <c r="G80" s="55"/>
    </row>
    <row r="81" spans="1:7" s="11" customFormat="1" ht="15.75" x14ac:dyDescent="0.25">
      <c r="D81" s="28"/>
      <c r="E81" s="141"/>
      <c r="F81" s="141"/>
      <c r="G81" s="55"/>
    </row>
    <row r="82" spans="1:7" s="11" customFormat="1" ht="15.75" x14ac:dyDescent="0.25">
      <c r="D82" s="28"/>
      <c r="E82" s="141"/>
      <c r="F82" s="141"/>
      <c r="G82" s="55"/>
    </row>
    <row r="83" spans="1:7" s="11" customFormat="1" ht="15.75" x14ac:dyDescent="0.25">
      <c r="D83" s="28"/>
      <c r="E83" s="141"/>
      <c r="F83" s="141"/>
      <c r="G83" s="55"/>
    </row>
    <row r="84" spans="1:7" s="11" customFormat="1" ht="15.75" x14ac:dyDescent="0.25">
      <c r="D84" s="28"/>
      <c r="E84" s="141"/>
      <c r="F84" s="141"/>
      <c r="G84" s="55"/>
    </row>
    <row r="85" spans="1:7" s="11" customFormat="1" ht="15.75" x14ac:dyDescent="0.25">
      <c r="D85" s="28"/>
      <c r="E85" s="141"/>
      <c r="F85" s="141"/>
      <c r="G85" s="55"/>
    </row>
    <row r="86" spans="1:7" s="11" customFormat="1" ht="15.95" customHeight="1" x14ac:dyDescent="0.25">
      <c r="D86" s="28"/>
      <c r="E86" s="141"/>
      <c r="F86" s="141"/>
    </row>
    <row r="87" spans="1:7" s="11" customFormat="1" ht="15.95" customHeight="1" x14ac:dyDescent="0.25">
      <c r="D87" s="28"/>
      <c r="E87" s="141"/>
      <c r="F87" s="141"/>
    </row>
    <row r="88" spans="1:7" s="11" customFormat="1" ht="15.95" customHeight="1" x14ac:dyDescent="0.25">
      <c r="D88" s="28"/>
      <c r="E88" s="141"/>
      <c r="F88" s="141"/>
    </row>
    <row r="89" spans="1:7" s="11" customFormat="1" ht="15.95" customHeight="1" x14ac:dyDescent="0.25">
      <c r="D89" s="28"/>
      <c r="E89" s="141"/>
      <c r="F89" s="141"/>
    </row>
    <row r="90" spans="1:7" s="11" customFormat="1" ht="15.95" customHeight="1" x14ac:dyDescent="0.25">
      <c r="D90" s="28"/>
      <c r="E90" s="141"/>
      <c r="F90" s="141"/>
    </row>
    <row r="91" spans="1:7" s="11" customFormat="1" ht="15.95" customHeight="1" x14ac:dyDescent="0.25">
      <c r="B91" s="17"/>
      <c r="D91" s="28"/>
      <c r="E91" s="141"/>
      <c r="F91" s="141"/>
    </row>
    <row r="92" spans="1:7" s="11" customFormat="1" ht="15.95" customHeight="1" x14ac:dyDescent="0.25">
      <c r="A92" s="39"/>
      <c r="B92" s="93"/>
      <c r="C92" s="18"/>
      <c r="D92" s="18"/>
      <c r="E92" s="141"/>
      <c r="F92" s="141"/>
    </row>
    <row r="93" spans="1:7" s="11" customFormat="1" ht="15.95" customHeight="1" x14ac:dyDescent="0.3">
      <c r="A93" s="1"/>
      <c r="B93" s="10"/>
      <c r="C93" s="13"/>
      <c r="D93" s="47"/>
      <c r="E93" s="141"/>
      <c r="F93" s="141"/>
    </row>
    <row r="94" spans="1:7" s="11" customFormat="1" ht="15.95" customHeight="1" x14ac:dyDescent="0.3">
      <c r="A94" s="1"/>
      <c r="B94" s="10"/>
      <c r="C94" s="13"/>
      <c r="D94" s="47"/>
      <c r="E94" s="141"/>
      <c r="F94" s="141"/>
    </row>
    <row r="95" spans="1:7" s="11" customFormat="1" ht="15.95" customHeight="1" x14ac:dyDescent="0.3">
      <c r="A95" s="1"/>
      <c r="B95" s="10"/>
      <c r="C95" s="13"/>
      <c r="D95" s="47"/>
      <c r="E95" s="141"/>
      <c r="F95" s="141"/>
    </row>
    <row r="96" spans="1:7" s="11" customFormat="1" ht="15.95" customHeight="1" x14ac:dyDescent="0.25">
      <c r="D96" s="28"/>
      <c r="E96" s="141"/>
      <c r="F96" s="141"/>
    </row>
    <row r="97" spans="1:19" s="11" customFormat="1" ht="15.95" customHeight="1" x14ac:dyDescent="0.25">
      <c r="D97" s="28"/>
      <c r="E97" s="141"/>
      <c r="F97" s="141"/>
    </row>
    <row r="98" spans="1:19" s="11" customFormat="1" ht="15.95" customHeight="1" x14ac:dyDescent="0.25">
      <c r="D98" s="28"/>
      <c r="E98" s="141"/>
      <c r="F98" s="141"/>
    </row>
    <row r="99" spans="1:19" s="11" customFormat="1" ht="15.95" customHeight="1" x14ac:dyDescent="0.25">
      <c r="D99" s="28"/>
      <c r="E99" s="141"/>
      <c r="F99" s="141"/>
    </row>
    <row r="100" spans="1:19" s="11" customFormat="1" ht="15.95" customHeight="1" x14ac:dyDescent="0.25">
      <c r="D100" s="28"/>
      <c r="E100" s="141"/>
      <c r="F100" s="141"/>
    </row>
    <row r="101" spans="1:19" s="11" customFormat="1" ht="15.95" customHeight="1" x14ac:dyDescent="0.25">
      <c r="D101" s="28"/>
      <c r="E101" s="141"/>
      <c r="F101" s="141"/>
      <c r="H101" s="88"/>
    </row>
    <row r="102" spans="1:19" s="11" customFormat="1" ht="15.95" customHeight="1" x14ac:dyDescent="0.25">
      <c r="D102" s="28"/>
      <c r="E102" s="141"/>
      <c r="F102" s="141"/>
      <c r="H102" s="88"/>
    </row>
    <row r="103" spans="1:19" s="11" customFormat="1" ht="15.95" customHeight="1" x14ac:dyDescent="0.25">
      <c r="D103" s="28"/>
      <c r="E103" s="141"/>
      <c r="F103" s="141"/>
      <c r="G103" s="126"/>
      <c r="H103" s="88"/>
    </row>
    <row r="104" spans="1:19" s="11" customFormat="1" ht="15.95" customHeight="1" x14ac:dyDescent="0.25">
      <c r="D104" s="28"/>
      <c r="E104" s="141"/>
      <c r="F104" s="141"/>
      <c r="H104" s="88"/>
    </row>
    <row r="105" spans="1:19" s="11" customFormat="1" ht="20.100000000000001" customHeight="1" x14ac:dyDescent="0.25">
      <c r="D105" s="28"/>
      <c r="E105" s="141"/>
      <c r="F105" s="141"/>
      <c r="H105" s="88"/>
    </row>
    <row r="106" spans="1:19" s="11" customFormat="1" ht="20.100000000000001" customHeight="1" x14ac:dyDescent="0.25">
      <c r="D106" s="28"/>
      <c r="E106" s="141"/>
      <c r="F106" s="141"/>
      <c r="H106" s="88"/>
    </row>
    <row r="107" spans="1:19" s="11" customFormat="1" ht="20.100000000000001" customHeight="1" x14ac:dyDescent="0.25">
      <c r="D107" s="28"/>
      <c r="E107" s="141"/>
      <c r="F107" s="141"/>
      <c r="G107" s="126"/>
      <c r="H107" s="88"/>
    </row>
    <row r="108" spans="1:19" s="11" customFormat="1" ht="20.100000000000001" customHeight="1" x14ac:dyDescent="0.25">
      <c r="D108" s="28"/>
      <c r="E108" s="141"/>
      <c r="F108" s="141"/>
      <c r="H108" s="88"/>
    </row>
    <row r="109" spans="1:19" s="13" customFormat="1" ht="20.100000000000001" customHeight="1" x14ac:dyDescent="0.3">
      <c r="A109" s="1"/>
      <c r="B109" s="10"/>
      <c r="D109" s="47"/>
      <c r="E109" s="141"/>
      <c r="F109" s="141"/>
      <c r="H109" s="88"/>
      <c r="I109" s="11"/>
    </row>
    <row r="110" spans="1:19" s="13" customFormat="1" ht="20.100000000000001" customHeight="1" x14ac:dyDescent="0.3">
      <c r="A110" s="1"/>
      <c r="B110" s="10"/>
      <c r="D110" s="47"/>
      <c r="E110" s="141"/>
      <c r="F110" s="141"/>
      <c r="H110" s="88"/>
      <c r="I110" s="11"/>
    </row>
    <row r="111" spans="1:19" s="13" customFormat="1" ht="20.100000000000001" customHeight="1" x14ac:dyDescent="0.3">
      <c r="A111" s="1"/>
      <c r="B111" s="10"/>
      <c r="D111" s="47"/>
      <c r="E111" s="141"/>
      <c r="F111" s="141"/>
      <c r="H111" s="88"/>
      <c r="I111" s="11"/>
    </row>
    <row r="112" spans="1:19" s="90" customFormat="1" ht="20.100000000000001" customHeight="1" x14ac:dyDescent="0.3">
      <c r="A112" s="1"/>
      <c r="B112" s="10"/>
      <c r="C112" s="13"/>
      <c r="D112" s="116"/>
      <c r="E112" s="141"/>
      <c r="F112" s="141"/>
      <c r="G112" s="1"/>
      <c r="I112" s="1"/>
      <c r="J112" s="1"/>
      <c r="K112" s="1"/>
      <c r="M112" s="1"/>
      <c r="N112" s="1"/>
      <c r="O112" s="1"/>
      <c r="P112" s="1"/>
      <c r="Q112" s="1"/>
      <c r="R112" s="1"/>
      <c r="S112" s="1"/>
    </row>
    <row r="113" spans="1:19" s="90" customFormat="1" ht="20.100000000000001" customHeight="1" x14ac:dyDescent="0.3">
      <c r="A113" s="1"/>
      <c r="B113" s="10"/>
      <c r="C113" s="13"/>
      <c r="D113" s="116"/>
      <c r="E113" s="141"/>
      <c r="F113" s="141"/>
      <c r="G113" s="1"/>
      <c r="I113" s="1"/>
      <c r="J113" s="1"/>
      <c r="K113" s="1"/>
      <c r="M113" s="1"/>
      <c r="N113" s="1"/>
      <c r="O113" s="1"/>
      <c r="P113" s="1"/>
      <c r="Q113" s="1"/>
      <c r="R113" s="1"/>
      <c r="S113" s="1"/>
    </row>
    <row r="114" spans="1:19" s="90" customFormat="1" ht="20.100000000000001" customHeight="1" x14ac:dyDescent="0.3">
      <c r="A114" s="1"/>
      <c r="B114" s="10"/>
      <c r="C114" s="13"/>
      <c r="D114" s="116"/>
      <c r="E114" s="141"/>
      <c r="F114" s="141"/>
      <c r="G114" s="1"/>
      <c r="I114" s="1"/>
      <c r="J114" s="1"/>
      <c r="K114" s="1"/>
      <c r="M114" s="1"/>
      <c r="N114" s="1"/>
      <c r="O114" s="1"/>
      <c r="P114" s="1"/>
      <c r="Q114" s="1"/>
      <c r="R114" s="1"/>
      <c r="S114" s="1"/>
    </row>
    <row r="115" spans="1:19" s="90" customFormat="1" ht="20.100000000000001" customHeight="1" x14ac:dyDescent="0.3">
      <c r="A115" s="1"/>
      <c r="B115" s="10"/>
      <c r="C115" s="13"/>
      <c r="D115" s="116"/>
      <c r="E115" s="141"/>
      <c r="F115" s="141"/>
      <c r="G115" s="11"/>
      <c r="I115" s="1"/>
      <c r="J115" s="1"/>
      <c r="K115" s="1"/>
      <c r="M115" s="1"/>
      <c r="N115" s="1"/>
      <c r="O115" s="1"/>
      <c r="P115" s="1"/>
      <c r="Q115" s="1"/>
      <c r="R115" s="1"/>
      <c r="S115" s="1"/>
    </row>
  </sheetData>
  <pageMargins left="0.7" right="0.7" top="0.75" bottom="0.75" header="0.3" footer="0.3"/>
  <pageSetup scale="79" fitToHeight="0"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AF27B-69A0-43DB-8BB8-A1D524ACA9A4}">
  <sheetPr>
    <pageSetUpPr fitToPage="1"/>
  </sheetPr>
  <dimension ref="A1:S145"/>
  <sheetViews>
    <sheetView zoomScale="96" zoomScaleNormal="96" workbookViewId="0">
      <selection activeCell="F30" sqref="F30"/>
    </sheetView>
  </sheetViews>
  <sheetFormatPr defaultRowHeight="18.75" x14ac:dyDescent="0.3"/>
  <cols>
    <col min="1" max="1" width="20.7109375" style="1" customWidth="1"/>
    <col min="2" max="2" width="16.85546875" style="10" customWidth="1"/>
    <col min="3" max="3" width="28.7109375" style="13" bestFit="1" customWidth="1"/>
    <col min="4" max="4" width="28.7109375" style="116" bestFit="1" customWidth="1"/>
    <col min="5" max="5" width="9.7109375" style="141" customWidth="1"/>
    <col min="6" max="6" width="16.5703125" style="141" customWidth="1"/>
    <col min="7" max="7" width="35" style="1" bestFit="1" customWidth="1"/>
    <col min="8" max="8" width="5.5703125" style="90" bestFit="1" customWidth="1"/>
    <col min="9" max="11" width="9.140625" style="1"/>
    <col min="12" max="12" width="57.5703125" style="1" bestFit="1" customWidth="1"/>
    <col min="13" max="16384" width="9.140625" style="1"/>
  </cols>
  <sheetData>
    <row r="1" spans="1:19" s="11" customFormat="1" ht="20.100000000000001" customHeight="1" x14ac:dyDescent="0.25">
      <c r="A1" s="11" t="s">
        <v>1203</v>
      </c>
      <c r="B1" s="17"/>
      <c r="C1" s="13"/>
      <c r="D1" s="47"/>
      <c r="E1" s="141"/>
      <c r="H1" s="88"/>
    </row>
    <row r="2" spans="1:19" s="11" customFormat="1" ht="20.100000000000001" customHeight="1" x14ac:dyDescent="0.25">
      <c r="A2" s="14">
        <v>45838</v>
      </c>
      <c r="B2" s="17"/>
      <c r="C2" s="13"/>
      <c r="D2" s="47"/>
      <c r="E2" s="141"/>
      <c r="H2" s="88"/>
    </row>
    <row r="3" spans="1:19" s="11" customFormat="1" ht="20.100000000000001" customHeight="1" x14ac:dyDescent="0.25">
      <c r="A3" s="11" t="s">
        <v>311</v>
      </c>
      <c r="B3" s="17">
        <v>31949253.02</v>
      </c>
      <c r="C3" s="13"/>
      <c r="D3" s="47"/>
      <c r="E3" s="141"/>
      <c r="H3" s="88"/>
      <c r="M3" s="89"/>
    </row>
    <row r="4" spans="1:19" s="11" customFormat="1" ht="20.100000000000001" customHeight="1" x14ac:dyDescent="0.25">
      <c r="A4" s="11" t="s">
        <v>6</v>
      </c>
      <c r="B4" s="17"/>
      <c r="C4" s="13"/>
      <c r="D4" s="47"/>
      <c r="E4" s="141"/>
      <c r="H4" s="88"/>
      <c r="M4" s="89"/>
    </row>
    <row r="5" spans="1:19" s="11" customFormat="1" ht="20.100000000000001" customHeight="1" x14ac:dyDescent="0.25">
      <c r="A5" s="11">
        <v>2100</v>
      </c>
      <c r="B5" s="17">
        <v>-30799318.120000001</v>
      </c>
      <c r="C5" s="13"/>
      <c r="D5" s="47"/>
      <c r="E5" s="141"/>
      <c r="H5" s="88"/>
      <c r="M5" s="89"/>
    </row>
    <row r="6" spans="1:19" s="11" customFormat="1" ht="20.100000000000001" customHeight="1" x14ac:dyDescent="0.25">
      <c r="A6" s="11" t="s">
        <v>5</v>
      </c>
      <c r="B6" s="17">
        <f>SUM(B5)</f>
        <v>-30799318.120000001</v>
      </c>
      <c r="C6" s="13"/>
      <c r="D6" s="47"/>
      <c r="E6" s="141"/>
      <c r="H6" s="88"/>
      <c r="M6" s="89"/>
      <c r="O6" s="62"/>
      <c r="P6" s="62"/>
      <c r="Q6" s="62"/>
      <c r="R6" s="62"/>
      <c r="S6" s="62"/>
    </row>
    <row r="7" spans="1:19" s="11" customFormat="1" ht="20.100000000000001" customHeight="1" x14ac:dyDescent="0.25">
      <c r="A7" s="11" t="s">
        <v>4</v>
      </c>
      <c r="B7" s="17">
        <f>B6+B3</f>
        <v>1149934.8999999985</v>
      </c>
      <c r="C7" s="13"/>
      <c r="D7" s="47"/>
      <c r="E7" s="141"/>
      <c r="H7" s="88"/>
      <c r="M7" s="88"/>
    </row>
    <row r="8" spans="1:19" s="11" customFormat="1" ht="15.95" customHeight="1" x14ac:dyDescent="0.25">
      <c r="A8" s="11" t="s">
        <v>3</v>
      </c>
      <c r="B8" s="17"/>
      <c r="C8" s="44" t="s">
        <v>628</v>
      </c>
      <c r="D8" s="158" t="s">
        <v>626</v>
      </c>
      <c r="E8" s="141"/>
      <c r="H8" s="88"/>
      <c r="M8" s="88"/>
    </row>
    <row r="9" spans="1:19" s="11" customFormat="1" ht="15.75" x14ac:dyDescent="0.25">
      <c r="A9" s="160" t="s">
        <v>2965</v>
      </c>
      <c r="B9" s="161">
        <v>-28918</v>
      </c>
      <c r="C9" s="164">
        <v>45838</v>
      </c>
      <c r="D9" s="163">
        <v>45839</v>
      </c>
      <c r="E9" s="160"/>
      <c r="F9" s="141"/>
      <c r="G9" s="55"/>
      <c r="M9" s="88"/>
    </row>
    <row r="10" spans="1:19" s="11" customFormat="1" ht="15.75" x14ac:dyDescent="0.25">
      <c r="A10" s="160" t="s">
        <v>2966</v>
      </c>
      <c r="B10" s="161">
        <v>-28918</v>
      </c>
      <c r="C10" s="164">
        <v>45838</v>
      </c>
      <c r="D10" s="163">
        <v>45839</v>
      </c>
      <c r="E10" s="160"/>
      <c r="F10" s="141"/>
      <c r="G10" s="55"/>
      <c r="M10" s="88"/>
    </row>
    <row r="11" spans="1:19" s="11" customFormat="1" ht="15.75" x14ac:dyDescent="0.25">
      <c r="A11" s="160" t="s">
        <v>2967</v>
      </c>
      <c r="B11" s="161">
        <v>-29072.75</v>
      </c>
      <c r="C11" s="164" t="s">
        <v>3009</v>
      </c>
      <c r="D11" s="163" t="s">
        <v>3051</v>
      </c>
      <c r="E11" s="160"/>
      <c r="F11" s="141"/>
      <c r="G11" s="55"/>
      <c r="M11" s="88"/>
    </row>
    <row r="12" spans="1:19" s="11" customFormat="1" ht="15.75" x14ac:dyDescent="0.25">
      <c r="A12" s="160" t="s">
        <v>2968</v>
      </c>
      <c r="B12" s="161">
        <v>-30433.200000000001</v>
      </c>
      <c r="C12" s="164" t="s">
        <v>3009</v>
      </c>
      <c r="D12" s="163" t="s">
        <v>3051</v>
      </c>
      <c r="E12" s="160"/>
      <c r="F12" s="141"/>
      <c r="G12" s="55"/>
      <c r="M12" s="88"/>
    </row>
    <row r="13" spans="1:19" s="11" customFormat="1" ht="15.75" x14ac:dyDescent="0.25">
      <c r="A13" s="160" t="s">
        <v>2969</v>
      </c>
      <c r="B13" s="161">
        <v>-30912</v>
      </c>
      <c r="C13" s="164">
        <v>45838</v>
      </c>
      <c r="D13" s="163">
        <v>45839</v>
      </c>
      <c r="E13" s="160"/>
      <c r="F13" s="141"/>
      <c r="G13" s="55"/>
      <c r="M13" s="88"/>
    </row>
    <row r="14" spans="1:19" s="11" customFormat="1" ht="15.75" x14ac:dyDescent="0.25">
      <c r="A14" s="160" t="s">
        <v>2970</v>
      </c>
      <c r="B14" s="161">
        <v>-30912</v>
      </c>
      <c r="C14" s="164">
        <v>45838</v>
      </c>
      <c r="D14" s="163">
        <v>45839</v>
      </c>
      <c r="E14" s="160"/>
      <c r="F14" s="141"/>
      <c r="G14" s="55"/>
      <c r="M14" s="88"/>
    </row>
    <row r="15" spans="1:19" s="11" customFormat="1" ht="15.75" x14ac:dyDescent="0.25">
      <c r="A15" s="160" t="s">
        <v>2971</v>
      </c>
      <c r="B15" s="161">
        <v>-30912</v>
      </c>
      <c r="C15" s="164">
        <v>45838</v>
      </c>
      <c r="D15" s="163">
        <v>45839</v>
      </c>
      <c r="E15" s="160"/>
      <c r="F15" s="141"/>
      <c r="G15" s="55"/>
      <c r="M15" s="88"/>
    </row>
    <row r="16" spans="1:19" s="11" customFormat="1" ht="15.75" x14ac:dyDescent="0.25">
      <c r="A16" s="160" t="s">
        <v>2972</v>
      </c>
      <c r="B16" s="161">
        <v>-30912</v>
      </c>
      <c r="C16" s="164">
        <v>45838</v>
      </c>
      <c r="D16" s="163">
        <v>45839</v>
      </c>
      <c r="E16" s="160"/>
      <c r="F16" s="141"/>
      <c r="G16" s="55"/>
      <c r="M16" s="88"/>
    </row>
    <row r="17" spans="1:13" s="11" customFormat="1" ht="15.75" x14ac:dyDescent="0.25">
      <c r="A17" s="160" t="s">
        <v>2973</v>
      </c>
      <c r="B17" s="161">
        <v>-31188</v>
      </c>
      <c r="C17" s="164" t="s">
        <v>3057</v>
      </c>
      <c r="D17" s="163" t="s">
        <v>3052</v>
      </c>
      <c r="E17" s="160"/>
      <c r="F17" s="141"/>
      <c r="G17" s="55"/>
      <c r="M17" s="88"/>
    </row>
    <row r="18" spans="1:13" s="11" customFormat="1" ht="15.75" x14ac:dyDescent="0.25">
      <c r="A18" s="160" t="s">
        <v>2974</v>
      </c>
      <c r="B18" s="161">
        <v>-32086</v>
      </c>
      <c r="C18" s="164" t="s">
        <v>3057</v>
      </c>
      <c r="D18" s="163" t="s">
        <v>3052</v>
      </c>
      <c r="E18" s="160"/>
      <c r="F18" s="141"/>
      <c r="G18" s="55"/>
      <c r="M18" s="88"/>
    </row>
    <row r="19" spans="1:13" s="11" customFormat="1" ht="15.75" x14ac:dyDescent="0.25">
      <c r="A19" s="160" t="s">
        <v>2975</v>
      </c>
      <c r="B19" s="161">
        <v>-32627</v>
      </c>
      <c r="C19" s="164">
        <v>45838</v>
      </c>
      <c r="D19" s="163">
        <v>45839</v>
      </c>
      <c r="E19" s="160"/>
      <c r="F19" s="141"/>
      <c r="G19" s="55"/>
      <c r="M19" s="88"/>
    </row>
    <row r="20" spans="1:13" s="11" customFormat="1" ht="15.75" x14ac:dyDescent="0.25">
      <c r="A20" s="160" t="s">
        <v>2976</v>
      </c>
      <c r="B20" s="161">
        <v>-32748</v>
      </c>
      <c r="C20" s="164" t="s">
        <v>3057</v>
      </c>
      <c r="D20" s="163" t="s">
        <v>3052</v>
      </c>
      <c r="E20" s="160"/>
      <c r="F20" s="141"/>
      <c r="G20" s="55"/>
      <c r="M20" s="88"/>
    </row>
    <row r="21" spans="1:13" s="11" customFormat="1" ht="15.75" x14ac:dyDescent="0.25">
      <c r="A21" s="160" t="s">
        <v>2977</v>
      </c>
      <c r="B21" s="161">
        <v>-32921</v>
      </c>
      <c r="C21" s="164" t="s">
        <v>3057</v>
      </c>
      <c r="D21" s="163" t="s">
        <v>3052</v>
      </c>
      <c r="E21" s="160"/>
      <c r="F21" s="141"/>
      <c r="G21" s="55"/>
      <c r="M21" s="88"/>
    </row>
    <row r="22" spans="1:13" s="11" customFormat="1" ht="15.75" x14ac:dyDescent="0.25">
      <c r="A22" s="160" t="s">
        <v>2978</v>
      </c>
      <c r="B22" s="161">
        <v>-33568</v>
      </c>
      <c r="C22" s="164" t="s">
        <v>3057</v>
      </c>
      <c r="D22" s="163" t="s">
        <v>3052</v>
      </c>
      <c r="E22" s="160"/>
      <c r="F22" s="141"/>
      <c r="G22" s="55"/>
      <c r="M22" s="88"/>
    </row>
    <row r="23" spans="1:13" s="11" customFormat="1" ht="15.75" x14ac:dyDescent="0.25">
      <c r="A23" s="160" t="s">
        <v>2979</v>
      </c>
      <c r="B23" s="161">
        <v>-33568</v>
      </c>
      <c r="C23" s="164" t="s">
        <v>3057</v>
      </c>
      <c r="D23" s="163" t="s">
        <v>3052</v>
      </c>
      <c r="E23" s="160"/>
      <c r="F23" s="141"/>
      <c r="G23" s="55"/>
      <c r="M23" s="88"/>
    </row>
    <row r="24" spans="1:13" s="11" customFormat="1" ht="15.75" x14ac:dyDescent="0.25">
      <c r="A24" s="160" t="s">
        <v>2980</v>
      </c>
      <c r="B24" s="161">
        <v>-33568</v>
      </c>
      <c r="C24" s="164" t="s">
        <v>3057</v>
      </c>
      <c r="D24" s="163" t="s">
        <v>3052</v>
      </c>
      <c r="E24" s="160"/>
      <c r="F24" s="141"/>
      <c r="G24" s="55"/>
      <c r="M24" s="88"/>
    </row>
    <row r="25" spans="1:13" s="11" customFormat="1" ht="15.75" x14ac:dyDescent="0.25">
      <c r="A25" s="160" t="s">
        <v>2981</v>
      </c>
      <c r="B25" s="161">
        <v>-34078</v>
      </c>
      <c r="C25" s="164" t="s">
        <v>3057</v>
      </c>
      <c r="D25" s="163" t="s">
        <v>3052</v>
      </c>
      <c r="E25" s="160"/>
      <c r="F25" s="141"/>
      <c r="G25" s="55"/>
      <c r="M25" s="88"/>
    </row>
    <row r="26" spans="1:13" s="11" customFormat="1" ht="15.75" x14ac:dyDescent="0.25">
      <c r="A26" s="160" t="s">
        <v>2982</v>
      </c>
      <c r="B26" s="161">
        <v>-34359</v>
      </c>
      <c r="C26" s="164" t="s">
        <v>3057</v>
      </c>
      <c r="D26" s="163" t="s">
        <v>3052</v>
      </c>
      <c r="E26" s="160"/>
      <c r="F26" s="141"/>
      <c r="G26" s="55"/>
      <c r="M26" s="88"/>
    </row>
    <row r="27" spans="1:13" s="11" customFormat="1" ht="15.75" x14ac:dyDescent="0.25">
      <c r="A27" s="160" t="s">
        <v>2983</v>
      </c>
      <c r="B27" s="161">
        <v>-36966</v>
      </c>
      <c r="C27" s="164">
        <v>45828</v>
      </c>
      <c r="D27" s="163">
        <v>45859</v>
      </c>
      <c r="E27" s="160"/>
      <c r="F27" s="141"/>
      <c r="G27" s="55"/>
      <c r="M27" s="88"/>
    </row>
    <row r="28" spans="1:13" s="11" customFormat="1" ht="15.75" x14ac:dyDescent="0.25">
      <c r="A28" s="160" t="s">
        <v>2984</v>
      </c>
      <c r="B28" s="161">
        <v>-36966</v>
      </c>
      <c r="C28" s="164">
        <v>45828</v>
      </c>
      <c r="D28" s="163">
        <v>45860</v>
      </c>
      <c r="E28" s="160"/>
      <c r="F28" s="141"/>
      <c r="G28" s="55"/>
      <c r="M28" s="88"/>
    </row>
    <row r="29" spans="1:13" s="11" customFormat="1" ht="15.75" x14ac:dyDescent="0.25">
      <c r="A29" s="160" t="s">
        <v>2985</v>
      </c>
      <c r="B29" s="161">
        <v>-37426.35</v>
      </c>
      <c r="C29" s="164">
        <v>45828</v>
      </c>
      <c r="D29" s="163">
        <v>45860</v>
      </c>
      <c r="E29" s="160"/>
      <c r="F29" s="141"/>
      <c r="G29" s="55"/>
      <c r="M29" s="88"/>
    </row>
    <row r="30" spans="1:13" s="11" customFormat="1" ht="15.75" x14ac:dyDescent="0.25">
      <c r="A30" s="160" t="s">
        <v>2986</v>
      </c>
      <c r="B30" s="161">
        <v>-37426.35</v>
      </c>
      <c r="C30" s="164">
        <v>45828</v>
      </c>
      <c r="D30" s="163">
        <v>45861</v>
      </c>
      <c r="E30" s="160"/>
      <c r="F30" s="141"/>
      <c r="G30" s="55"/>
      <c r="M30" s="88"/>
    </row>
    <row r="31" spans="1:13" s="11" customFormat="1" ht="15.75" x14ac:dyDescent="0.25">
      <c r="A31" s="160" t="s">
        <v>2987</v>
      </c>
      <c r="B31" s="161">
        <v>-37426.35</v>
      </c>
      <c r="C31" s="164">
        <v>45828</v>
      </c>
      <c r="D31" s="163">
        <v>45860</v>
      </c>
      <c r="E31" s="160"/>
      <c r="F31" s="141"/>
      <c r="G31" s="55"/>
      <c r="M31" s="88"/>
    </row>
    <row r="32" spans="1:13" s="11" customFormat="1" ht="15.75" x14ac:dyDescent="0.25">
      <c r="A32" s="160" t="s">
        <v>2988</v>
      </c>
      <c r="B32" s="161">
        <v>-37426.35</v>
      </c>
      <c r="C32" s="164">
        <v>45828</v>
      </c>
      <c r="D32" s="163">
        <v>45859</v>
      </c>
      <c r="E32" s="160"/>
      <c r="F32" s="141"/>
      <c r="G32" s="55"/>
      <c r="M32" s="88"/>
    </row>
    <row r="33" spans="1:13" s="11" customFormat="1" ht="15.75" x14ac:dyDescent="0.25">
      <c r="A33" s="160" t="s">
        <v>2989</v>
      </c>
      <c r="B33" s="161">
        <v>-37426.35</v>
      </c>
      <c r="C33" s="164">
        <v>45828</v>
      </c>
      <c r="D33" s="163">
        <v>45859</v>
      </c>
      <c r="E33" s="160"/>
      <c r="F33" s="141"/>
      <c r="G33" s="55"/>
      <c r="M33" s="88"/>
    </row>
    <row r="34" spans="1:13" s="11" customFormat="1" ht="15.75" x14ac:dyDescent="0.25">
      <c r="A34" s="160" t="s">
        <v>2990</v>
      </c>
      <c r="B34" s="161">
        <v>-37881</v>
      </c>
      <c r="C34" s="164">
        <v>45838</v>
      </c>
      <c r="D34" s="163">
        <v>45839</v>
      </c>
      <c r="E34" s="160"/>
      <c r="F34" s="141"/>
      <c r="G34" s="55"/>
      <c r="M34" s="88"/>
    </row>
    <row r="35" spans="1:13" s="11" customFormat="1" ht="15.75" x14ac:dyDescent="0.25">
      <c r="A35" s="160" t="s">
        <v>2992</v>
      </c>
      <c r="B35" s="161">
        <v>-41081</v>
      </c>
      <c r="C35" s="164">
        <v>45838</v>
      </c>
      <c r="D35" s="163">
        <v>45839</v>
      </c>
      <c r="E35" s="160"/>
      <c r="F35" s="141"/>
      <c r="G35" s="55"/>
      <c r="M35" s="88"/>
    </row>
    <row r="36" spans="1:13" s="11" customFormat="1" ht="15.75" x14ac:dyDescent="0.25">
      <c r="A36" s="160" t="s">
        <v>3062</v>
      </c>
      <c r="B36" s="161">
        <v>-42046.85</v>
      </c>
      <c r="C36" s="164">
        <v>45828</v>
      </c>
      <c r="D36" s="163">
        <v>45859</v>
      </c>
      <c r="E36" s="160"/>
      <c r="F36" s="141"/>
      <c r="G36" s="55"/>
      <c r="M36" s="88"/>
    </row>
    <row r="37" spans="1:13" s="11" customFormat="1" ht="15.75" x14ac:dyDescent="0.25">
      <c r="A37" s="160" t="s">
        <v>2993</v>
      </c>
      <c r="B37" s="161">
        <v>-42046.85</v>
      </c>
      <c r="C37" s="164">
        <v>45828</v>
      </c>
      <c r="D37" s="163">
        <v>45861</v>
      </c>
      <c r="E37" s="160"/>
      <c r="F37" s="141"/>
      <c r="G37" s="55"/>
      <c r="M37" s="88"/>
    </row>
    <row r="38" spans="1:13" s="11" customFormat="1" ht="15.75" x14ac:dyDescent="0.25">
      <c r="A38" s="160" t="s">
        <v>2994</v>
      </c>
      <c r="B38" s="161">
        <v>-42507.199999999997</v>
      </c>
      <c r="C38" s="164">
        <v>45828</v>
      </c>
      <c r="D38" s="163">
        <v>45852</v>
      </c>
      <c r="E38" s="160"/>
      <c r="F38" s="141"/>
      <c r="G38" s="55"/>
      <c r="M38" s="88"/>
    </row>
    <row r="39" spans="1:13" s="11" customFormat="1" ht="15.75" x14ac:dyDescent="0.25">
      <c r="A39" s="160" t="s">
        <v>2995</v>
      </c>
      <c r="B39" s="161">
        <v>-42507.199999999997</v>
      </c>
      <c r="C39" s="164">
        <v>45828</v>
      </c>
      <c r="D39" s="163">
        <v>45860</v>
      </c>
      <c r="E39" s="160"/>
      <c r="F39" s="141"/>
      <c r="G39" s="55"/>
      <c r="M39" s="88"/>
    </row>
    <row r="40" spans="1:13" s="11" customFormat="1" ht="15.75" x14ac:dyDescent="0.25">
      <c r="A40" s="160" t="s">
        <v>2996</v>
      </c>
      <c r="B40" s="161">
        <v>-42507.199999999997</v>
      </c>
      <c r="C40" s="164">
        <v>45828</v>
      </c>
      <c r="D40" s="163">
        <v>45860</v>
      </c>
      <c r="E40" s="160"/>
      <c r="F40" s="141"/>
      <c r="G40" s="55"/>
      <c r="M40" s="88"/>
    </row>
    <row r="41" spans="1:13" s="11" customFormat="1" ht="15.75" x14ac:dyDescent="0.25">
      <c r="A41" s="160" t="s">
        <v>2997</v>
      </c>
      <c r="B41" s="161">
        <v>-46115</v>
      </c>
      <c r="C41" s="164" t="s">
        <v>3057</v>
      </c>
      <c r="D41" s="163" t="s">
        <v>3052</v>
      </c>
      <c r="E41" s="160"/>
      <c r="F41" s="141"/>
      <c r="G41" s="55"/>
      <c r="M41" s="88"/>
    </row>
    <row r="42" spans="1:13" s="11" customFormat="1" ht="15.75" x14ac:dyDescent="0.25">
      <c r="A42" s="160" t="s">
        <v>3004</v>
      </c>
      <c r="B42" s="161">
        <v>-83588.05</v>
      </c>
      <c r="C42" s="164">
        <v>45834</v>
      </c>
      <c r="D42" s="163">
        <v>45839</v>
      </c>
      <c r="E42" s="160"/>
      <c r="F42" s="141"/>
      <c r="G42" s="55"/>
      <c r="M42" s="88"/>
    </row>
    <row r="43" spans="1:13" s="11" customFormat="1" ht="15.75" x14ac:dyDescent="0.25">
      <c r="A43" s="160" t="s">
        <v>3005</v>
      </c>
      <c r="B43" s="161">
        <v>-83588.05</v>
      </c>
      <c r="C43" s="164">
        <v>45834</v>
      </c>
      <c r="D43" s="163">
        <v>45839</v>
      </c>
      <c r="E43" s="160"/>
      <c r="F43" s="141"/>
      <c r="G43" s="55"/>
      <c r="M43" s="88"/>
    </row>
    <row r="44" spans="1:13" s="11" customFormat="1" ht="15.75" x14ac:dyDescent="0.25">
      <c r="A44" s="160" t="s">
        <v>3006</v>
      </c>
      <c r="B44" s="161">
        <v>-84056.1</v>
      </c>
      <c r="C44" s="164">
        <v>45835</v>
      </c>
      <c r="D44" s="163">
        <v>45839</v>
      </c>
      <c r="E44" s="160"/>
      <c r="F44" s="141"/>
      <c r="G44" s="55"/>
      <c r="M44" s="88"/>
    </row>
    <row r="45" spans="1:13" s="11" customFormat="1" ht="15.75" x14ac:dyDescent="0.25">
      <c r="A45" s="160" t="s">
        <v>3007</v>
      </c>
      <c r="B45" s="161">
        <v>-92490</v>
      </c>
      <c r="C45" s="164" t="s">
        <v>3053</v>
      </c>
      <c r="D45" s="163" t="s">
        <v>3054</v>
      </c>
      <c r="E45" s="160"/>
      <c r="F45" s="141"/>
      <c r="G45" s="55"/>
      <c r="M45" s="88"/>
    </row>
    <row r="46" spans="1:13" s="11" customFormat="1" ht="15.75" x14ac:dyDescent="0.25">
      <c r="A46" s="160" t="s">
        <v>3008</v>
      </c>
      <c r="B46" s="161">
        <v>-152290</v>
      </c>
      <c r="C46" s="164" t="s">
        <v>3053</v>
      </c>
      <c r="D46" s="163" t="s">
        <v>3055</v>
      </c>
      <c r="E46" s="160"/>
      <c r="F46" s="141"/>
      <c r="G46" s="55"/>
      <c r="M46" s="88"/>
    </row>
    <row r="47" spans="1:13" s="11" customFormat="1" ht="15.75" x14ac:dyDescent="0.25">
      <c r="A47" s="160"/>
      <c r="B47" s="161"/>
      <c r="C47" s="164"/>
      <c r="D47" s="163"/>
      <c r="E47" s="160"/>
      <c r="F47" s="141"/>
      <c r="G47" s="55"/>
      <c r="M47" s="88"/>
    </row>
    <row r="48" spans="1:13" s="11" customFormat="1" ht="15.75" x14ac:dyDescent="0.25">
      <c r="B48" s="25">
        <f>SUM(B9:B47)</f>
        <v>-1665469.2</v>
      </c>
      <c r="C48" s="28"/>
      <c r="D48" s="28"/>
      <c r="E48" s="141"/>
      <c r="F48" s="141"/>
      <c r="G48" s="55"/>
    </row>
    <row r="49" spans="1:13" s="11" customFormat="1" ht="16.5" customHeight="1" x14ac:dyDescent="0.25">
      <c r="A49" s="11" t="s">
        <v>2</v>
      </c>
      <c r="B49" s="25"/>
      <c r="C49" s="52" t="s">
        <v>626</v>
      </c>
      <c r="D49" s="158" t="s">
        <v>628</v>
      </c>
      <c r="E49" s="141"/>
      <c r="F49" s="141"/>
      <c r="G49" s="55"/>
    </row>
    <row r="50" spans="1:13" s="11" customFormat="1" ht="16.5" customHeight="1" x14ac:dyDescent="0.25">
      <c r="A50" s="11" t="s">
        <v>3010</v>
      </c>
      <c r="B50" s="119">
        <v>26312.9</v>
      </c>
      <c r="C50" s="13">
        <v>45833</v>
      </c>
      <c r="D50" s="91">
        <v>4800</v>
      </c>
      <c r="E50" s="141"/>
      <c r="F50" s="141"/>
      <c r="G50" s="55"/>
    </row>
    <row r="51" spans="1:13" s="11" customFormat="1" ht="16.5" customHeight="1" x14ac:dyDescent="0.25">
      <c r="A51" s="11" t="s">
        <v>3058</v>
      </c>
      <c r="B51" s="119">
        <v>26773.25</v>
      </c>
      <c r="C51" s="13">
        <v>45833</v>
      </c>
      <c r="D51" s="86">
        <v>45847</v>
      </c>
      <c r="E51" s="141"/>
      <c r="F51" s="141"/>
      <c r="G51" s="55"/>
    </row>
    <row r="52" spans="1:13" s="11" customFormat="1" ht="16.5" customHeight="1" x14ac:dyDescent="0.25">
      <c r="A52" s="11" t="s">
        <v>3011</v>
      </c>
      <c r="B52" s="119">
        <v>26773.25</v>
      </c>
      <c r="C52" s="13">
        <v>45828</v>
      </c>
      <c r="D52" s="86">
        <v>45839</v>
      </c>
      <c r="E52" s="141"/>
      <c r="F52" s="141"/>
      <c r="G52" s="55"/>
    </row>
    <row r="53" spans="1:13" s="11" customFormat="1" ht="16.5" customHeight="1" x14ac:dyDescent="0.25">
      <c r="A53" s="11" t="s">
        <v>3012</v>
      </c>
      <c r="B53" s="119">
        <v>26773.25</v>
      </c>
      <c r="C53" s="13">
        <v>45828</v>
      </c>
      <c r="D53" s="86">
        <v>45839</v>
      </c>
      <c r="E53" s="141"/>
      <c r="F53" s="141"/>
      <c r="G53" s="55"/>
      <c r="M53" s="88"/>
    </row>
    <row r="54" spans="1:13" s="11" customFormat="1" ht="16.5" customHeight="1" x14ac:dyDescent="0.25">
      <c r="A54" s="11" t="s">
        <v>3013</v>
      </c>
      <c r="B54" s="119">
        <v>26773.25</v>
      </c>
      <c r="C54" s="13">
        <v>45828</v>
      </c>
      <c r="D54" s="86">
        <v>45839</v>
      </c>
      <c r="E54" s="141"/>
      <c r="F54" s="141"/>
      <c r="G54" s="55"/>
    </row>
    <row r="55" spans="1:13" s="11" customFormat="1" ht="16.5" customHeight="1" x14ac:dyDescent="0.25">
      <c r="A55" s="11" t="s">
        <v>3059</v>
      </c>
      <c r="B55" s="119">
        <v>28156.25</v>
      </c>
      <c r="C55" s="13">
        <v>45828</v>
      </c>
      <c r="D55" s="86">
        <v>45839</v>
      </c>
      <c r="E55" s="141"/>
      <c r="F55" s="141"/>
      <c r="G55" s="55"/>
    </row>
    <row r="56" spans="1:13" s="11" customFormat="1" ht="16.5" customHeight="1" x14ac:dyDescent="0.25">
      <c r="A56" s="11" t="s">
        <v>3014</v>
      </c>
      <c r="B56" s="119">
        <v>29078</v>
      </c>
      <c r="C56" s="13" t="s">
        <v>3056</v>
      </c>
      <c r="D56" s="86" t="s">
        <v>3057</v>
      </c>
      <c r="E56" s="141"/>
      <c r="F56" s="141"/>
      <c r="G56" s="55"/>
    </row>
    <row r="57" spans="1:13" s="11" customFormat="1" ht="16.5" customHeight="1" x14ac:dyDescent="0.25">
      <c r="A57" s="11" t="s">
        <v>3015</v>
      </c>
      <c r="B57" s="119">
        <v>29648.45</v>
      </c>
      <c r="C57" s="13" t="s">
        <v>3051</v>
      </c>
      <c r="D57" s="86" t="s">
        <v>3009</v>
      </c>
      <c r="E57" s="141"/>
      <c r="F57" s="141"/>
      <c r="G57" s="55"/>
      <c r="M57" s="28"/>
    </row>
    <row r="58" spans="1:13" s="11" customFormat="1" ht="16.5" customHeight="1" x14ac:dyDescent="0.25">
      <c r="A58" s="11" t="s">
        <v>3016</v>
      </c>
      <c r="B58" s="119">
        <v>30055</v>
      </c>
      <c r="C58" s="13" t="s">
        <v>3056</v>
      </c>
      <c r="D58" s="86" t="s">
        <v>3057</v>
      </c>
      <c r="E58" s="141"/>
      <c r="F58" s="141"/>
      <c r="G58" s="55"/>
      <c r="L58" s="11" t="s">
        <v>1437</v>
      </c>
      <c r="M58" s="28"/>
    </row>
    <row r="59" spans="1:13" s="11" customFormat="1" ht="16.5" customHeight="1" x14ac:dyDescent="0.25">
      <c r="A59" s="11" t="s">
        <v>3017</v>
      </c>
      <c r="B59" s="119">
        <v>30540</v>
      </c>
      <c r="C59" s="13" t="s">
        <v>3056</v>
      </c>
      <c r="D59" s="86" t="s">
        <v>3057</v>
      </c>
      <c r="E59" s="141"/>
      <c r="F59" s="141"/>
      <c r="G59" s="55"/>
      <c r="L59" s="11" t="s">
        <v>1438</v>
      </c>
      <c r="M59" s="28"/>
    </row>
    <row r="60" spans="1:13" s="11" customFormat="1" ht="16.5" customHeight="1" x14ac:dyDescent="0.25">
      <c r="A60" s="11" t="s">
        <v>3018</v>
      </c>
      <c r="B60" s="119">
        <v>30713</v>
      </c>
      <c r="C60" s="13" t="s">
        <v>3056</v>
      </c>
      <c r="D60" s="86" t="s">
        <v>3057</v>
      </c>
      <c r="E60" s="141"/>
      <c r="F60" s="141"/>
      <c r="G60" s="55"/>
      <c r="L60" s="11" t="s">
        <v>1439</v>
      </c>
    </row>
    <row r="61" spans="1:13" s="11" customFormat="1" ht="16.5" customHeight="1" x14ac:dyDescent="0.25">
      <c r="A61" s="11" t="s">
        <v>3019</v>
      </c>
      <c r="B61" s="119">
        <v>31038.799999999999</v>
      </c>
      <c r="C61" s="163" t="s">
        <v>3051</v>
      </c>
      <c r="D61" s="86" t="s">
        <v>3009</v>
      </c>
      <c r="E61" s="141"/>
      <c r="F61" s="141"/>
      <c r="G61" s="55"/>
      <c r="L61" s="11" t="s">
        <v>1440</v>
      </c>
    </row>
    <row r="62" spans="1:13" s="11" customFormat="1" ht="16.5" customHeight="1" x14ac:dyDescent="0.25">
      <c r="A62" s="11" t="s">
        <v>3020</v>
      </c>
      <c r="B62" s="119">
        <v>31386</v>
      </c>
      <c r="C62" s="13" t="s">
        <v>3056</v>
      </c>
      <c r="D62" s="86" t="s">
        <v>3057</v>
      </c>
      <c r="E62" s="141"/>
      <c r="F62" s="141"/>
      <c r="G62" s="55"/>
      <c r="L62" s="11" t="s">
        <v>1441</v>
      </c>
    </row>
    <row r="63" spans="1:13" s="11" customFormat="1" ht="16.5" customHeight="1" x14ac:dyDescent="0.25">
      <c r="A63" s="11" t="s">
        <v>3021</v>
      </c>
      <c r="B63" s="119">
        <v>31386</v>
      </c>
      <c r="C63" s="13" t="s">
        <v>3056</v>
      </c>
      <c r="D63" s="86" t="s">
        <v>3057</v>
      </c>
      <c r="E63" s="141"/>
      <c r="F63" s="141"/>
      <c r="G63" s="55"/>
      <c r="L63" s="11" t="s">
        <v>1442</v>
      </c>
    </row>
    <row r="64" spans="1:13" s="11" customFormat="1" ht="16.5" customHeight="1" x14ac:dyDescent="0.25">
      <c r="A64" s="11" t="s">
        <v>3022</v>
      </c>
      <c r="B64" s="119">
        <v>31386</v>
      </c>
      <c r="C64" s="13" t="s">
        <v>3056</v>
      </c>
      <c r="D64" s="86" t="s">
        <v>3057</v>
      </c>
      <c r="E64" s="141"/>
      <c r="F64" s="141"/>
      <c r="G64" s="55"/>
      <c r="L64" s="11" t="s">
        <v>1443</v>
      </c>
    </row>
    <row r="65" spans="1:12" s="11" customFormat="1" ht="16.5" customHeight="1" x14ac:dyDescent="0.25">
      <c r="A65" s="11" t="s">
        <v>3023</v>
      </c>
      <c r="B65" s="119">
        <v>31806</v>
      </c>
      <c r="C65" s="13" t="s">
        <v>3056</v>
      </c>
      <c r="D65" s="86" t="s">
        <v>3057</v>
      </c>
      <c r="E65" s="141"/>
      <c r="F65" s="141"/>
      <c r="G65" s="55"/>
      <c r="L65" s="11" t="s">
        <v>1444</v>
      </c>
    </row>
    <row r="66" spans="1:12" s="11" customFormat="1" ht="16.5" customHeight="1" x14ac:dyDescent="0.25">
      <c r="A66" s="11" t="s">
        <v>3024</v>
      </c>
      <c r="B66" s="119">
        <v>32087</v>
      </c>
      <c r="C66" s="13" t="s">
        <v>3056</v>
      </c>
      <c r="D66" s="86" t="s">
        <v>3057</v>
      </c>
      <c r="E66" s="141"/>
      <c r="F66" s="141"/>
      <c r="G66" s="55"/>
      <c r="L66" s="11" t="s">
        <v>1445</v>
      </c>
    </row>
    <row r="67" spans="1:12" s="11" customFormat="1" ht="16.5" customHeight="1" x14ac:dyDescent="0.25">
      <c r="A67" s="11" t="s">
        <v>3025</v>
      </c>
      <c r="B67" s="119">
        <v>39777.25</v>
      </c>
      <c r="C67" s="13">
        <v>45838</v>
      </c>
      <c r="D67" s="86">
        <v>45839</v>
      </c>
      <c r="E67" s="141"/>
      <c r="F67" s="141"/>
      <c r="G67" s="55"/>
      <c r="L67" s="11" t="s">
        <v>1446</v>
      </c>
    </row>
    <row r="68" spans="1:12" s="11" customFormat="1" ht="16.5" customHeight="1" x14ac:dyDescent="0.25">
      <c r="A68" s="11" t="s">
        <v>3026</v>
      </c>
      <c r="B68" s="119">
        <v>40237.599999999999</v>
      </c>
      <c r="C68" s="13">
        <v>45838</v>
      </c>
      <c r="D68" s="86">
        <v>45839</v>
      </c>
      <c r="E68" s="141"/>
      <c r="F68" s="141"/>
      <c r="G68" s="55"/>
      <c r="L68" s="11" t="s">
        <v>1447</v>
      </c>
    </row>
    <row r="69" spans="1:12" s="11" customFormat="1" ht="16.5" customHeight="1" x14ac:dyDescent="0.25">
      <c r="A69" s="11" t="s">
        <v>2991</v>
      </c>
      <c r="B69" s="119">
        <v>40237.599999999999</v>
      </c>
      <c r="C69" s="13">
        <v>45838</v>
      </c>
      <c r="D69" s="91">
        <v>4800</v>
      </c>
      <c r="E69" s="141"/>
      <c r="F69" s="141"/>
      <c r="G69" s="55"/>
      <c r="L69" s="11" t="s">
        <v>1448</v>
      </c>
    </row>
    <row r="70" spans="1:12" s="11" customFormat="1" ht="16.5" customHeight="1" x14ac:dyDescent="0.25">
      <c r="A70" s="11" t="s">
        <v>3027</v>
      </c>
      <c r="B70" s="119">
        <v>42831</v>
      </c>
      <c r="C70" s="13" t="s">
        <v>3056</v>
      </c>
      <c r="D70" s="86" t="s">
        <v>3057</v>
      </c>
      <c r="E70" s="141"/>
      <c r="F70" s="141"/>
      <c r="G70" s="55"/>
      <c r="L70" s="11" t="s">
        <v>1449</v>
      </c>
    </row>
    <row r="71" spans="1:12" s="11" customFormat="1" ht="16.5" customHeight="1" x14ac:dyDescent="0.25">
      <c r="A71" s="11" t="s">
        <v>3028</v>
      </c>
      <c r="B71" s="119">
        <v>60173.75</v>
      </c>
      <c r="C71" s="51">
        <v>45834</v>
      </c>
      <c r="D71" s="86">
        <v>45839</v>
      </c>
      <c r="E71" s="141"/>
      <c r="F71" s="141"/>
      <c r="G71" s="55"/>
      <c r="L71" s="11" t="s">
        <v>1450</v>
      </c>
    </row>
    <row r="72" spans="1:12" s="11" customFormat="1" ht="16.5" customHeight="1" x14ac:dyDescent="0.25">
      <c r="A72" s="11" t="s">
        <v>3029</v>
      </c>
      <c r="B72" s="119">
        <v>60634.1</v>
      </c>
      <c r="C72" s="13">
        <v>45833</v>
      </c>
      <c r="D72" s="86">
        <v>45839</v>
      </c>
      <c r="E72" s="141"/>
      <c r="F72" s="141"/>
      <c r="G72" s="55"/>
      <c r="L72" s="11" t="s">
        <v>1451</v>
      </c>
    </row>
    <row r="73" spans="1:12" s="11" customFormat="1" ht="16.5" customHeight="1" x14ac:dyDescent="0.25">
      <c r="A73" s="11" t="s">
        <v>3030</v>
      </c>
      <c r="B73" s="119">
        <v>60634.1</v>
      </c>
      <c r="C73" s="51">
        <v>45835</v>
      </c>
      <c r="D73" s="86">
        <v>45847</v>
      </c>
      <c r="E73" s="141"/>
      <c r="F73" s="141"/>
      <c r="G73" s="55"/>
      <c r="L73" s="11" t="s">
        <v>1452</v>
      </c>
    </row>
    <row r="74" spans="1:12" s="11" customFormat="1" ht="16.5" customHeight="1" x14ac:dyDescent="0.25">
      <c r="A74" s="11" t="s">
        <v>3031</v>
      </c>
      <c r="B74" s="119">
        <v>60634.1</v>
      </c>
      <c r="C74" s="51">
        <v>45833</v>
      </c>
      <c r="D74" s="86">
        <v>45839</v>
      </c>
      <c r="E74" s="141"/>
      <c r="F74" s="141"/>
      <c r="G74" s="55"/>
      <c r="L74" s="11" t="s">
        <v>1453</v>
      </c>
    </row>
    <row r="75" spans="1:12" s="11" customFormat="1" ht="16.5" customHeight="1" x14ac:dyDescent="0.25">
      <c r="A75" s="11" t="s">
        <v>3032</v>
      </c>
      <c r="B75" s="119">
        <v>61034</v>
      </c>
      <c r="C75" s="51">
        <v>45825</v>
      </c>
      <c r="D75" s="86">
        <v>45839</v>
      </c>
      <c r="E75" s="141"/>
      <c r="F75" s="141"/>
      <c r="G75" s="55"/>
      <c r="L75" s="11" t="s">
        <v>1436</v>
      </c>
    </row>
    <row r="76" spans="1:12" s="11" customFormat="1" ht="16.5" customHeight="1" x14ac:dyDescent="0.25">
      <c r="A76" s="11" t="s">
        <v>2998</v>
      </c>
      <c r="B76" s="119">
        <v>64349.45</v>
      </c>
      <c r="C76" s="51">
        <v>45828</v>
      </c>
      <c r="D76" s="91">
        <v>4800</v>
      </c>
      <c r="E76" s="141"/>
      <c r="F76" s="141"/>
      <c r="G76" s="55"/>
      <c r="L76" s="11" t="s">
        <v>1454</v>
      </c>
    </row>
    <row r="77" spans="1:12" s="11" customFormat="1" ht="16.5" customHeight="1" x14ac:dyDescent="0.25">
      <c r="A77" s="11" t="s">
        <v>3033</v>
      </c>
      <c r="B77" s="119">
        <v>64349.45</v>
      </c>
      <c r="C77" s="51">
        <v>45828</v>
      </c>
      <c r="D77" s="86">
        <v>45839</v>
      </c>
      <c r="E77" s="141"/>
      <c r="F77" s="141"/>
      <c r="G77" s="55"/>
      <c r="L77" s="11" t="s">
        <v>1455</v>
      </c>
    </row>
    <row r="78" spans="1:12" s="11" customFormat="1" ht="16.5" customHeight="1" x14ac:dyDescent="0.25">
      <c r="A78" s="11" t="s">
        <v>2919</v>
      </c>
      <c r="B78" s="119">
        <v>64395.95</v>
      </c>
      <c r="C78" s="51" t="s">
        <v>3060</v>
      </c>
      <c r="D78" s="91" t="s">
        <v>3061</v>
      </c>
      <c r="E78" s="141"/>
      <c r="F78" s="141"/>
      <c r="G78" s="55"/>
      <c r="L78" s="11" t="s">
        <v>1456</v>
      </c>
    </row>
    <row r="79" spans="1:12" s="11" customFormat="1" ht="16.5" customHeight="1" x14ac:dyDescent="0.25">
      <c r="A79" s="11" t="s">
        <v>3034</v>
      </c>
      <c r="B79" s="119">
        <v>64409.9</v>
      </c>
      <c r="C79" s="51">
        <v>45833</v>
      </c>
      <c r="D79" s="86">
        <v>45839</v>
      </c>
      <c r="E79" s="141"/>
      <c r="F79" s="141"/>
      <c r="G79" s="55"/>
      <c r="L79" s="11" t="s">
        <v>1457</v>
      </c>
    </row>
    <row r="80" spans="1:12" s="11" customFormat="1" ht="16.5" customHeight="1" x14ac:dyDescent="0.25">
      <c r="A80" s="11" t="s">
        <v>3035</v>
      </c>
      <c r="B80" s="119">
        <v>64409.9</v>
      </c>
      <c r="C80" s="51">
        <v>45835</v>
      </c>
      <c r="D80" s="86">
        <v>45839</v>
      </c>
      <c r="E80" s="141"/>
      <c r="F80" s="141"/>
      <c r="G80" s="55"/>
      <c r="L80" s="11" t="s">
        <v>2506</v>
      </c>
    </row>
    <row r="81" spans="1:12" s="11" customFormat="1" ht="16.5" customHeight="1" x14ac:dyDescent="0.25">
      <c r="A81" s="11" t="s">
        <v>3036</v>
      </c>
      <c r="B81" s="119">
        <v>64409.9</v>
      </c>
      <c r="C81" s="51">
        <v>45835</v>
      </c>
      <c r="D81" s="86">
        <v>45847</v>
      </c>
      <c r="E81" s="141"/>
      <c r="F81" s="141"/>
      <c r="G81" s="55"/>
      <c r="L81" s="11" t="s">
        <v>1458</v>
      </c>
    </row>
    <row r="82" spans="1:12" s="11" customFormat="1" ht="16.5" customHeight="1" x14ac:dyDescent="0.25">
      <c r="A82" s="11" t="s">
        <v>3037</v>
      </c>
      <c r="B82" s="119">
        <v>64609.8</v>
      </c>
      <c r="C82" s="51">
        <v>45784</v>
      </c>
      <c r="D82" s="86">
        <v>45839</v>
      </c>
      <c r="E82" s="141"/>
      <c r="F82" s="141"/>
      <c r="G82" s="55"/>
      <c r="L82" s="11" t="s">
        <v>1368</v>
      </c>
    </row>
    <row r="83" spans="1:12" s="11" customFormat="1" ht="16.5" customHeight="1" x14ac:dyDescent="0.25">
      <c r="A83" s="11" t="s">
        <v>2999</v>
      </c>
      <c r="B83" s="119">
        <v>71915</v>
      </c>
      <c r="C83" s="51">
        <v>45811</v>
      </c>
      <c r="D83" s="91" t="s">
        <v>3061</v>
      </c>
      <c r="E83" s="141"/>
      <c r="F83" s="141"/>
      <c r="G83" s="55"/>
      <c r="L83" s="11" t="s">
        <v>1459</v>
      </c>
    </row>
    <row r="84" spans="1:12" s="11" customFormat="1" ht="16.5" customHeight="1" x14ac:dyDescent="0.25">
      <c r="A84" s="11" t="s">
        <v>3000</v>
      </c>
      <c r="B84" s="119">
        <v>71915</v>
      </c>
      <c r="C84" s="51">
        <v>45811</v>
      </c>
      <c r="D84" s="91">
        <v>4800</v>
      </c>
      <c r="E84" s="141"/>
      <c r="F84" s="141"/>
      <c r="G84" s="55"/>
      <c r="L84" s="11" t="s">
        <v>1369</v>
      </c>
    </row>
    <row r="85" spans="1:12" s="11" customFormat="1" ht="16.5" customHeight="1" x14ac:dyDescent="0.25">
      <c r="A85" s="11" t="s">
        <v>3038</v>
      </c>
      <c r="B85" s="119">
        <v>71915</v>
      </c>
      <c r="C85" s="51">
        <v>45811</v>
      </c>
      <c r="D85" s="86">
        <v>45839</v>
      </c>
      <c r="E85" s="141"/>
      <c r="F85" s="141"/>
      <c r="G85" s="55"/>
      <c r="L85" s="11" t="s">
        <v>1460</v>
      </c>
    </row>
    <row r="86" spans="1:12" s="11" customFormat="1" ht="16.5" customHeight="1" x14ac:dyDescent="0.25">
      <c r="A86" s="11" t="s">
        <v>3039</v>
      </c>
      <c r="B86" s="119">
        <v>71915</v>
      </c>
      <c r="C86" s="51">
        <v>45811</v>
      </c>
      <c r="D86" s="86">
        <v>45839</v>
      </c>
      <c r="E86" s="141"/>
      <c r="F86" s="141"/>
      <c r="G86" s="55"/>
    </row>
    <row r="87" spans="1:12" s="11" customFormat="1" ht="16.5" customHeight="1" x14ac:dyDescent="0.25">
      <c r="A87" s="11" t="s">
        <v>3040</v>
      </c>
      <c r="B87" s="119">
        <v>71915</v>
      </c>
      <c r="C87" s="51">
        <v>45811</v>
      </c>
      <c r="D87" s="86">
        <v>45839</v>
      </c>
      <c r="E87" s="141"/>
      <c r="F87" s="141"/>
      <c r="G87" s="55"/>
    </row>
    <row r="88" spans="1:12" s="11" customFormat="1" ht="16.5" customHeight="1" x14ac:dyDescent="0.25">
      <c r="A88" s="11" t="s">
        <v>3041</v>
      </c>
      <c r="B88" s="119">
        <v>71944.45</v>
      </c>
      <c r="C88" s="51">
        <v>45826</v>
      </c>
      <c r="D88" s="86">
        <v>45839</v>
      </c>
      <c r="E88" s="141"/>
      <c r="F88" s="141"/>
      <c r="G88" s="55"/>
    </row>
    <row r="89" spans="1:12" s="11" customFormat="1" ht="16.5" customHeight="1" x14ac:dyDescent="0.25">
      <c r="A89" s="11" t="s">
        <v>3001</v>
      </c>
      <c r="B89" s="119">
        <v>71944.45</v>
      </c>
      <c r="C89" s="51">
        <v>45833</v>
      </c>
      <c r="D89" s="91">
        <v>4800</v>
      </c>
      <c r="E89" s="141"/>
      <c r="F89" s="141"/>
      <c r="G89" s="55"/>
    </row>
    <row r="90" spans="1:12" s="11" customFormat="1" ht="16.5" customHeight="1" x14ac:dyDescent="0.25">
      <c r="A90" s="11" t="s">
        <v>3042</v>
      </c>
      <c r="B90" s="119">
        <v>72119.600000000006</v>
      </c>
      <c r="C90" s="51">
        <v>45790</v>
      </c>
      <c r="D90" s="86">
        <v>45839</v>
      </c>
      <c r="E90" s="141"/>
      <c r="F90" s="141"/>
      <c r="G90" s="55"/>
    </row>
    <row r="91" spans="1:12" s="11" customFormat="1" ht="16.5" customHeight="1" x14ac:dyDescent="0.25">
      <c r="A91" s="11" t="s">
        <v>3002</v>
      </c>
      <c r="B91" s="119">
        <v>77481.05</v>
      </c>
      <c r="C91" s="51">
        <v>45826</v>
      </c>
      <c r="D91" s="91">
        <v>4150</v>
      </c>
      <c r="E91" s="141"/>
      <c r="F91" s="141"/>
      <c r="G91" s="55"/>
    </row>
    <row r="92" spans="1:12" s="11" customFormat="1" ht="16.5" customHeight="1" x14ac:dyDescent="0.25">
      <c r="A92" s="11" t="s">
        <v>3043</v>
      </c>
      <c r="B92" s="119">
        <v>77481.05</v>
      </c>
      <c r="C92" s="51">
        <v>45833</v>
      </c>
      <c r="D92" s="86">
        <v>45839</v>
      </c>
      <c r="E92" s="141"/>
      <c r="F92" s="141"/>
      <c r="G92" s="55"/>
    </row>
    <row r="93" spans="1:12" s="11" customFormat="1" ht="16.5" customHeight="1" x14ac:dyDescent="0.25">
      <c r="A93" s="11" t="s">
        <v>3003</v>
      </c>
      <c r="B93" s="119">
        <v>77481.05</v>
      </c>
      <c r="C93" s="51">
        <v>45833</v>
      </c>
      <c r="D93" s="88">
        <v>4800</v>
      </c>
      <c r="E93" s="141"/>
      <c r="F93" s="141"/>
      <c r="G93" s="55"/>
    </row>
    <row r="94" spans="1:12" s="11" customFormat="1" ht="16.5" customHeight="1" x14ac:dyDescent="0.25">
      <c r="A94" s="11" t="s">
        <v>3044</v>
      </c>
      <c r="B94" s="119">
        <v>80010.75</v>
      </c>
      <c r="C94" s="51">
        <v>45833</v>
      </c>
      <c r="D94" s="86">
        <v>45839</v>
      </c>
      <c r="E94" s="141"/>
      <c r="F94" s="141"/>
      <c r="G94" s="55"/>
    </row>
    <row r="95" spans="1:12" s="11" customFormat="1" ht="16.5" customHeight="1" x14ac:dyDescent="0.25">
      <c r="A95" s="11" t="s">
        <v>3045</v>
      </c>
      <c r="B95" s="119">
        <v>80474.3</v>
      </c>
      <c r="C95" s="51">
        <v>45838</v>
      </c>
      <c r="D95" s="86">
        <v>45841</v>
      </c>
      <c r="E95" s="141"/>
      <c r="F95" s="141"/>
      <c r="G95" s="55"/>
    </row>
    <row r="96" spans="1:12" s="11" customFormat="1" ht="16.5" customHeight="1" x14ac:dyDescent="0.25">
      <c r="A96" s="11" t="s">
        <v>3046</v>
      </c>
      <c r="B96" s="119">
        <v>80474.3</v>
      </c>
      <c r="C96" s="51">
        <v>45838</v>
      </c>
      <c r="D96" s="86">
        <v>45841</v>
      </c>
      <c r="E96" s="141"/>
      <c r="F96" s="141"/>
      <c r="G96" s="55"/>
    </row>
    <row r="97" spans="1:7" s="11" customFormat="1" ht="16.5" customHeight="1" x14ac:dyDescent="0.25">
      <c r="A97" s="11" t="s">
        <v>3047</v>
      </c>
      <c r="B97" s="119">
        <v>81388.600000000006</v>
      </c>
      <c r="C97" s="51">
        <v>45814</v>
      </c>
      <c r="D97" s="86">
        <v>45839</v>
      </c>
      <c r="E97" s="141"/>
      <c r="F97" s="141"/>
      <c r="G97" s="55"/>
    </row>
    <row r="98" spans="1:7" s="11" customFormat="1" ht="16.5" customHeight="1" x14ac:dyDescent="0.25">
      <c r="A98" s="11" t="s">
        <v>3048</v>
      </c>
      <c r="B98" s="119">
        <v>83595.75</v>
      </c>
      <c r="C98" s="51">
        <v>45838</v>
      </c>
      <c r="D98" s="86">
        <v>45839</v>
      </c>
      <c r="E98" s="141"/>
      <c r="F98" s="141"/>
      <c r="G98" s="55"/>
    </row>
    <row r="99" spans="1:7" s="11" customFormat="1" ht="16.5" customHeight="1" x14ac:dyDescent="0.25">
      <c r="A99" s="11" t="s">
        <v>3049</v>
      </c>
      <c r="B99" s="119">
        <v>89799.85</v>
      </c>
      <c r="C99" s="51">
        <v>45838</v>
      </c>
      <c r="D99" s="86">
        <v>45839</v>
      </c>
      <c r="E99" s="141"/>
      <c r="F99" s="141"/>
      <c r="G99" s="55"/>
    </row>
    <row r="100" spans="1:7" s="11" customFormat="1" ht="16.5" customHeight="1" x14ac:dyDescent="0.25">
      <c r="A100" s="11" t="s">
        <v>3050</v>
      </c>
      <c r="B100" s="119">
        <v>93819.65</v>
      </c>
      <c r="C100" s="51">
        <v>45838</v>
      </c>
      <c r="D100" s="86"/>
      <c r="E100" s="141"/>
      <c r="F100" s="141"/>
      <c r="G100" s="55"/>
    </row>
    <row r="101" spans="1:7" s="11" customFormat="1" ht="16.5" customHeight="1" thickBot="1" x14ac:dyDescent="0.3">
      <c r="B101" s="119"/>
      <c r="C101" s="51"/>
      <c r="D101" s="86"/>
      <c r="E101" s="141"/>
      <c r="F101" s="141"/>
      <c r="G101" s="55"/>
    </row>
    <row r="102" spans="1:7" s="11" customFormat="1" ht="15.75" x14ac:dyDescent="0.25">
      <c r="B102" s="25">
        <f>SUM(B50:B101)</f>
        <v>2815404.0999999992</v>
      </c>
      <c r="C102" s="129" t="s">
        <v>1457</v>
      </c>
      <c r="D102" s="28"/>
      <c r="E102" s="141"/>
      <c r="F102" s="141"/>
      <c r="G102" s="55"/>
    </row>
    <row r="103" spans="1:7" s="11" customFormat="1" ht="16.5" thickBot="1" x14ac:dyDescent="0.3">
      <c r="A103" s="11" t="s">
        <v>1</v>
      </c>
      <c r="B103" s="17">
        <f>B102+B48</f>
        <v>1149934.8999999992</v>
      </c>
      <c r="C103" s="131" t="s">
        <v>1369</v>
      </c>
      <c r="D103" s="28"/>
      <c r="E103" s="141"/>
      <c r="F103" s="141"/>
      <c r="G103" s="55"/>
    </row>
    <row r="104" spans="1:7" s="11" customFormat="1" ht="15.75" x14ac:dyDescent="0.25">
      <c r="A104" s="11" t="s">
        <v>0</v>
      </c>
      <c r="B104" s="17">
        <f>B103-B7</f>
        <v>0</v>
      </c>
      <c r="D104" s="28"/>
      <c r="E104" s="141"/>
      <c r="F104" s="141"/>
      <c r="G104" s="55"/>
    </row>
    <row r="105" spans="1:7" s="11" customFormat="1" ht="15.75" x14ac:dyDescent="0.25">
      <c r="D105" s="28"/>
      <c r="E105" s="141"/>
      <c r="F105" s="141"/>
      <c r="G105" s="55"/>
    </row>
    <row r="106" spans="1:7" s="11" customFormat="1" ht="15.75" x14ac:dyDescent="0.25">
      <c r="D106" s="28"/>
      <c r="E106" s="141"/>
      <c r="F106" s="141"/>
      <c r="G106" s="55"/>
    </row>
    <row r="107" spans="1:7" s="11" customFormat="1" ht="15.75" x14ac:dyDescent="0.25">
      <c r="D107" s="28"/>
      <c r="E107" s="141"/>
      <c r="F107" s="141"/>
      <c r="G107" s="55"/>
    </row>
    <row r="108" spans="1:7" s="11" customFormat="1" ht="15.75" x14ac:dyDescent="0.25">
      <c r="D108" s="28"/>
      <c r="E108" s="141"/>
      <c r="F108" s="141"/>
      <c r="G108" s="55"/>
    </row>
    <row r="109" spans="1:7" s="11" customFormat="1" ht="15.75" x14ac:dyDescent="0.25">
      <c r="D109" s="28"/>
      <c r="E109" s="141"/>
      <c r="F109" s="141"/>
      <c r="G109" s="55"/>
    </row>
    <row r="110" spans="1:7" s="11" customFormat="1" ht="15.75" x14ac:dyDescent="0.25">
      <c r="D110" s="28"/>
      <c r="E110" s="141"/>
      <c r="F110" s="141"/>
      <c r="G110" s="55"/>
    </row>
    <row r="111" spans="1:7" s="11" customFormat="1" ht="15.75" x14ac:dyDescent="0.25">
      <c r="D111" s="28"/>
      <c r="E111" s="141"/>
      <c r="F111" s="141"/>
      <c r="G111" s="55"/>
    </row>
    <row r="112" spans="1:7" s="11" customFormat="1" ht="15.75" x14ac:dyDescent="0.25">
      <c r="D112" s="28"/>
      <c r="E112" s="141"/>
      <c r="F112" s="141"/>
      <c r="G112" s="55"/>
    </row>
    <row r="113" spans="1:7" s="11" customFormat="1" ht="15.75" x14ac:dyDescent="0.25">
      <c r="D113" s="28"/>
      <c r="E113" s="141"/>
      <c r="F113" s="141"/>
      <c r="G113" s="55"/>
    </row>
    <row r="114" spans="1:7" s="11" customFormat="1" ht="15.75" x14ac:dyDescent="0.25">
      <c r="D114" s="28"/>
      <c r="E114" s="141"/>
      <c r="F114" s="141"/>
      <c r="G114" s="55"/>
    </row>
    <row r="115" spans="1:7" s="11" customFormat="1" ht="15.75" x14ac:dyDescent="0.25">
      <c r="D115" s="28"/>
      <c r="E115" s="141"/>
      <c r="F115" s="141"/>
      <c r="G115" s="55"/>
    </row>
    <row r="116" spans="1:7" s="11" customFormat="1" ht="15.95" customHeight="1" x14ac:dyDescent="0.25">
      <c r="D116" s="28"/>
      <c r="E116" s="141"/>
      <c r="F116" s="141"/>
    </row>
    <row r="117" spans="1:7" s="11" customFormat="1" ht="15.95" customHeight="1" x14ac:dyDescent="0.25">
      <c r="D117" s="28"/>
      <c r="E117" s="141"/>
      <c r="F117" s="141"/>
    </row>
    <row r="118" spans="1:7" s="11" customFormat="1" ht="15.95" customHeight="1" x14ac:dyDescent="0.25">
      <c r="D118" s="28"/>
      <c r="E118" s="141"/>
      <c r="F118" s="141"/>
    </row>
    <row r="119" spans="1:7" s="11" customFormat="1" ht="15.95" customHeight="1" x14ac:dyDescent="0.25">
      <c r="D119" s="28"/>
      <c r="E119" s="141"/>
      <c r="F119" s="141"/>
    </row>
    <row r="120" spans="1:7" s="11" customFormat="1" ht="15.95" customHeight="1" x14ac:dyDescent="0.25">
      <c r="D120" s="28"/>
      <c r="E120" s="141"/>
      <c r="F120" s="141"/>
    </row>
    <row r="121" spans="1:7" s="11" customFormat="1" ht="15.95" customHeight="1" x14ac:dyDescent="0.25">
      <c r="B121" s="17"/>
      <c r="D121" s="28"/>
      <c r="E121" s="141"/>
      <c r="F121" s="141"/>
    </row>
    <row r="122" spans="1:7" s="11" customFormat="1" ht="15.95" customHeight="1" x14ac:dyDescent="0.25">
      <c r="A122" s="39"/>
      <c r="B122" s="93"/>
      <c r="C122" s="18"/>
      <c r="D122" s="18"/>
      <c r="E122" s="141"/>
      <c r="F122" s="141"/>
    </row>
    <row r="123" spans="1:7" s="11" customFormat="1" ht="15.95" customHeight="1" x14ac:dyDescent="0.3">
      <c r="A123" s="1"/>
      <c r="B123" s="10"/>
      <c r="C123" s="13"/>
      <c r="D123" s="47"/>
      <c r="E123" s="141"/>
      <c r="F123" s="141"/>
    </row>
    <row r="124" spans="1:7" s="11" customFormat="1" ht="15.95" customHeight="1" x14ac:dyDescent="0.3">
      <c r="A124" s="1"/>
      <c r="B124" s="10"/>
      <c r="C124" s="13"/>
      <c r="D124" s="47"/>
      <c r="E124" s="141"/>
      <c r="F124" s="141"/>
    </row>
    <row r="125" spans="1:7" s="11" customFormat="1" ht="15.95" customHeight="1" x14ac:dyDescent="0.3">
      <c r="A125" s="1"/>
      <c r="B125" s="10"/>
      <c r="C125" s="13"/>
      <c r="D125" s="47"/>
      <c r="E125" s="141"/>
      <c r="F125" s="141"/>
    </row>
    <row r="126" spans="1:7" s="11" customFormat="1" ht="15.95" customHeight="1" x14ac:dyDescent="0.25">
      <c r="D126" s="28"/>
      <c r="E126" s="141"/>
      <c r="F126" s="141"/>
    </row>
    <row r="127" spans="1:7" s="11" customFormat="1" ht="15.95" customHeight="1" x14ac:dyDescent="0.25">
      <c r="D127" s="28"/>
      <c r="E127" s="141"/>
      <c r="F127" s="141"/>
    </row>
    <row r="128" spans="1:7" s="11" customFormat="1" ht="15.95" customHeight="1" x14ac:dyDescent="0.25">
      <c r="D128" s="28"/>
      <c r="E128" s="141"/>
      <c r="F128" s="141"/>
    </row>
    <row r="129" spans="1:19" s="11" customFormat="1" ht="15.95" customHeight="1" x14ac:dyDescent="0.25">
      <c r="D129" s="28"/>
      <c r="E129" s="141"/>
      <c r="F129" s="141"/>
    </row>
    <row r="130" spans="1:19" s="11" customFormat="1" ht="15.95" customHeight="1" x14ac:dyDescent="0.25">
      <c r="D130" s="28"/>
      <c r="E130" s="141"/>
      <c r="F130" s="141"/>
    </row>
    <row r="131" spans="1:19" s="11" customFormat="1" ht="15.95" customHeight="1" x14ac:dyDescent="0.25">
      <c r="D131" s="28"/>
      <c r="E131" s="141"/>
      <c r="F131" s="141"/>
      <c r="H131" s="88"/>
    </row>
    <row r="132" spans="1:19" s="11" customFormat="1" ht="15.95" customHeight="1" x14ac:dyDescent="0.25">
      <c r="D132" s="28"/>
      <c r="E132" s="141"/>
      <c r="F132" s="141"/>
      <c r="H132" s="88"/>
    </row>
    <row r="133" spans="1:19" s="11" customFormat="1" ht="15.95" customHeight="1" x14ac:dyDescent="0.25">
      <c r="D133" s="28"/>
      <c r="E133" s="141"/>
      <c r="F133" s="141"/>
      <c r="G133" s="126"/>
      <c r="H133" s="88"/>
    </row>
    <row r="134" spans="1:19" s="11" customFormat="1" ht="15.95" customHeight="1" x14ac:dyDescent="0.25">
      <c r="D134" s="28"/>
      <c r="E134" s="141"/>
      <c r="F134" s="141"/>
      <c r="H134" s="88"/>
    </row>
    <row r="135" spans="1:19" s="11" customFormat="1" ht="20.100000000000001" customHeight="1" x14ac:dyDescent="0.25">
      <c r="D135" s="28"/>
      <c r="E135" s="141"/>
      <c r="F135" s="141"/>
      <c r="H135" s="88"/>
    </row>
    <row r="136" spans="1:19" s="11" customFormat="1" ht="20.100000000000001" customHeight="1" x14ac:dyDescent="0.25">
      <c r="D136" s="28"/>
      <c r="E136" s="141"/>
      <c r="F136" s="141"/>
      <c r="H136" s="88"/>
    </row>
    <row r="137" spans="1:19" s="11" customFormat="1" ht="20.100000000000001" customHeight="1" x14ac:dyDescent="0.25">
      <c r="D137" s="28"/>
      <c r="E137" s="141"/>
      <c r="F137" s="141"/>
      <c r="G137" s="126"/>
      <c r="H137" s="88"/>
    </row>
    <row r="138" spans="1:19" s="11" customFormat="1" ht="20.100000000000001" customHeight="1" x14ac:dyDescent="0.25">
      <c r="D138" s="28"/>
      <c r="E138" s="141"/>
      <c r="F138" s="141"/>
      <c r="H138" s="88"/>
    </row>
    <row r="139" spans="1:19" s="13" customFormat="1" ht="20.100000000000001" customHeight="1" x14ac:dyDescent="0.3">
      <c r="A139" s="1"/>
      <c r="B139" s="10"/>
      <c r="D139" s="47"/>
      <c r="E139" s="141"/>
      <c r="F139" s="141"/>
      <c r="H139" s="88"/>
      <c r="I139" s="11"/>
    </row>
    <row r="140" spans="1:19" s="13" customFormat="1" ht="20.100000000000001" customHeight="1" x14ac:dyDescent="0.3">
      <c r="A140" s="1"/>
      <c r="B140" s="10"/>
      <c r="D140" s="47"/>
      <c r="E140" s="141"/>
      <c r="F140" s="141"/>
      <c r="H140" s="88"/>
      <c r="I140" s="11"/>
    </row>
    <row r="141" spans="1:19" s="13" customFormat="1" ht="20.100000000000001" customHeight="1" x14ac:dyDescent="0.3">
      <c r="A141" s="1"/>
      <c r="B141" s="10"/>
      <c r="D141" s="47"/>
      <c r="E141" s="141"/>
      <c r="F141" s="141"/>
      <c r="H141" s="88"/>
      <c r="I141" s="11"/>
    </row>
    <row r="142" spans="1:19" s="90" customFormat="1" ht="20.100000000000001" customHeight="1" x14ac:dyDescent="0.3">
      <c r="A142" s="1"/>
      <c r="B142" s="10"/>
      <c r="C142" s="13"/>
      <c r="D142" s="116"/>
      <c r="E142" s="141"/>
      <c r="F142" s="141"/>
      <c r="G142" s="1"/>
      <c r="I142" s="1"/>
      <c r="J142" s="1"/>
      <c r="K142" s="1"/>
      <c r="M142" s="1"/>
      <c r="N142" s="1"/>
      <c r="O142" s="1"/>
      <c r="P142" s="1"/>
      <c r="Q142" s="1"/>
      <c r="R142" s="1"/>
      <c r="S142" s="1"/>
    </row>
    <row r="143" spans="1:19" s="90" customFormat="1" ht="20.100000000000001" customHeight="1" x14ac:dyDescent="0.3">
      <c r="A143" s="1"/>
      <c r="B143" s="10"/>
      <c r="C143" s="13"/>
      <c r="D143" s="116"/>
      <c r="E143" s="141"/>
      <c r="F143" s="141"/>
      <c r="G143" s="1"/>
      <c r="I143" s="1"/>
      <c r="J143" s="1"/>
      <c r="K143" s="1"/>
      <c r="M143" s="1"/>
      <c r="N143" s="1"/>
      <c r="O143" s="1"/>
      <c r="P143" s="1"/>
      <c r="Q143" s="1"/>
      <c r="R143" s="1"/>
      <c r="S143" s="1"/>
    </row>
    <row r="144" spans="1:19" s="90" customFormat="1" ht="20.100000000000001" customHeight="1" x14ac:dyDescent="0.3">
      <c r="A144" s="1"/>
      <c r="B144" s="10"/>
      <c r="C144" s="13"/>
      <c r="D144" s="116"/>
      <c r="E144" s="141"/>
      <c r="F144" s="141"/>
      <c r="G144" s="1"/>
      <c r="I144" s="1"/>
      <c r="J144" s="1"/>
      <c r="K144" s="1"/>
      <c r="M144" s="1"/>
      <c r="N144" s="1"/>
      <c r="O144" s="1"/>
      <c r="P144" s="1"/>
      <c r="Q144" s="1"/>
      <c r="R144" s="1"/>
      <c r="S144" s="1"/>
    </row>
    <row r="145" spans="1:19" s="90" customFormat="1" ht="20.100000000000001" customHeight="1" x14ac:dyDescent="0.3">
      <c r="A145" s="1"/>
      <c r="B145" s="10"/>
      <c r="C145" s="13"/>
      <c r="D145" s="116"/>
      <c r="E145" s="141"/>
      <c r="F145" s="141"/>
      <c r="G145" s="11"/>
      <c r="I145" s="1"/>
      <c r="J145" s="1"/>
      <c r="K145" s="1"/>
      <c r="M145" s="1"/>
      <c r="N145" s="1"/>
      <c r="O145" s="1"/>
      <c r="P145" s="1"/>
      <c r="Q145" s="1"/>
      <c r="R145" s="1"/>
      <c r="S145" s="1"/>
    </row>
  </sheetData>
  <pageMargins left="0.7" right="0.7" top="0.75" bottom="0.75" header="0.3" footer="0.3"/>
  <pageSetup scale="74" fitToHeight="0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D77B6-0156-4265-81E0-046AE7B1AC14}">
  <sheetPr>
    <pageSetUpPr fitToPage="1"/>
  </sheetPr>
  <dimension ref="A1:S90"/>
  <sheetViews>
    <sheetView topLeftCell="A13" zoomScale="96" zoomScaleNormal="96" workbookViewId="0">
      <selection activeCell="L32" sqref="L32"/>
    </sheetView>
  </sheetViews>
  <sheetFormatPr defaultRowHeight="18.75" x14ac:dyDescent="0.3"/>
  <cols>
    <col min="1" max="1" width="20.7109375" style="1" customWidth="1"/>
    <col min="2" max="2" width="16.85546875" style="10" customWidth="1"/>
    <col min="3" max="3" width="28.7109375" style="13" bestFit="1" customWidth="1"/>
    <col min="4" max="4" width="28.7109375" style="116" bestFit="1" customWidth="1"/>
    <col min="5" max="5" width="9.7109375" style="141" customWidth="1"/>
    <col min="6" max="6" width="16.5703125" style="141" customWidth="1"/>
    <col min="7" max="7" width="35" style="1" bestFit="1" customWidth="1"/>
    <col min="8" max="8" width="5.5703125" style="90" bestFit="1" customWidth="1"/>
    <col min="9" max="11" width="9.140625" style="1"/>
    <col min="12" max="12" width="57.5703125" style="1" bestFit="1" customWidth="1"/>
    <col min="13" max="16384" width="9.140625" style="1"/>
  </cols>
  <sheetData>
    <row r="1" spans="1:19" s="11" customFormat="1" ht="20.100000000000001" customHeight="1" x14ac:dyDescent="0.25">
      <c r="A1" s="11" t="s">
        <v>1203</v>
      </c>
      <c r="B1" s="17"/>
      <c r="C1" s="13"/>
      <c r="D1" s="47"/>
      <c r="E1" s="141"/>
      <c r="H1" s="88"/>
      <c r="L1" s="129" t="s">
        <v>1457</v>
      </c>
    </row>
    <row r="2" spans="1:19" s="11" customFormat="1" ht="20.100000000000001" customHeight="1" thickBot="1" x14ac:dyDescent="0.3">
      <c r="A2" s="14">
        <v>45869</v>
      </c>
      <c r="B2" s="17"/>
      <c r="C2" s="13"/>
      <c r="D2" s="47"/>
      <c r="E2" s="141"/>
      <c r="H2" s="88"/>
      <c r="L2" s="131" t="s">
        <v>1369</v>
      </c>
    </row>
    <row r="3" spans="1:19" s="11" customFormat="1" ht="20.100000000000001" customHeight="1" x14ac:dyDescent="0.25">
      <c r="A3" s="11" t="s">
        <v>311</v>
      </c>
      <c r="B3" s="17">
        <v>26615513.350000001</v>
      </c>
      <c r="C3" s="13"/>
      <c r="D3" s="47"/>
      <c r="E3" s="141"/>
      <c r="H3" s="88"/>
      <c r="M3" s="89"/>
    </row>
    <row r="4" spans="1:19" s="11" customFormat="1" ht="20.100000000000001" customHeight="1" x14ac:dyDescent="0.25">
      <c r="A4" s="11" t="s">
        <v>6</v>
      </c>
      <c r="B4" s="17"/>
      <c r="C4" s="13"/>
      <c r="D4" s="47"/>
      <c r="E4" s="141"/>
      <c r="H4" s="88"/>
      <c r="M4" s="89"/>
    </row>
    <row r="5" spans="1:19" s="11" customFormat="1" ht="20.100000000000001" customHeight="1" x14ac:dyDescent="0.25">
      <c r="A5" s="11">
        <v>2100</v>
      </c>
      <c r="B5" s="17">
        <v>-26247631.25</v>
      </c>
      <c r="C5" s="13"/>
      <c r="D5" s="47"/>
      <c r="E5" s="141"/>
      <c r="H5" s="88"/>
      <c r="L5" s="11" t="s">
        <v>1437</v>
      </c>
      <c r="M5" s="89"/>
    </row>
    <row r="6" spans="1:19" s="11" customFormat="1" ht="20.100000000000001" customHeight="1" x14ac:dyDescent="0.25">
      <c r="A6" s="11" t="s">
        <v>5</v>
      </c>
      <c r="B6" s="17">
        <f>SUM(B5)</f>
        <v>-26247631.25</v>
      </c>
      <c r="C6" s="13"/>
      <c r="D6" s="47"/>
      <c r="E6" s="141"/>
      <c r="H6" s="88"/>
      <c r="L6" s="11" t="s">
        <v>1438</v>
      </c>
      <c r="M6" s="89"/>
      <c r="O6" s="62"/>
      <c r="P6" s="62"/>
      <c r="Q6" s="62"/>
      <c r="R6" s="62"/>
      <c r="S6" s="62"/>
    </row>
    <row r="7" spans="1:19" s="11" customFormat="1" ht="20.100000000000001" customHeight="1" x14ac:dyDescent="0.25">
      <c r="A7" s="11" t="s">
        <v>4</v>
      </c>
      <c r="B7" s="17">
        <f>B6+B3</f>
        <v>367882.10000000149</v>
      </c>
      <c r="C7" s="13"/>
      <c r="D7" s="47"/>
      <c r="E7" s="141"/>
      <c r="H7" s="88"/>
      <c r="L7" s="11" t="s">
        <v>1439</v>
      </c>
      <c r="M7" s="88"/>
    </row>
    <row r="8" spans="1:19" s="11" customFormat="1" ht="15.95" customHeight="1" x14ac:dyDescent="0.25">
      <c r="A8" s="11" t="s">
        <v>3</v>
      </c>
      <c r="B8" s="17"/>
      <c r="C8" s="44" t="s">
        <v>628</v>
      </c>
      <c r="D8" s="158" t="s">
        <v>626</v>
      </c>
      <c r="E8" s="141"/>
      <c r="H8" s="88"/>
      <c r="L8" s="11" t="s">
        <v>1440</v>
      </c>
      <c r="M8" s="88"/>
    </row>
    <row r="9" spans="1:19" s="11" customFormat="1" ht="15.75" x14ac:dyDescent="0.25">
      <c r="A9" s="160" t="s">
        <v>3063</v>
      </c>
      <c r="B9" s="161">
        <v>-27804</v>
      </c>
      <c r="C9" s="164" t="s">
        <v>3097</v>
      </c>
      <c r="D9" s="163" t="s">
        <v>3094</v>
      </c>
      <c r="E9" s="160"/>
      <c r="F9" s="141"/>
      <c r="G9" s="55"/>
      <c r="L9" s="11" t="s">
        <v>1441</v>
      </c>
      <c r="M9" s="88"/>
    </row>
    <row r="10" spans="1:19" s="11" customFormat="1" ht="15.75" x14ac:dyDescent="0.25">
      <c r="A10" s="160" t="s">
        <v>3064</v>
      </c>
      <c r="B10" s="161">
        <v>-31862</v>
      </c>
      <c r="C10" s="164" t="s">
        <v>3097</v>
      </c>
      <c r="D10" s="163" t="s">
        <v>3094</v>
      </c>
      <c r="E10" s="160"/>
      <c r="F10" s="141"/>
      <c r="G10" s="55"/>
      <c r="L10" s="11" t="s">
        <v>1442</v>
      </c>
      <c r="M10" s="88"/>
    </row>
    <row r="11" spans="1:19" s="11" customFormat="1" ht="15.75" x14ac:dyDescent="0.25">
      <c r="A11" s="160" t="s">
        <v>3065</v>
      </c>
      <c r="B11" s="161">
        <v>-33568</v>
      </c>
      <c r="C11" s="164" t="s">
        <v>3097</v>
      </c>
      <c r="D11" s="163" t="s">
        <v>3094</v>
      </c>
      <c r="E11" s="160"/>
      <c r="F11" s="141"/>
      <c r="G11" s="55"/>
      <c r="L11" s="11" t="s">
        <v>1443</v>
      </c>
      <c r="M11" s="88"/>
    </row>
    <row r="12" spans="1:19" s="11" customFormat="1" ht="15.75" x14ac:dyDescent="0.25">
      <c r="A12" s="160" t="s">
        <v>3066</v>
      </c>
      <c r="B12" s="161">
        <v>-33568</v>
      </c>
      <c r="C12" s="164" t="s">
        <v>3097</v>
      </c>
      <c r="D12" s="163" t="s">
        <v>3094</v>
      </c>
      <c r="E12" s="160"/>
      <c r="F12" s="141"/>
      <c r="G12" s="55"/>
      <c r="L12" s="11" t="s">
        <v>1444</v>
      </c>
      <c r="M12" s="88"/>
    </row>
    <row r="13" spans="1:19" s="11" customFormat="1" ht="15.75" x14ac:dyDescent="0.25">
      <c r="A13" s="160" t="s">
        <v>3067</v>
      </c>
      <c r="B13" s="161">
        <v>-36572</v>
      </c>
      <c r="C13" s="164" t="s">
        <v>3097</v>
      </c>
      <c r="D13" s="163" t="s">
        <v>3094</v>
      </c>
      <c r="E13" s="160"/>
      <c r="F13" s="141"/>
      <c r="G13" s="55"/>
      <c r="L13" s="11" t="s">
        <v>1445</v>
      </c>
      <c r="M13" s="88"/>
    </row>
    <row r="14" spans="1:19" s="11" customFormat="1" ht="15.75" x14ac:dyDescent="0.25">
      <c r="A14" s="160" t="s">
        <v>3068</v>
      </c>
      <c r="B14" s="161">
        <v>-38509</v>
      </c>
      <c r="C14" s="164" t="s">
        <v>3097</v>
      </c>
      <c r="D14" s="163" t="s">
        <v>3094</v>
      </c>
      <c r="E14" s="160"/>
      <c r="F14" s="141"/>
      <c r="G14" s="55"/>
      <c r="L14" s="11" t="s">
        <v>1446</v>
      </c>
      <c r="M14" s="88"/>
    </row>
    <row r="15" spans="1:19" s="11" customFormat="1" ht="15.75" x14ac:dyDescent="0.25">
      <c r="A15" s="160" t="s">
        <v>3069</v>
      </c>
      <c r="B15" s="161">
        <v>-38509</v>
      </c>
      <c r="C15" s="164" t="s">
        <v>3097</v>
      </c>
      <c r="D15" s="163" t="s">
        <v>3094</v>
      </c>
      <c r="E15" s="160"/>
      <c r="F15" s="141"/>
      <c r="G15" s="55"/>
      <c r="L15" s="11" t="s">
        <v>1447</v>
      </c>
      <c r="M15" s="88"/>
    </row>
    <row r="16" spans="1:19" s="11" customFormat="1" ht="15.75" x14ac:dyDescent="0.25">
      <c r="A16" s="160" t="s">
        <v>3070</v>
      </c>
      <c r="B16" s="161">
        <v>-38509</v>
      </c>
      <c r="C16" s="164" t="s">
        <v>3097</v>
      </c>
      <c r="D16" s="163" t="s">
        <v>3094</v>
      </c>
      <c r="E16" s="160"/>
      <c r="F16" s="141"/>
      <c r="G16" s="55"/>
      <c r="L16" s="11" t="s">
        <v>1448</v>
      </c>
      <c r="M16" s="88"/>
    </row>
    <row r="17" spans="1:13" s="11" customFormat="1" ht="15.75" x14ac:dyDescent="0.25">
      <c r="A17" s="160" t="s">
        <v>2753</v>
      </c>
      <c r="B17" s="161">
        <v>-39331</v>
      </c>
      <c r="C17" s="164" t="s">
        <v>3097</v>
      </c>
      <c r="D17" s="163" t="s">
        <v>3094</v>
      </c>
      <c r="E17" s="160"/>
      <c r="F17" s="141"/>
      <c r="G17" s="55"/>
      <c r="L17" s="11" t="s">
        <v>1449</v>
      </c>
      <c r="M17" s="88"/>
    </row>
    <row r="18" spans="1:13" s="11" customFormat="1" ht="15.75" x14ac:dyDescent="0.25">
      <c r="A18" s="160" t="s">
        <v>3072</v>
      </c>
      <c r="B18" s="161">
        <v>-47918</v>
      </c>
      <c r="C18" s="164" t="s">
        <v>3097</v>
      </c>
      <c r="D18" s="163" t="s">
        <v>3094</v>
      </c>
      <c r="E18" s="160"/>
      <c r="F18" s="141"/>
      <c r="G18" s="55"/>
      <c r="L18" s="11" t="s">
        <v>1450</v>
      </c>
      <c r="M18" s="88"/>
    </row>
    <row r="19" spans="1:13" s="11" customFormat="1" ht="15.75" x14ac:dyDescent="0.25">
      <c r="A19" s="160" t="s">
        <v>3073</v>
      </c>
      <c r="B19" s="161">
        <v>-59965.4</v>
      </c>
      <c r="C19" s="164">
        <v>45868</v>
      </c>
      <c r="D19" s="163">
        <v>45873</v>
      </c>
      <c r="E19" s="160"/>
      <c r="F19" s="141"/>
      <c r="G19" s="55"/>
      <c r="L19" s="11" t="s">
        <v>1451</v>
      </c>
      <c r="M19" s="88"/>
    </row>
    <row r="20" spans="1:13" s="11" customFormat="1" ht="15.75" x14ac:dyDescent="0.25">
      <c r="A20" s="160" t="s">
        <v>3074</v>
      </c>
      <c r="B20" s="161">
        <v>-59965.4</v>
      </c>
      <c r="C20" s="164">
        <v>45868</v>
      </c>
      <c r="D20" s="163">
        <v>45874</v>
      </c>
      <c r="E20" s="160"/>
      <c r="F20" s="141"/>
      <c r="G20" s="55"/>
      <c r="L20" s="11" t="s">
        <v>1452</v>
      </c>
      <c r="M20" s="88"/>
    </row>
    <row r="21" spans="1:13" s="11" customFormat="1" ht="15.75" x14ac:dyDescent="0.25">
      <c r="A21" s="160"/>
      <c r="B21" s="161"/>
      <c r="C21" s="164"/>
      <c r="D21" s="163"/>
      <c r="E21" s="160"/>
      <c r="F21" s="141"/>
      <c r="G21" s="55"/>
      <c r="L21" s="11" t="s">
        <v>1453</v>
      </c>
      <c r="M21" s="88"/>
    </row>
    <row r="22" spans="1:13" s="11" customFormat="1" ht="15.75" x14ac:dyDescent="0.25">
      <c r="B22" s="25">
        <f>SUM(B9:B21)</f>
        <v>-486080.80000000005</v>
      </c>
      <c r="C22" s="28"/>
      <c r="D22" s="28"/>
      <c r="E22" s="141"/>
      <c r="F22" s="141"/>
      <c r="G22" s="55"/>
      <c r="L22" s="11" t="s">
        <v>1436</v>
      </c>
    </row>
    <row r="23" spans="1:13" s="11" customFormat="1" ht="16.5" customHeight="1" x14ac:dyDescent="0.25">
      <c r="A23" s="11" t="s">
        <v>2</v>
      </c>
      <c r="B23" s="25"/>
      <c r="C23" s="52" t="s">
        <v>626</v>
      </c>
      <c r="D23" s="158" t="s">
        <v>628</v>
      </c>
      <c r="E23" s="141"/>
      <c r="F23" s="141"/>
      <c r="G23" s="55"/>
      <c r="L23" s="11" t="s">
        <v>1454</v>
      </c>
    </row>
    <row r="24" spans="1:13" s="11" customFormat="1" ht="16.5" customHeight="1" x14ac:dyDescent="0.25">
      <c r="A24" s="11" t="s">
        <v>3076</v>
      </c>
      <c r="B24" s="119">
        <v>25872</v>
      </c>
      <c r="C24" s="13" t="s">
        <v>3094</v>
      </c>
      <c r="D24" s="91" t="s">
        <v>3075</v>
      </c>
      <c r="E24" s="141"/>
      <c r="F24" s="141"/>
      <c r="G24" s="55"/>
      <c r="L24" s="11" t="s">
        <v>1455</v>
      </c>
    </row>
    <row r="25" spans="1:13" s="11" customFormat="1" ht="16.5" customHeight="1" x14ac:dyDescent="0.25">
      <c r="A25" s="11" t="s">
        <v>3077</v>
      </c>
      <c r="B25" s="119">
        <v>28374.65</v>
      </c>
      <c r="C25" s="13">
        <v>45856</v>
      </c>
      <c r="D25" s="86">
        <v>45873</v>
      </c>
      <c r="E25" s="141"/>
      <c r="F25" s="141"/>
      <c r="G25" s="55"/>
      <c r="L25" s="11" t="s">
        <v>1456</v>
      </c>
    </row>
    <row r="26" spans="1:13" s="11" customFormat="1" ht="16.5" customHeight="1" x14ac:dyDescent="0.25">
      <c r="A26" s="11" t="s">
        <v>3078</v>
      </c>
      <c r="B26" s="119">
        <v>28835</v>
      </c>
      <c r="C26" s="13">
        <v>45856</v>
      </c>
      <c r="D26" s="86">
        <v>45873</v>
      </c>
      <c r="E26" s="141"/>
      <c r="F26" s="141"/>
      <c r="G26" s="55"/>
      <c r="L26" s="11" t="s">
        <v>1457</v>
      </c>
    </row>
    <row r="27" spans="1:13" s="11" customFormat="1" ht="16.5" customHeight="1" x14ac:dyDescent="0.25">
      <c r="A27" s="11" t="s">
        <v>3079</v>
      </c>
      <c r="B27" s="119">
        <v>29188.1</v>
      </c>
      <c r="C27" s="13">
        <v>45856</v>
      </c>
      <c r="D27" s="86">
        <v>45873</v>
      </c>
      <c r="E27" s="141"/>
      <c r="F27" s="141"/>
      <c r="G27" s="55"/>
      <c r="L27" s="11" t="s">
        <v>2506</v>
      </c>
      <c r="M27" s="88"/>
    </row>
    <row r="28" spans="1:13" s="11" customFormat="1" ht="16.5" customHeight="1" x14ac:dyDescent="0.25">
      <c r="A28" s="11" t="s">
        <v>3080</v>
      </c>
      <c r="B28" s="119">
        <v>29467.1</v>
      </c>
      <c r="C28" s="13">
        <v>45854</v>
      </c>
      <c r="D28" s="86">
        <v>45873</v>
      </c>
      <c r="E28" s="141"/>
      <c r="F28" s="141"/>
      <c r="G28" s="55"/>
      <c r="L28" s="11" t="s">
        <v>1458</v>
      </c>
    </row>
    <row r="29" spans="1:13" s="11" customFormat="1" ht="16.5" customHeight="1" x14ac:dyDescent="0.25">
      <c r="A29" s="11" t="s">
        <v>3081</v>
      </c>
      <c r="B29" s="119">
        <v>29648.45</v>
      </c>
      <c r="C29" s="13">
        <v>45854</v>
      </c>
      <c r="D29" s="86">
        <v>45873</v>
      </c>
      <c r="E29" s="141"/>
      <c r="F29" s="141"/>
      <c r="G29" s="55"/>
      <c r="L29" s="11" t="s">
        <v>1368</v>
      </c>
    </row>
    <row r="30" spans="1:13" s="11" customFormat="1" ht="16.5" customHeight="1" x14ac:dyDescent="0.25">
      <c r="A30" s="11" t="s">
        <v>3082</v>
      </c>
      <c r="B30" s="119">
        <v>29648.45</v>
      </c>
      <c r="C30" s="13">
        <v>45856</v>
      </c>
      <c r="D30" s="86">
        <v>45873</v>
      </c>
      <c r="E30" s="141"/>
      <c r="F30" s="141"/>
      <c r="G30" s="55"/>
      <c r="L30" s="11" t="s">
        <v>1459</v>
      </c>
    </row>
    <row r="31" spans="1:13" s="11" customFormat="1" ht="16.5" customHeight="1" x14ac:dyDescent="0.25">
      <c r="A31" s="11" t="s">
        <v>3083</v>
      </c>
      <c r="B31" s="119">
        <v>29710</v>
      </c>
      <c r="C31" s="13" t="s">
        <v>3094</v>
      </c>
      <c r="D31" s="86" t="s">
        <v>3097</v>
      </c>
      <c r="E31" s="141"/>
      <c r="F31" s="141"/>
      <c r="G31" s="55"/>
      <c r="L31" s="11" t="s">
        <v>1369</v>
      </c>
      <c r="M31" s="28"/>
    </row>
    <row r="32" spans="1:13" s="11" customFormat="1" ht="16.5" customHeight="1" x14ac:dyDescent="0.25">
      <c r="A32" s="11" t="s">
        <v>3084</v>
      </c>
      <c r="B32" s="119">
        <v>31386</v>
      </c>
      <c r="C32" s="13" t="s">
        <v>3094</v>
      </c>
      <c r="D32" s="86" t="s">
        <v>3097</v>
      </c>
      <c r="E32" s="141"/>
      <c r="F32" s="141"/>
      <c r="G32" s="55"/>
      <c r="L32" s="11" t="s">
        <v>1460</v>
      </c>
      <c r="M32" s="28"/>
    </row>
    <row r="33" spans="1:13" s="11" customFormat="1" ht="16.5" customHeight="1" x14ac:dyDescent="0.25">
      <c r="A33" s="11" t="s">
        <v>3085</v>
      </c>
      <c r="B33" s="119">
        <v>31386</v>
      </c>
      <c r="C33" s="13" t="s">
        <v>3094</v>
      </c>
      <c r="D33" s="86" t="s">
        <v>3097</v>
      </c>
      <c r="E33" s="141"/>
      <c r="F33" s="141"/>
      <c r="G33" s="55"/>
      <c r="M33" s="28"/>
    </row>
    <row r="34" spans="1:13" s="11" customFormat="1" ht="16.5" customHeight="1" x14ac:dyDescent="0.25">
      <c r="A34" s="11" t="s">
        <v>3086</v>
      </c>
      <c r="B34" s="119">
        <v>34217</v>
      </c>
      <c r="C34" s="13" t="s">
        <v>3094</v>
      </c>
      <c r="D34" s="86" t="s">
        <v>3097</v>
      </c>
      <c r="E34" s="141"/>
      <c r="F34" s="141"/>
      <c r="G34" s="55"/>
    </row>
    <row r="35" spans="1:13" s="11" customFormat="1" ht="16.5" customHeight="1" x14ac:dyDescent="0.25">
      <c r="A35" s="11" t="s">
        <v>3087</v>
      </c>
      <c r="B35" s="119">
        <v>36114</v>
      </c>
      <c r="C35" s="163" t="s">
        <v>3094</v>
      </c>
      <c r="D35" s="86" t="s">
        <v>3097</v>
      </c>
      <c r="E35" s="141"/>
      <c r="F35" s="141"/>
      <c r="G35" s="55"/>
    </row>
    <row r="36" spans="1:13" s="11" customFormat="1" ht="16.5" customHeight="1" x14ac:dyDescent="0.25">
      <c r="A36" s="11" t="s">
        <v>3088</v>
      </c>
      <c r="B36" s="119">
        <v>36114</v>
      </c>
      <c r="C36" s="13" t="s">
        <v>3094</v>
      </c>
      <c r="D36" s="86" t="s">
        <v>3097</v>
      </c>
      <c r="E36" s="141"/>
      <c r="F36" s="141"/>
      <c r="G36" s="55"/>
    </row>
    <row r="37" spans="1:13" s="11" customFormat="1" ht="16.5" customHeight="1" x14ac:dyDescent="0.25">
      <c r="A37" s="11" t="s">
        <v>3095</v>
      </c>
      <c r="B37" s="119">
        <v>36114</v>
      </c>
      <c r="C37" s="13" t="s">
        <v>3094</v>
      </c>
      <c r="D37" s="86" t="s">
        <v>3097</v>
      </c>
      <c r="E37" s="141"/>
      <c r="F37" s="141"/>
      <c r="G37" s="55"/>
    </row>
    <row r="38" spans="1:13" s="11" customFormat="1" ht="16.5" customHeight="1" x14ac:dyDescent="0.25">
      <c r="A38" s="11" t="s">
        <v>3089</v>
      </c>
      <c r="B38" s="119">
        <v>36880</v>
      </c>
      <c r="C38" s="13" t="s">
        <v>3094</v>
      </c>
      <c r="D38" s="86" t="s">
        <v>3097</v>
      </c>
      <c r="E38" s="141"/>
      <c r="F38" s="141"/>
      <c r="G38" s="55"/>
    </row>
    <row r="39" spans="1:13" s="11" customFormat="1" ht="16.5" customHeight="1" x14ac:dyDescent="0.25">
      <c r="A39" s="11" t="s">
        <v>3098</v>
      </c>
      <c r="B39" s="119">
        <v>44146.5</v>
      </c>
      <c r="C39" s="13">
        <v>45866</v>
      </c>
      <c r="D39" s="86">
        <v>45881</v>
      </c>
      <c r="E39" s="141"/>
      <c r="F39" s="141"/>
      <c r="G39" s="55"/>
    </row>
    <row r="40" spans="1:13" s="11" customFormat="1" ht="16.5" customHeight="1" x14ac:dyDescent="0.25">
      <c r="A40" s="11" t="s">
        <v>3090</v>
      </c>
      <c r="B40" s="119">
        <v>44416.2</v>
      </c>
      <c r="C40" s="13">
        <v>45867</v>
      </c>
      <c r="D40" s="86">
        <v>45873</v>
      </c>
      <c r="E40" s="141"/>
      <c r="F40" s="141"/>
      <c r="G40" s="55"/>
    </row>
    <row r="41" spans="1:13" s="11" customFormat="1" ht="16.5" customHeight="1" x14ac:dyDescent="0.25">
      <c r="A41" s="11" t="s">
        <v>3091</v>
      </c>
      <c r="B41" s="119">
        <v>44558</v>
      </c>
      <c r="C41" s="13" t="s">
        <v>3094</v>
      </c>
      <c r="D41" s="86" t="s">
        <v>3097</v>
      </c>
      <c r="E41" s="141"/>
      <c r="F41" s="141"/>
      <c r="G41" s="55"/>
    </row>
    <row r="42" spans="1:13" s="11" customFormat="1" ht="16.5" customHeight="1" x14ac:dyDescent="0.25">
      <c r="A42" s="11" t="s">
        <v>3071</v>
      </c>
      <c r="B42" s="119">
        <v>44876.55</v>
      </c>
      <c r="C42" s="13">
        <v>45866</v>
      </c>
      <c r="D42" s="168" t="s">
        <v>3096</v>
      </c>
      <c r="E42" s="141"/>
      <c r="F42" s="141"/>
      <c r="G42" s="55"/>
    </row>
    <row r="43" spans="1:13" s="11" customFormat="1" ht="16.5" customHeight="1" x14ac:dyDescent="0.25">
      <c r="A43" s="11" t="s">
        <v>3092</v>
      </c>
      <c r="B43" s="119">
        <v>44876.55</v>
      </c>
      <c r="C43" s="13">
        <v>45866</v>
      </c>
      <c r="D43" s="86">
        <v>45873</v>
      </c>
      <c r="E43" s="141"/>
      <c r="F43" s="141"/>
      <c r="G43" s="55"/>
    </row>
    <row r="44" spans="1:13" s="11" customFormat="1" ht="16.5" customHeight="1" x14ac:dyDescent="0.25">
      <c r="A44" s="11" t="s">
        <v>2999</v>
      </c>
      <c r="B44" s="119">
        <v>71915</v>
      </c>
      <c r="C44" s="13">
        <v>45811</v>
      </c>
      <c r="D44" s="168" t="s">
        <v>3096</v>
      </c>
      <c r="E44" s="141"/>
      <c r="F44" s="141"/>
      <c r="G44" s="55"/>
    </row>
    <row r="45" spans="1:13" s="11" customFormat="1" ht="16.5" customHeight="1" x14ac:dyDescent="0.25">
      <c r="A45" s="11" t="s">
        <v>3093</v>
      </c>
      <c r="B45" s="119">
        <v>86219.35</v>
      </c>
      <c r="C45" s="13">
        <v>45863</v>
      </c>
      <c r="D45" s="86">
        <v>45873</v>
      </c>
      <c r="E45" s="141"/>
      <c r="F45" s="141"/>
      <c r="G45" s="55"/>
    </row>
    <row r="46" spans="1:13" s="11" customFormat="1" ht="16.5" customHeight="1" x14ac:dyDescent="0.25">
      <c r="B46" s="119"/>
      <c r="C46" s="51"/>
      <c r="D46" s="86"/>
      <c r="E46" s="141"/>
      <c r="F46" s="141"/>
      <c r="G46" s="55"/>
    </row>
    <row r="47" spans="1:13" s="11" customFormat="1" ht="15.75" x14ac:dyDescent="0.25">
      <c r="B47" s="25">
        <f>SUM(B24:B46)</f>
        <v>853962.9</v>
      </c>
      <c r="D47" s="28"/>
      <c r="E47" s="141"/>
      <c r="F47" s="141"/>
      <c r="G47" s="55"/>
    </row>
    <row r="48" spans="1:13" s="11" customFormat="1" ht="15.75" x14ac:dyDescent="0.25">
      <c r="A48" s="11" t="s">
        <v>1</v>
      </c>
      <c r="B48" s="17">
        <f>B47+B22</f>
        <v>367882.1</v>
      </c>
      <c r="D48" s="28"/>
      <c r="E48" s="141"/>
      <c r="F48" s="141"/>
      <c r="G48" s="55"/>
    </row>
    <row r="49" spans="1:7" s="11" customFormat="1" ht="15.75" x14ac:dyDescent="0.25">
      <c r="A49" s="11" t="s">
        <v>0</v>
      </c>
      <c r="B49" s="17">
        <f>B48-B7</f>
        <v>-1.5133991837501526E-9</v>
      </c>
      <c r="D49" s="28"/>
      <c r="E49" s="141"/>
      <c r="F49" s="141"/>
      <c r="G49" s="55"/>
    </row>
    <row r="50" spans="1:7" s="11" customFormat="1" ht="15.75" x14ac:dyDescent="0.25">
      <c r="D50" s="28"/>
      <c r="E50" s="141"/>
      <c r="F50" s="141"/>
      <c r="G50" s="55"/>
    </row>
    <row r="51" spans="1:7" s="11" customFormat="1" ht="15.75" x14ac:dyDescent="0.25">
      <c r="D51" s="28"/>
      <c r="E51" s="141"/>
      <c r="F51" s="141"/>
      <c r="G51" s="55"/>
    </row>
    <row r="52" spans="1:7" s="11" customFormat="1" ht="15.75" x14ac:dyDescent="0.25">
      <c r="D52" s="28"/>
      <c r="E52" s="141"/>
      <c r="F52" s="141"/>
      <c r="G52" s="55"/>
    </row>
    <row r="53" spans="1:7" s="11" customFormat="1" ht="15.75" x14ac:dyDescent="0.25">
      <c r="D53" s="28"/>
      <c r="E53" s="141"/>
      <c r="F53" s="141"/>
      <c r="G53" s="55"/>
    </row>
    <row r="54" spans="1:7" s="11" customFormat="1" ht="15.75" x14ac:dyDescent="0.25">
      <c r="D54" s="28"/>
      <c r="E54" s="141"/>
      <c r="F54" s="141"/>
      <c r="G54" s="55"/>
    </row>
    <row r="55" spans="1:7" s="11" customFormat="1" ht="15.75" x14ac:dyDescent="0.25">
      <c r="D55" s="28"/>
      <c r="E55" s="141"/>
      <c r="F55" s="141"/>
      <c r="G55" s="55"/>
    </row>
    <row r="56" spans="1:7" s="11" customFormat="1" ht="15.75" x14ac:dyDescent="0.25">
      <c r="D56" s="28"/>
      <c r="E56" s="141"/>
      <c r="F56" s="141"/>
      <c r="G56" s="55"/>
    </row>
    <row r="57" spans="1:7" s="11" customFormat="1" ht="15.75" x14ac:dyDescent="0.25">
      <c r="D57" s="28"/>
      <c r="E57" s="141"/>
      <c r="F57" s="141"/>
      <c r="G57" s="55"/>
    </row>
    <row r="58" spans="1:7" s="11" customFormat="1" ht="15.75" x14ac:dyDescent="0.25">
      <c r="D58" s="28"/>
      <c r="E58" s="141"/>
      <c r="F58" s="141"/>
      <c r="G58" s="55"/>
    </row>
    <row r="59" spans="1:7" s="11" customFormat="1" ht="15.75" x14ac:dyDescent="0.25">
      <c r="D59" s="28"/>
      <c r="E59" s="141"/>
      <c r="F59" s="141"/>
      <c r="G59" s="55"/>
    </row>
    <row r="60" spans="1:7" s="11" customFormat="1" ht="15.75" x14ac:dyDescent="0.25">
      <c r="D60" s="28"/>
      <c r="E60" s="141"/>
      <c r="F60" s="141"/>
      <c r="G60" s="55"/>
    </row>
    <row r="61" spans="1:7" s="11" customFormat="1" ht="15.95" customHeight="1" x14ac:dyDescent="0.25">
      <c r="D61" s="28"/>
      <c r="E61" s="141"/>
      <c r="F61" s="141"/>
    </row>
    <row r="62" spans="1:7" s="11" customFormat="1" ht="15.95" customHeight="1" x14ac:dyDescent="0.25">
      <c r="D62" s="28"/>
      <c r="E62" s="141"/>
      <c r="F62" s="141"/>
    </row>
    <row r="63" spans="1:7" s="11" customFormat="1" ht="15.95" customHeight="1" x14ac:dyDescent="0.25">
      <c r="D63" s="28"/>
      <c r="E63" s="141"/>
      <c r="F63" s="141"/>
    </row>
    <row r="64" spans="1:7" s="11" customFormat="1" ht="15.95" customHeight="1" x14ac:dyDescent="0.25">
      <c r="D64" s="28"/>
      <c r="E64" s="141"/>
      <c r="F64" s="141"/>
    </row>
    <row r="65" spans="1:8" s="11" customFormat="1" ht="15.95" customHeight="1" x14ac:dyDescent="0.25">
      <c r="D65" s="28"/>
      <c r="E65" s="141"/>
      <c r="F65" s="141"/>
    </row>
    <row r="66" spans="1:8" s="11" customFormat="1" ht="15.95" customHeight="1" x14ac:dyDescent="0.25">
      <c r="B66" s="17"/>
      <c r="D66" s="28"/>
      <c r="E66" s="141"/>
      <c r="F66" s="141"/>
    </row>
    <row r="67" spans="1:8" s="11" customFormat="1" ht="15.95" customHeight="1" x14ac:dyDescent="0.25">
      <c r="A67" s="39"/>
      <c r="B67" s="93"/>
      <c r="C67" s="18"/>
      <c r="D67" s="18"/>
      <c r="E67" s="141"/>
      <c r="F67" s="141"/>
    </row>
    <row r="68" spans="1:8" s="11" customFormat="1" ht="15.95" customHeight="1" x14ac:dyDescent="0.3">
      <c r="A68" s="1"/>
      <c r="B68" s="10"/>
      <c r="C68" s="13"/>
      <c r="D68" s="47"/>
      <c r="E68" s="141"/>
      <c r="F68" s="141"/>
    </row>
    <row r="69" spans="1:8" s="11" customFormat="1" ht="15.95" customHeight="1" x14ac:dyDescent="0.3">
      <c r="A69" s="1"/>
      <c r="B69" s="10"/>
      <c r="C69" s="13"/>
      <c r="D69" s="47"/>
      <c r="E69" s="141"/>
      <c r="F69" s="141"/>
    </row>
    <row r="70" spans="1:8" s="11" customFormat="1" ht="15.95" customHeight="1" x14ac:dyDescent="0.3">
      <c r="A70" s="1"/>
      <c r="B70" s="10"/>
      <c r="C70" s="13"/>
      <c r="D70" s="47"/>
      <c r="E70" s="141"/>
      <c r="F70" s="141"/>
    </row>
    <row r="71" spans="1:8" s="11" customFormat="1" ht="15.95" customHeight="1" x14ac:dyDescent="0.25">
      <c r="D71" s="28"/>
      <c r="E71" s="141"/>
      <c r="F71" s="141"/>
    </row>
    <row r="72" spans="1:8" s="11" customFormat="1" ht="15.95" customHeight="1" x14ac:dyDescent="0.25">
      <c r="D72" s="28"/>
      <c r="E72" s="141"/>
      <c r="F72" s="141"/>
    </row>
    <row r="73" spans="1:8" s="11" customFormat="1" ht="15.95" customHeight="1" x14ac:dyDescent="0.25">
      <c r="D73" s="28"/>
      <c r="E73" s="141"/>
      <c r="F73" s="141"/>
    </row>
    <row r="74" spans="1:8" s="11" customFormat="1" ht="15.95" customHeight="1" x14ac:dyDescent="0.25">
      <c r="D74" s="28"/>
      <c r="E74" s="141"/>
      <c r="F74" s="141"/>
    </row>
    <row r="75" spans="1:8" s="11" customFormat="1" ht="15.95" customHeight="1" x14ac:dyDescent="0.25">
      <c r="D75" s="28"/>
      <c r="E75" s="141"/>
      <c r="F75" s="141"/>
    </row>
    <row r="76" spans="1:8" s="11" customFormat="1" ht="15.95" customHeight="1" x14ac:dyDescent="0.25">
      <c r="D76" s="28"/>
      <c r="E76" s="141"/>
      <c r="F76" s="141"/>
      <c r="H76" s="88"/>
    </row>
    <row r="77" spans="1:8" s="11" customFormat="1" ht="15.95" customHeight="1" x14ac:dyDescent="0.25">
      <c r="D77" s="28"/>
      <c r="E77" s="141"/>
      <c r="F77" s="141"/>
      <c r="H77" s="88"/>
    </row>
    <row r="78" spans="1:8" s="11" customFormat="1" ht="15.95" customHeight="1" x14ac:dyDescent="0.25">
      <c r="D78" s="28"/>
      <c r="E78" s="141"/>
      <c r="F78" s="141"/>
      <c r="G78" s="126"/>
      <c r="H78" s="88"/>
    </row>
    <row r="79" spans="1:8" s="11" customFormat="1" ht="15.95" customHeight="1" x14ac:dyDescent="0.25">
      <c r="D79" s="28"/>
      <c r="E79" s="141"/>
      <c r="F79" s="141"/>
      <c r="H79" s="88"/>
    </row>
    <row r="80" spans="1:8" s="11" customFormat="1" ht="20.100000000000001" customHeight="1" x14ac:dyDescent="0.25">
      <c r="D80" s="28"/>
      <c r="E80" s="141"/>
      <c r="F80" s="141"/>
      <c r="H80" s="88"/>
    </row>
    <row r="81" spans="1:19" s="11" customFormat="1" ht="20.100000000000001" customHeight="1" x14ac:dyDescent="0.25">
      <c r="D81" s="28"/>
      <c r="E81" s="141"/>
      <c r="F81" s="141"/>
      <c r="H81" s="88"/>
    </row>
    <row r="82" spans="1:19" s="11" customFormat="1" ht="20.100000000000001" customHeight="1" x14ac:dyDescent="0.25">
      <c r="D82" s="28"/>
      <c r="E82" s="141"/>
      <c r="F82" s="141"/>
      <c r="G82" s="126"/>
      <c r="H82" s="88"/>
    </row>
    <row r="83" spans="1:19" s="11" customFormat="1" ht="20.100000000000001" customHeight="1" x14ac:dyDescent="0.25">
      <c r="D83" s="28"/>
      <c r="E83" s="141"/>
      <c r="F83" s="141"/>
      <c r="H83" s="88"/>
    </row>
    <row r="84" spans="1:19" s="13" customFormat="1" ht="20.100000000000001" customHeight="1" x14ac:dyDescent="0.3">
      <c r="A84" s="1"/>
      <c r="B84" s="10"/>
      <c r="D84" s="47"/>
      <c r="E84" s="141"/>
      <c r="F84" s="141"/>
      <c r="H84" s="88"/>
      <c r="I84" s="11"/>
    </row>
    <row r="85" spans="1:19" s="13" customFormat="1" ht="20.100000000000001" customHeight="1" x14ac:dyDescent="0.3">
      <c r="A85" s="1"/>
      <c r="B85" s="10"/>
      <c r="D85" s="47"/>
      <c r="E85" s="141"/>
      <c r="F85" s="141"/>
      <c r="H85" s="88"/>
      <c r="I85" s="11"/>
    </row>
    <row r="86" spans="1:19" s="13" customFormat="1" ht="20.100000000000001" customHeight="1" x14ac:dyDescent="0.3">
      <c r="A86" s="1"/>
      <c r="B86" s="10"/>
      <c r="D86" s="47"/>
      <c r="E86" s="141"/>
      <c r="F86" s="141"/>
      <c r="H86" s="88"/>
      <c r="I86" s="11"/>
    </row>
    <row r="87" spans="1:19" s="90" customFormat="1" ht="20.100000000000001" customHeight="1" x14ac:dyDescent="0.3">
      <c r="A87" s="1"/>
      <c r="B87" s="10"/>
      <c r="C87" s="13"/>
      <c r="D87" s="116"/>
      <c r="E87" s="141"/>
      <c r="F87" s="141"/>
      <c r="G87" s="1"/>
      <c r="I87" s="1"/>
      <c r="J87" s="1"/>
      <c r="K87" s="1"/>
      <c r="M87" s="1"/>
      <c r="N87" s="1"/>
      <c r="O87" s="1"/>
      <c r="P87" s="1"/>
      <c r="Q87" s="1"/>
      <c r="R87" s="1"/>
      <c r="S87" s="1"/>
    </row>
    <row r="88" spans="1:19" s="90" customFormat="1" ht="20.100000000000001" customHeight="1" x14ac:dyDescent="0.3">
      <c r="A88" s="1"/>
      <c r="B88" s="10"/>
      <c r="C88" s="13"/>
      <c r="D88" s="116"/>
      <c r="E88" s="141"/>
      <c r="F88" s="141"/>
      <c r="G88" s="1"/>
      <c r="I88" s="1"/>
      <c r="J88" s="1"/>
      <c r="K88" s="1"/>
      <c r="M88" s="1"/>
      <c r="N88" s="1"/>
      <c r="O88" s="1"/>
      <c r="P88" s="1"/>
      <c r="Q88" s="1"/>
      <c r="R88" s="1"/>
      <c r="S88" s="1"/>
    </row>
    <row r="89" spans="1:19" s="90" customFormat="1" ht="20.100000000000001" customHeight="1" x14ac:dyDescent="0.3">
      <c r="A89" s="1"/>
      <c r="B89" s="10"/>
      <c r="C89" s="13"/>
      <c r="D89" s="116"/>
      <c r="E89" s="141"/>
      <c r="F89" s="141"/>
      <c r="G89" s="1"/>
      <c r="I89" s="1"/>
      <c r="J89" s="1"/>
      <c r="K89" s="1"/>
      <c r="M89" s="1"/>
      <c r="N89" s="1"/>
      <c r="O89" s="1"/>
      <c r="P89" s="1"/>
      <c r="Q89" s="1"/>
      <c r="R89" s="1"/>
      <c r="S89" s="1"/>
    </row>
    <row r="90" spans="1:19" s="90" customFormat="1" ht="20.100000000000001" customHeight="1" x14ac:dyDescent="0.3">
      <c r="A90" s="1"/>
      <c r="B90" s="10"/>
      <c r="C90" s="13"/>
      <c r="D90" s="116"/>
      <c r="E90" s="141"/>
      <c r="F90" s="141"/>
      <c r="G90" s="11"/>
      <c r="I90" s="1"/>
      <c r="J90" s="1"/>
      <c r="K90" s="1"/>
      <c r="M90" s="1"/>
      <c r="N90" s="1"/>
      <c r="O90" s="1"/>
      <c r="P90" s="1"/>
      <c r="Q90" s="1"/>
      <c r="R90" s="1"/>
      <c r="S90" s="1"/>
    </row>
  </sheetData>
  <phoneticPr fontId="6" type="noConversion"/>
  <pageMargins left="0.7" right="0.7" top="0.75" bottom="0.75" header="0.3" footer="0.3"/>
  <pageSetup scale="74" fitToHeight="0"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1728B-6E06-49E7-B0BB-34A3A5A8C68C}">
  <sheetPr>
    <pageSetUpPr fitToPage="1"/>
  </sheetPr>
  <dimension ref="A1:S108"/>
  <sheetViews>
    <sheetView topLeftCell="A4" zoomScale="85" zoomScaleNormal="85" workbookViewId="0">
      <selection activeCell="G27" sqref="G27"/>
    </sheetView>
  </sheetViews>
  <sheetFormatPr defaultRowHeight="18.75" x14ac:dyDescent="0.3"/>
  <cols>
    <col min="1" max="1" width="20.7109375" style="1" customWidth="1"/>
    <col min="2" max="2" width="16.85546875" style="10" customWidth="1"/>
    <col min="3" max="3" width="28.7109375" style="13" bestFit="1" customWidth="1"/>
    <col min="4" max="4" width="31.28515625" style="116" bestFit="1" customWidth="1"/>
    <col min="5" max="5" width="9.7109375" style="141" customWidth="1"/>
    <col min="6" max="6" width="16.5703125" style="141" customWidth="1"/>
    <col min="7" max="7" width="35" style="1" bestFit="1" customWidth="1"/>
    <col min="8" max="8" width="5.5703125" style="90" bestFit="1" customWidth="1"/>
    <col min="9" max="11" width="9.140625" style="1"/>
    <col min="12" max="12" width="57.5703125" style="1" bestFit="1" customWidth="1"/>
    <col min="13" max="16384" width="9.140625" style="1"/>
  </cols>
  <sheetData>
    <row r="1" spans="1:19" s="11" customFormat="1" ht="20.100000000000001" customHeight="1" x14ac:dyDescent="0.25">
      <c r="A1" s="11" t="s">
        <v>1203</v>
      </c>
      <c r="B1" s="17"/>
      <c r="C1" s="13"/>
      <c r="D1" s="47"/>
      <c r="E1" s="141"/>
      <c r="H1" s="88"/>
      <c r="L1" s="129" t="s">
        <v>1457</v>
      </c>
    </row>
    <row r="2" spans="1:19" s="11" customFormat="1" ht="20.100000000000001" customHeight="1" thickBot="1" x14ac:dyDescent="0.3">
      <c r="A2" s="14">
        <v>45900</v>
      </c>
      <c r="B2" s="17"/>
      <c r="C2" s="13"/>
      <c r="D2" s="47"/>
      <c r="E2" s="141"/>
      <c r="H2" s="88"/>
      <c r="L2" s="131" t="s">
        <v>1369</v>
      </c>
    </row>
    <row r="3" spans="1:19" s="11" customFormat="1" ht="20.100000000000001" customHeight="1" x14ac:dyDescent="0.25">
      <c r="A3" s="11" t="s">
        <v>311</v>
      </c>
      <c r="B3" s="17">
        <v>29923444.91</v>
      </c>
      <c r="C3" s="13"/>
      <c r="D3" s="47"/>
      <c r="E3" s="141"/>
      <c r="H3" s="88"/>
      <c r="M3" s="89"/>
    </row>
    <row r="4" spans="1:19" s="11" customFormat="1" ht="20.100000000000001" customHeight="1" x14ac:dyDescent="0.25">
      <c r="A4" s="11" t="s">
        <v>6</v>
      </c>
      <c r="B4" s="17"/>
      <c r="C4" s="13"/>
      <c r="D4" s="47"/>
      <c r="E4" s="141"/>
      <c r="H4" s="88"/>
      <c r="M4" s="89"/>
    </row>
    <row r="5" spans="1:19" s="11" customFormat="1" ht="20.100000000000001" customHeight="1" x14ac:dyDescent="0.25">
      <c r="A5" s="11">
        <v>2100</v>
      </c>
      <c r="B5" s="17">
        <v>-28743961.41</v>
      </c>
      <c r="C5" s="13"/>
      <c r="D5" s="47"/>
      <c r="E5" s="141"/>
      <c r="H5" s="88"/>
      <c r="M5" s="89"/>
    </row>
    <row r="6" spans="1:19" s="11" customFormat="1" ht="20.100000000000001" customHeight="1" x14ac:dyDescent="0.25">
      <c r="A6" s="11" t="s">
        <v>5</v>
      </c>
      <c r="B6" s="17">
        <f>SUM(B5)</f>
        <v>-28743961.41</v>
      </c>
      <c r="C6" s="13"/>
      <c r="D6" s="47"/>
      <c r="E6" s="141"/>
      <c r="H6" s="88"/>
      <c r="M6" s="89"/>
      <c r="O6" s="62"/>
      <c r="P6" s="62"/>
      <c r="Q6" s="62"/>
      <c r="R6" s="62"/>
      <c r="S6" s="62"/>
    </row>
    <row r="7" spans="1:19" s="11" customFormat="1" ht="20.100000000000001" customHeight="1" x14ac:dyDescent="0.25">
      <c r="A7" s="11" t="s">
        <v>4</v>
      </c>
      <c r="B7" s="17">
        <f>B6+B3</f>
        <v>1179483.5</v>
      </c>
      <c r="C7" s="13"/>
      <c r="D7" s="47"/>
      <c r="E7" s="141"/>
      <c r="H7" s="88"/>
      <c r="M7" s="88"/>
    </row>
    <row r="8" spans="1:19" s="11" customFormat="1" ht="15.95" customHeight="1" x14ac:dyDescent="0.25">
      <c r="A8" s="11" t="s">
        <v>3</v>
      </c>
      <c r="B8" s="17"/>
      <c r="C8" s="44" t="s">
        <v>628</v>
      </c>
      <c r="D8" s="114" t="s">
        <v>626</v>
      </c>
      <c r="E8" s="141"/>
      <c r="H8" s="88"/>
      <c r="M8" s="88"/>
    </row>
    <row r="9" spans="1:19" s="11" customFormat="1" ht="15.75" x14ac:dyDescent="0.25">
      <c r="A9" s="160" t="s">
        <v>3099</v>
      </c>
      <c r="B9" s="161">
        <v>-25690</v>
      </c>
      <c r="C9" s="164" t="s">
        <v>3154</v>
      </c>
      <c r="D9" s="163" t="s">
        <v>3153</v>
      </c>
      <c r="E9" s="160"/>
      <c r="F9" s="141"/>
      <c r="G9" s="55"/>
      <c r="M9" s="88"/>
    </row>
    <row r="10" spans="1:19" s="11" customFormat="1" ht="15.75" x14ac:dyDescent="0.25">
      <c r="A10" s="160" t="s">
        <v>3148</v>
      </c>
      <c r="B10" s="161">
        <v>-25690</v>
      </c>
      <c r="C10" s="164" t="s">
        <v>3154</v>
      </c>
      <c r="D10" s="163" t="s">
        <v>3153</v>
      </c>
      <c r="E10" s="160"/>
      <c r="F10" s="141"/>
      <c r="G10" s="55"/>
      <c r="M10" s="88"/>
    </row>
    <row r="11" spans="1:19" s="11" customFormat="1" ht="15.75" x14ac:dyDescent="0.25">
      <c r="A11" s="160" t="s">
        <v>3100</v>
      </c>
      <c r="B11" s="161">
        <v>-28179</v>
      </c>
      <c r="C11" s="170" t="s">
        <v>3151</v>
      </c>
      <c r="D11" s="173" t="s">
        <v>3152</v>
      </c>
      <c r="E11" s="160"/>
      <c r="F11" s="141"/>
      <c r="G11" s="55"/>
      <c r="M11" s="88"/>
    </row>
    <row r="12" spans="1:19" s="11" customFormat="1" ht="15.75" x14ac:dyDescent="0.25">
      <c r="A12" s="160" t="s">
        <v>3101</v>
      </c>
      <c r="B12" s="161">
        <v>-31813</v>
      </c>
      <c r="C12" s="170" t="s">
        <v>3151</v>
      </c>
      <c r="D12" s="173" t="s">
        <v>3152</v>
      </c>
      <c r="E12" s="160"/>
      <c r="F12" s="141"/>
      <c r="G12" s="55"/>
      <c r="M12" s="88"/>
    </row>
    <row r="13" spans="1:19" s="11" customFormat="1" ht="15.75" x14ac:dyDescent="0.25">
      <c r="A13" s="160" t="s">
        <v>3102</v>
      </c>
      <c r="B13" s="161">
        <v>-33458</v>
      </c>
      <c r="C13" s="170" t="s">
        <v>3151</v>
      </c>
      <c r="D13" s="173" t="s">
        <v>3152</v>
      </c>
      <c r="E13" s="160"/>
      <c r="F13" s="141"/>
      <c r="G13" s="55"/>
      <c r="M13" s="88"/>
    </row>
    <row r="14" spans="1:19" s="11" customFormat="1" ht="15.75" x14ac:dyDescent="0.25">
      <c r="A14" s="160" t="s">
        <v>3103</v>
      </c>
      <c r="B14" s="161">
        <v>-35779</v>
      </c>
      <c r="C14" s="170" t="s">
        <v>3151</v>
      </c>
      <c r="D14" s="173" t="s">
        <v>3152</v>
      </c>
      <c r="E14" s="160"/>
      <c r="F14" s="141"/>
      <c r="G14" s="55"/>
      <c r="M14" s="88"/>
    </row>
    <row r="15" spans="1:19" s="11" customFormat="1" ht="15.75" x14ac:dyDescent="0.25">
      <c r="A15" s="160" t="s">
        <v>3104</v>
      </c>
      <c r="B15" s="161">
        <v>-37613</v>
      </c>
      <c r="C15" s="170" t="s">
        <v>3151</v>
      </c>
      <c r="D15" s="173" t="s">
        <v>3152</v>
      </c>
      <c r="E15" s="160"/>
      <c r="F15" s="141"/>
      <c r="G15" s="55"/>
      <c r="M15" s="88"/>
    </row>
    <row r="16" spans="1:19" s="11" customFormat="1" ht="15.75" x14ac:dyDescent="0.25">
      <c r="A16" s="160" t="s">
        <v>3105</v>
      </c>
      <c r="B16" s="161">
        <v>-37739</v>
      </c>
      <c r="C16" s="170" t="s">
        <v>3151</v>
      </c>
      <c r="D16" s="173" t="s">
        <v>3152</v>
      </c>
      <c r="E16" s="160"/>
      <c r="F16" s="141"/>
      <c r="G16" s="55"/>
      <c r="M16" s="88"/>
    </row>
    <row r="17" spans="1:13" s="11" customFormat="1" ht="15.75" x14ac:dyDescent="0.25">
      <c r="A17" s="160" t="s">
        <v>3106</v>
      </c>
      <c r="B17" s="161">
        <v>-37881</v>
      </c>
      <c r="C17" s="170" t="s">
        <v>3151</v>
      </c>
      <c r="D17" s="173" t="s">
        <v>3152</v>
      </c>
      <c r="E17" s="160"/>
      <c r="F17" s="141"/>
      <c r="G17" s="55"/>
      <c r="M17" s="88"/>
    </row>
    <row r="18" spans="1:13" s="11" customFormat="1" ht="15.75" x14ac:dyDescent="0.25">
      <c r="A18" s="160" t="s">
        <v>3107</v>
      </c>
      <c r="B18" s="161">
        <v>-38054</v>
      </c>
      <c r="C18" s="170" t="s">
        <v>3151</v>
      </c>
      <c r="D18" s="173" t="s">
        <v>3152</v>
      </c>
      <c r="E18" s="160"/>
      <c r="F18" s="141"/>
      <c r="G18" s="55"/>
      <c r="M18" s="88"/>
    </row>
    <row r="19" spans="1:13" s="11" customFormat="1" ht="15.75" x14ac:dyDescent="0.25">
      <c r="A19" s="160" t="s">
        <v>3108</v>
      </c>
      <c r="B19" s="161">
        <v>-39151</v>
      </c>
      <c r="C19" s="170" t="s">
        <v>3151</v>
      </c>
      <c r="D19" s="173" t="s">
        <v>3152</v>
      </c>
      <c r="E19" s="160"/>
      <c r="F19" s="141"/>
      <c r="G19" s="55"/>
      <c r="M19" s="88"/>
    </row>
    <row r="20" spans="1:13" s="11" customFormat="1" ht="15.75" x14ac:dyDescent="0.25">
      <c r="A20" s="160" t="s">
        <v>3109</v>
      </c>
      <c r="B20" s="161">
        <v>-42982</v>
      </c>
      <c r="C20" s="170" t="s">
        <v>3151</v>
      </c>
      <c r="D20" s="173" t="s">
        <v>3152</v>
      </c>
      <c r="E20" s="160"/>
      <c r="F20" s="141"/>
      <c r="G20" s="55"/>
      <c r="M20" s="88"/>
    </row>
    <row r="21" spans="1:13" s="11" customFormat="1" ht="15.75" x14ac:dyDescent="0.25">
      <c r="A21" s="160" t="s">
        <v>3110</v>
      </c>
      <c r="B21" s="161">
        <v>-80026.25</v>
      </c>
      <c r="C21" s="164">
        <v>45897</v>
      </c>
      <c r="D21" s="163">
        <v>45902</v>
      </c>
      <c r="E21" s="160"/>
      <c r="F21" s="141"/>
      <c r="G21" s="55"/>
      <c r="M21" s="88"/>
    </row>
    <row r="22" spans="1:13" s="11" customFormat="1" ht="15.75" x14ac:dyDescent="0.25">
      <c r="A22" s="160"/>
      <c r="B22" s="161"/>
      <c r="C22" s="164"/>
      <c r="D22" s="163"/>
      <c r="E22" s="160"/>
      <c r="F22" s="141"/>
      <c r="G22" s="55"/>
      <c r="M22" s="88"/>
    </row>
    <row r="23" spans="1:13" s="11" customFormat="1" ht="15.75" x14ac:dyDescent="0.25">
      <c r="B23" s="25">
        <f>SUM(B9:B22)</f>
        <v>-494055.25</v>
      </c>
      <c r="C23" s="28"/>
      <c r="D23" s="28"/>
      <c r="E23" s="141"/>
      <c r="F23" s="141"/>
      <c r="G23" s="55"/>
      <c r="L23" s="11" t="s">
        <v>1437</v>
      </c>
    </row>
    <row r="24" spans="1:13" s="11" customFormat="1" ht="16.5" customHeight="1" x14ac:dyDescent="0.25">
      <c r="A24" s="11" t="s">
        <v>2</v>
      </c>
      <c r="B24" s="25"/>
      <c r="C24" s="52" t="s">
        <v>626</v>
      </c>
      <c r="D24" s="158" t="s">
        <v>628</v>
      </c>
      <c r="E24" s="141"/>
      <c r="F24" s="141"/>
      <c r="G24" s="55"/>
      <c r="L24" s="11" t="s">
        <v>1438</v>
      </c>
    </row>
    <row r="25" spans="1:13" s="11" customFormat="1" ht="16.5" customHeight="1" x14ac:dyDescent="0.25">
      <c r="A25" s="11" t="s">
        <v>3111</v>
      </c>
      <c r="B25" s="119">
        <v>26231</v>
      </c>
      <c r="C25" s="171" t="s">
        <v>3152</v>
      </c>
      <c r="D25" s="169" t="s">
        <v>3151</v>
      </c>
      <c r="E25" s="141"/>
      <c r="F25" s="141"/>
      <c r="G25" s="55"/>
      <c r="L25" s="11" t="s">
        <v>1439</v>
      </c>
    </row>
    <row r="26" spans="1:13" s="11" customFormat="1" ht="16.5" customHeight="1" x14ac:dyDescent="0.25">
      <c r="A26" s="11" t="s">
        <v>3113</v>
      </c>
      <c r="B26" s="119">
        <v>27097.4</v>
      </c>
      <c r="C26" s="13">
        <v>45894</v>
      </c>
      <c r="D26" s="86">
        <v>45902</v>
      </c>
      <c r="E26" s="141"/>
      <c r="F26" s="141"/>
      <c r="G26" s="55"/>
      <c r="L26" s="11" t="s">
        <v>1440</v>
      </c>
    </row>
    <row r="27" spans="1:13" s="11" customFormat="1" ht="16.5" customHeight="1" x14ac:dyDescent="0.25">
      <c r="A27" s="11" t="s">
        <v>3112</v>
      </c>
      <c r="B27" s="119">
        <v>27557.75</v>
      </c>
      <c r="C27" s="13">
        <v>45894</v>
      </c>
      <c r="D27" s="86">
        <v>45902</v>
      </c>
      <c r="E27" s="141"/>
      <c r="F27" s="141"/>
      <c r="G27" s="55"/>
      <c r="L27" s="11" t="s">
        <v>1441</v>
      </c>
    </row>
    <row r="28" spans="1:13" s="11" customFormat="1" ht="16.5" customHeight="1" x14ac:dyDescent="0.25">
      <c r="A28" s="11" t="s">
        <v>3114</v>
      </c>
      <c r="B28" s="119">
        <v>27557.75</v>
      </c>
      <c r="C28" s="13">
        <v>45894</v>
      </c>
      <c r="D28" s="86">
        <v>45902</v>
      </c>
      <c r="E28" s="141"/>
      <c r="F28" s="141"/>
      <c r="G28" s="55"/>
      <c r="L28" s="11" t="s">
        <v>1442</v>
      </c>
      <c r="M28" s="88"/>
    </row>
    <row r="29" spans="1:13" s="11" customFormat="1" ht="16.5" customHeight="1" x14ac:dyDescent="0.25">
      <c r="A29" s="11" t="s">
        <v>3115</v>
      </c>
      <c r="B29" s="119">
        <v>28390.1</v>
      </c>
      <c r="C29" s="13">
        <v>45894</v>
      </c>
      <c r="D29" s="86">
        <v>45902</v>
      </c>
      <c r="E29" s="141"/>
      <c r="F29" s="141"/>
      <c r="G29" s="55"/>
      <c r="L29" s="11" t="s">
        <v>1443</v>
      </c>
    </row>
    <row r="30" spans="1:13" s="11" customFormat="1" ht="16.5" customHeight="1" x14ac:dyDescent="0.25">
      <c r="A30" s="11" t="s">
        <v>3116</v>
      </c>
      <c r="B30" s="119">
        <v>28390.1</v>
      </c>
      <c r="C30" s="13">
        <v>45894</v>
      </c>
      <c r="D30" s="86">
        <v>45902</v>
      </c>
      <c r="E30" s="141"/>
      <c r="F30" s="141"/>
      <c r="G30" s="55"/>
      <c r="L30" s="11" t="s">
        <v>1444</v>
      </c>
    </row>
    <row r="31" spans="1:13" s="11" customFormat="1" ht="16.5" customHeight="1" x14ac:dyDescent="0.25">
      <c r="A31" s="11" t="s">
        <v>3117</v>
      </c>
      <c r="B31" s="119">
        <v>28390.1</v>
      </c>
      <c r="C31" s="13">
        <v>45894</v>
      </c>
      <c r="D31" s="86">
        <v>45902</v>
      </c>
      <c r="E31" s="141"/>
      <c r="F31" s="141"/>
      <c r="G31" s="55"/>
      <c r="L31" s="11" t="s">
        <v>1445</v>
      </c>
    </row>
    <row r="32" spans="1:13" s="11" customFormat="1" ht="16.5" customHeight="1" x14ac:dyDescent="0.25">
      <c r="A32" s="11" t="s">
        <v>3118</v>
      </c>
      <c r="B32" s="119">
        <v>28506.45</v>
      </c>
      <c r="C32" s="13">
        <v>45898</v>
      </c>
      <c r="D32" s="86">
        <v>45902</v>
      </c>
      <c r="E32" s="141"/>
      <c r="F32" s="141"/>
      <c r="G32" s="55"/>
      <c r="L32" s="11" t="s">
        <v>1446</v>
      </c>
      <c r="M32" s="28"/>
    </row>
    <row r="33" spans="1:13" s="11" customFormat="1" ht="16.5" customHeight="1" x14ac:dyDescent="0.25">
      <c r="A33" s="11" t="s">
        <v>3119</v>
      </c>
      <c r="B33" s="119">
        <v>28506.45</v>
      </c>
      <c r="C33" s="13">
        <v>45889</v>
      </c>
      <c r="D33" s="86">
        <v>45903</v>
      </c>
      <c r="E33" s="141"/>
      <c r="F33" s="141"/>
      <c r="G33" s="55"/>
      <c r="L33" s="11" t="s">
        <v>1447</v>
      </c>
      <c r="M33" s="28"/>
    </row>
    <row r="34" spans="1:13" s="11" customFormat="1" ht="16.5" customHeight="1" x14ac:dyDescent="0.25">
      <c r="A34" s="11" t="s">
        <v>3120</v>
      </c>
      <c r="B34" s="119">
        <v>28859.55</v>
      </c>
      <c r="C34" s="13">
        <v>45898</v>
      </c>
      <c r="D34" s="86">
        <v>45903</v>
      </c>
      <c r="E34" s="141"/>
      <c r="F34" s="141"/>
      <c r="G34" s="55"/>
      <c r="L34" s="11" t="s">
        <v>1448</v>
      </c>
      <c r="M34" s="28"/>
    </row>
    <row r="35" spans="1:13" s="11" customFormat="1" ht="16.5" customHeight="1" x14ac:dyDescent="0.25">
      <c r="A35" s="11" t="s">
        <v>3121</v>
      </c>
      <c r="B35" s="119">
        <v>29319.9</v>
      </c>
      <c r="C35" s="13">
        <v>45898</v>
      </c>
      <c r="D35" s="86">
        <v>45903</v>
      </c>
      <c r="E35" s="141"/>
      <c r="F35" s="141"/>
      <c r="G35" s="55"/>
      <c r="L35" s="11" t="s">
        <v>1449</v>
      </c>
    </row>
    <row r="36" spans="1:13" s="11" customFormat="1" ht="16.5" customHeight="1" x14ac:dyDescent="0.25">
      <c r="A36" s="11" t="s">
        <v>3122</v>
      </c>
      <c r="B36" s="119">
        <v>29319.9</v>
      </c>
      <c r="C36" s="172">
        <v>45894</v>
      </c>
      <c r="D36" s="86">
        <v>45902</v>
      </c>
      <c r="E36" s="141"/>
      <c r="F36" s="141"/>
      <c r="G36" s="55"/>
      <c r="L36" s="11" t="s">
        <v>1450</v>
      </c>
    </row>
    <row r="37" spans="1:13" s="11" customFormat="1" ht="16.5" customHeight="1" x14ac:dyDescent="0.25">
      <c r="A37" s="11" t="s">
        <v>3123</v>
      </c>
      <c r="B37" s="119">
        <v>29603.55</v>
      </c>
      <c r="C37" s="13">
        <v>45898</v>
      </c>
      <c r="D37" s="86">
        <v>45903</v>
      </c>
      <c r="E37" s="141"/>
      <c r="F37" s="141"/>
      <c r="G37" s="55"/>
      <c r="L37" s="11" t="s">
        <v>1451</v>
      </c>
    </row>
    <row r="38" spans="1:13" s="11" customFormat="1" ht="16.5" customHeight="1" x14ac:dyDescent="0.25">
      <c r="A38" s="11" t="s">
        <v>3124</v>
      </c>
      <c r="B38" s="119">
        <v>29703</v>
      </c>
      <c r="C38" s="171" t="s">
        <v>3150</v>
      </c>
      <c r="D38" s="169" t="s">
        <v>3151</v>
      </c>
      <c r="E38" s="141"/>
      <c r="F38" s="141"/>
      <c r="G38" s="55"/>
      <c r="L38" s="11" t="s">
        <v>1452</v>
      </c>
    </row>
    <row r="39" spans="1:13" s="11" customFormat="1" ht="16.5" customHeight="1" x14ac:dyDescent="0.25">
      <c r="A39" s="11" t="s">
        <v>3125</v>
      </c>
      <c r="B39" s="119">
        <v>29784.9</v>
      </c>
      <c r="C39" s="13">
        <v>45898</v>
      </c>
      <c r="D39" s="86">
        <v>45903</v>
      </c>
      <c r="E39" s="141"/>
      <c r="F39" s="141"/>
      <c r="G39" s="55"/>
      <c r="L39" s="11" t="s">
        <v>1453</v>
      </c>
    </row>
    <row r="40" spans="1:13" s="11" customFormat="1" ht="16.5" customHeight="1" x14ac:dyDescent="0.25">
      <c r="A40" s="11" t="s">
        <v>3149</v>
      </c>
      <c r="B40" s="119">
        <v>29784.9</v>
      </c>
      <c r="C40" s="13">
        <v>45898</v>
      </c>
      <c r="D40" s="86">
        <v>45903</v>
      </c>
      <c r="E40" s="141"/>
      <c r="F40" s="141"/>
      <c r="G40" s="55"/>
      <c r="L40" s="11" t="s">
        <v>1436</v>
      </c>
    </row>
    <row r="41" spans="1:13" s="11" customFormat="1" ht="16.5" customHeight="1" x14ac:dyDescent="0.25">
      <c r="A41" s="11" t="s">
        <v>3126</v>
      </c>
      <c r="B41" s="119">
        <v>29784.9</v>
      </c>
      <c r="C41" s="13">
        <v>45898</v>
      </c>
      <c r="D41" s="86">
        <v>45903</v>
      </c>
      <c r="E41" s="141"/>
      <c r="F41" s="141"/>
      <c r="G41" s="55"/>
      <c r="L41" s="11" t="s">
        <v>1454</v>
      </c>
    </row>
    <row r="42" spans="1:13" s="11" customFormat="1" ht="16.5" customHeight="1" x14ac:dyDescent="0.25">
      <c r="A42" s="11" t="s">
        <v>3127</v>
      </c>
      <c r="B42" s="119">
        <v>30245.25</v>
      </c>
      <c r="C42" s="13">
        <v>45898</v>
      </c>
      <c r="D42" s="86">
        <v>45903</v>
      </c>
      <c r="E42" s="141"/>
      <c r="F42" s="141"/>
      <c r="G42" s="55"/>
      <c r="L42" s="11" t="s">
        <v>1455</v>
      </c>
    </row>
    <row r="43" spans="1:13" s="11" customFormat="1" ht="16.5" customHeight="1" x14ac:dyDescent="0.25">
      <c r="A43" s="11" t="s">
        <v>3128</v>
      </c>
      <c r="B43" s="119">
        <v>31276</v>
      </c>
      <c r="C43" s="171" t="s">
        <v>3152</v>
      </c>
      <c r="D43" s="169" t="s">
        <v>3151</v>
      </c>
      <c r="E43" s="141"/>
      <c r="F43" s="141"/>
      <c r="G43" s="55"/>
      <c r="L43" s="11" t="s">
        <v>1456</v>
      </c>
    </row>
    <row r="44" spans="1:13" s="11" customFormat="1" ht="16.5" customHeight="1" x14ac:dyDescent="0.25">
      <c r="A44" s="11" t="s">
        <v>3129</v>
      </c>
      <c r="B44" s="119">
        <v>33505</v>
      </c>
      <c r="C44" s="171" t="s">
        <v>3152</v>
      </c>
      <c r="D44" s="169" t="s">
        <v>3151</v>
      </c>
      <c r="E44" s="141"/>
      <c r="F44" s="141"/>
      <c r="G44" s="55"/>
      <c r="L44" s="11" t="s">
        <v>1457</v>
      </c>
    </row>
    <row r="45" spans="1:13" s="11" customFormat="1" ht="16.5" customHeight="1" x14ac:dyDescent="0.25">
      <c r="A45" s="11" t="s">
        <v>3130</v>
      </c>
      <c r="B45" s="119">
        <v>35195</v>
      </c>
      <c r="C45" s="171" t="s">
        <v>3152</v>
      </c>
      <c r="D45" s="169" t="s">
        <v>3151</v>
      </c>
      <c r="E45" s="141"/>
      <c r="F45" s="141"/>
      <c r="G45" s="55"/>
      <c r="L45" s="11" t="s">
        <v>2506</v>
      </c>
    </row>
    <row r="46" spans="1:13" s="11" customFormat="1" ht="16.5" customHeight="1" x14ac:dyDescent="0.25">
      <c r="A46" s="11" t="s">
        <v>3131</v>
      </c>
      <c r="B46" s="119">
        <v>35321</v>
      </c>
      <c r="C46" s="171" t="s">
        <v>3152</v>
      </c>
      <c r="D46" s="169" t="s">
        <v>3151</v>
      </c>
      <c r="E46" s="141"/>
      <c r="F46" s="141"/>
      <c r="G46" s="55"/>
      <c r="L46" s="11" t="s">
        <v>1458</v>
      </c>
    </row>
    <row r="47" spans="1:13" s="11" customFormat="1" ht="16.5" customHeight="1" x14ac:dyDescent="0.25">
      <c r="A47" s="11" t="s">
        <v>3132</v>
      </c>
      <c r="B47" s="119">
        <v>35463</v>
      </c>
      <c r="C47" s="171" t="s">
        <v>3152</v>
      </c>
      <c r="D47" s="169" t="s">
        <v>3151</v>
      </c>
      <c r="E47" s="141"/>
      <c r="F47" s="141"/>
      <c r="G47" s="55"/>
      <c r="L47" s="11" t="s">
        <v>1368</v>
      </c>
    </row>
    <row r="48" spans="1:13" s="11" customFormat="1" ht="16.5" customHeight="1" x14ac:dyDescent="0.25">
      <c r="A48" s="11" t="s">
        <v>3133</v>
      </c>
      <c r="B48" s="119">
        <v>35636</v>
      </c>
      <c r="C48" s="171" t="s">
        <v>3152</v>
      </c>
      <c r="D48" s="169" t="s">
        <v>3151</v>
      </c>
      <c r="E48" s="141"/>
      <c r="F48" s="141"/>
      <c r="G48" s="55"/>
      <c r="L48" s="11" t="s">
        <v>1459</v>
      </c>
    </row>
    <row r="49" spans="1:12" s="11" customFormat="1" ht="16.5" customHeight="1" x14ac:dyDescent="0.25">
      <c r="A49" s="11" t="s">
        <v>3134</v>
      </c>
      <c r="B49" s="119">
        <v>36700</v>
      </c>
      <c r="C49" s="171" t="s">
        <v>3152</v>
      </c>
      <c r="D49" s="169" t="s">
        <v>3151</v>
      </c>
      <c r="E49" s="141"/>
      <c r="F49" s="141"/>
      <c r="G49" s="55"/>
      <c r="L49" s="11" t="s">
        <v>1369</v>
      </c>
    </row>
    <row r="50" spans="1:12" s="11" customFormat="1" ht="16.5" customHeight="1" x14ac:dyDescent="0.25">
      <c r="A50" s="11" t="s">
        <v>3135</v>
      </c>
      <c r="B50" s="119">
        <v>40340</v>
      </c>
      <c r="C50" s="171" t="s">
        <v>3152</v>
      </c>
      <c r="D50" s="169" t="s">
        <v>3151</v>
      </c>
      <c r="E50" s="141"/>
      <c r="F50" s="141"/>
      <c r="G50" s="55"/>
      <c r="L50" s="11" t="s">
        <v>1460</v>
      </c>
    </row>
    <row r="51" spans="1:12" s="11" customFormat="1" ht="16.5" customHeight="1" x14ac:dyDescent="0.25">
      <c r="A51" s="11" t="s">
        <v>3136</v>
      </c>
      <c r="B51" s="119">
        <v>42202.9</v>
      </c>
      <c r="C51" s="13">
        <v>45894</v>
      </c>
      <c r="D51" s="86">
        <v>45903</v>
      </c>
      <c r="E51" s="141"/>
      <c r="F51" s="141"/>
      <c r="G51" s="55"/>
    </row>
    <row r="52" spans="1:12" s="11" customFormat="1" ht="16.5" customHeight="1" x14ac:dyDescent="0.25">
      <c r="A52" s="11" t="s">
        <v>3137</v>
      </c>
      <c r="B52" s="119">
        <v>61071.3</v>
      </c>
      <c r="C52" s="13">
        <v>45896</v>
      </c>
      <c r="D52" s="86">
        <v>45905</v>
      </c>
      <c r="E52" s="141"/>
      <c r="F52" s="141"/>
      <c r="G52" s="55"/>
    </row>
    <row r="53" spans="1:12" s="11" customFormat="1" ht="16.5" customHeight="1" x14ac:dyDescent="0.25">
      <c r="A53" s="11" t="s">
        <v>3155</v>
      </c>
      <c r="B53" s="119">
        <v>61071.3</v>
      </c>
      <c r="C53" s="13">
        <v>45896</v>
      </c>
      <c r="D53" s="86">
        <v>45918</v>
      </c>
      <c r="E53" s="141"/>
      <c r="F53" s="141"/>
      <c r="G53" s="55"/>
    </row>
    <row r="54" spans="1:12" s="11" customFormat="1" ht="16.5" customHeight="1" x14ac:dyDescent="0.25">
      <c r="A54" s="11" t="s">
        <v>3138</v>
      </c>
      <c r="B54" s="119">
        <v>61071.3</v>
      </c>
      <c r="C54" s="13">
        <v>45896</v>
      </c>
      <c r="D54" s="86">
        <v>45911</v>
      </c>
      <c r="E54" s="141"/>
      <c r="F54" s="141"/>
      <c r="G54" s="55"/>
    </row>
    <row r="55" spans="1:12" s="11" customFormat="1" ht="15.75" customHeight="1" x14ac:dyDescent="0.25">
      <c r="A55" s="11" t="s">
        <v>3139</v>
      </c>
      <c r="B55" s="119">
        <v>61071.3</v>
      </c>
      <c r="C55" s="13">
        <v>45896</v>
      </c>
      <c r="D55" s="86">
        <v>45905</v>
      </c>
      <c r="E55" s="141"/>
      <c r="F55" s="141"/>
      <c r="G55" s="55"/>
    </row>
    <row r="56" spans="1:12" s="11" customFormat="1" ht="16.5" customHeight="1" x14ac:dyDescent="0.25">
      <c r="A56" s="11" t="s">
        <v>3140</v>
      </c>
      <c r="B56" s="119">
        <v>61485.15</v>
      </c>
      <c r="C56" s="13">
        <v>45887</v>
      </c>
      <c r="D56" s="86">
        <v>45902</v>
      </c>
      <c r="E56" s="141"/>
      <c r="F56" s="141"/>
      <c r="G56" s="55"/>
    </row>
    <row r="57" spans="1:12" s="11" customFormat="1" ht="16.5" customHeight="1" x14ac:dyDescent="0.25">
      <c r="A57" s="11" t="s">
        <v>3141</v>
      </c>
      <c r="B57" s="119">
        <v>64386.75</v>
      </c>
      <c r="C57" s="13">
        <v>45897</v>
      </c>
      <c r="D57" s="86">
        <v>45902</v>
      </c>
      <c r="E57" s="141"/>
      <c r="F57" s="141"/>
      <c r="G57" s="55"/>
    </row>
    <row r="58" spans="1:12" s="11" customFormat="1" ht="16.5" customHeight="1" x14ac:dyDescent="0.25">
      <c r="A58" s="11" t="s">
        <v>3142</v>
      </c>
      <c r="B58" s="119">
        <v>64386.75</v>
      </c>
      <c r="C58" s="13">
        <v>45897</v>
      </c>
      <c r="D58" s="86">
        <v>45902</v>
      </c>
      <c r="E58" s="141"/>
      <c r="F58" s="141"/>
      <c r="G58" s="55"/>
    </row>
    <row r="59" spans="1:12" s="11" customFormat="1" ht="16.5" customHeight="1" x14ac:dyDescent="0.25">
      <c r="A59" s="11" t="s">
        <v>3143</v>
      </c>
      <c r="B59" s="119">
        <v>64847.1</v>
      </c>
      <c r="C59" s="13">
        <v>45897</v>
      </c>
      <c r="D59" s="91">
        <v>4200</v>
      </c>
      <c r="E59" s="141"/>
      <c r="F59" s="141"/>
      <c r="G59" s="55"/>
    </row>
    <row r="60" spans="1:12" s="11" customFormat="1" ht="16.5" customHeight="1" x14ac:dyDescent="0.25">
      <c r="A60" s="11" t="s">
        <v>3144</v>
      </c>
      <c r="B60" s="119">
        <v>71915</v>
      </c>
      <c r="C60" s="13">
        <v>45811</v>
      </c>
      <c r="D60" s="86">
        <v>45904</v>
      </c>
      <c r="E60" s="141"/>
      <c r="F60" s="141"/>
      <c r="G60" s="55"/>
    </row>
    <row r="61" spans="1:12" s="11" customFormat="1" ht="16.5" customHeight="1" x14ac:dyDescent="0.25">
      <c r="A61" s="11" t="s">
        <v>3145</v>
      </c>
      <c r="B61" s="119">
        <v>85712.5</v>
      </c>
      <c r="C61" s="13">
        <v>45887</v>
      </c>
      <c r="D61" s="86">
        <v>45903</v>
      </c>
      <c r="E61" s="141"/>
      <c r="F61" s="141"/>
      <c r="G61" s="55"/>
    </row>
    <row r="62" spans="1:12" s="11" customFormat="1" ht="16.5" customHeight="1" x14ac:dyDescent="0.25">
      <c r="A62" s="11" t="s">
        <v>3146</v>
      </c>
      <c r="B62" s="119">
        <v>85712.5</v>
      </c>
      <c r="C62" s="13">
        <v>45894</v>
      </c>
      <c r="D62" s="86">
        <v>45911</v>
      </c>
      <c r="E62" s="141"/>
      <c r="F62" s="141"/>
      <c r="G62" s="55"/>
    </row>
    <row r="63" spans="1:12" s="11" customFormat="1" ht="16.5" customHeight="1" x14ac:dyDescent="0.25">
      <c r="A63" s="11" t="s">
        <v>3147</v>
      </c>
      <c r="B63" s="119">
        <v>88135.95</v>
      </c>
      <c r="C63" s="13">
        <v>45897</v>
      </c>
      <c r="D63" s="86">
        <v>45902</v>
      </c>
      <c r="E63" s="141"/>
      <c r="F63" s="141"/>
      <c r="G63" s="55"/>
    </row>
    <row r="64" spans="1:12" s="11" customFormat="1" ht="16.5" customHeight="1" thickBot="1" x14ac:dyDescent="0.3">
      <c r="B64" s="119"/>
      <c r="C64" s="51"/>
      <c r="D64" s="86"/>
      <c r="E64" s="141"/>
      <c r="F64" s="141"/>
      <c r="G64" s="55"/>
    </row>
    <row r="65" spans="1:7" s="11" customFormat="1" ht="16.5" thickBot="1" x14ac:dyDescent="0.3">
      <c r="B65" s="25">
        <f>SUM(B25:B64)</f>
        <v>1673538.7500000002</v>
      </c>
      <c r="C65" s="174" t="s">
        <v>1368</v>
      </c>
      <c r="D65" s="28"/>
      <c r="E65" s="141"/>
      <c r="F65" s="141"/>
      <c r="G65" s="55"/>
    </row>
    <row r="66" spans="1:7" s="11" customFormat="1" ht="15.75" x14ac:dyDescent="0.25">
      <c r="A66" s="11" t="s">
        <v>1</v>
      </c>
      <c r="B66" s="17">
        <f>B65+B23</f>
        <v>1179483.5000000002</v>
      </c>
      <c r="D66" s="28"/>
      <c r="E66" s="141"/>
      <c r="F66" s="141"/>
      <c r="G66" s="55"/>
    </row>
    <row r="67" spans="1:7" s="11" customFormat="1" ht="15.75" x14ac:dyDescent="0.25">
      <c r="A67" s="11" t="s">
        <v>0</v>
      </c>
      <c r="B67" s="17">
        <f>B66-B7</f>
        <v>0</v>
      </c>
      <c r="D67" s="28"/>
      <c r="E67" s="141"/>
      <c r="F67" s="141"/>
      <c r="G67" s="55"/>
    </row>
    <row r="68" spans="1:7" s="11" customFormat="1" ht="15.75" x14ac:dyDescent="0.25">
      <c r="D68" s="28"/>
      <c r="E68" s="141"/>
      <c r="F68" s="141"/>
      <c r="G68" s="55"/>
    </row>
    <row r="69" spans="1:7" s="11" customFormat="1" ht="15.75" x14ac:dyDescent="0.25">
      <c r="D69" s="28"/>
      <c r="E69" s="141"/>
      <c r="F69" s="141"/>
      <c r="G69" s="55"/>
    </row>
    <row r="70" spans="1:7" s="11" customFormat="1" ht="15.75" x14ac:dyDescent="0.25">
      <c r="D70" s="28"/>
      <c r="E70" s="141"/>
      <c r="F70" s="141"/>
      <c r="G70" s="55"/>
    </row>
    <row r="71" spans="1:7" s="11" customFormat="1" ht="15.75" x14ac:dyDescent="0.25">
      <c r="D71" s="28"/>
      <c r="E71" s="141"/>
      <c r="F71" s="141"/>
      <c r="G71" s="55"/>
    </row>
    <row r="72" spans="1:7" s="11" customFormat="1" ht="15.75" x14ac:dyDescent="0.25">
      <c r="D72" s="28"/>
      <c r="E72" s="141"/>
      <c r="F72" s="141"/>
      <c r="G72" s="55"/>
    </row>
    <row r="73" spans="1:7" s="11" customFormat="1" ht="15.75" x14ac:dyDescent="0.25">
      <c r="D73" s="28"/>
      <c r="E73" s="141"/>
      <c r="F73" s="141"/>
      <c r="G73" s="55"/>
    </row>
    <row r="74" spans="1:7" s="11" customFormat="1" ht="15.75" x14ac:dyDescent="0.25">
      <c r="D74" s="28"/>
      <c r="E74" s="141"/>
      <c r="F74" s="141"/>
      <c r="G74" s="55"/>
    </row>
    <row r="75" spans="1:7" s="11" customFormat="1" ht="15.75" x14ac:dyDescent="0.25">
      <c r="D75" s="28"/>
      <c r="E75" s="141"/>
      <c r="F75" s="141"/>
      <c r="G75" s="55"/>
    </row>
    <row r="76" spans="1:7" s="11" customFormat="1" ht="15.75" x14ac:dyDescent="0.25">
      <c r="D76" s="28"/>
      <c r="E76" s="141"/>
      <c r="F76" s="141"/>
      <c r="G76" s="55"/>
    </row>
    <row r="77" spans="1:7" s="11" customFormat="1" ht="15.75" x14ac:dyDescent="0.25">
      <c r="D77" s="28"/>
      <c r="E77" s="141"/>
      <c r="F77" s="141"/>
      <c r="G77" s="55"/>
    </row>
    <row r="78" spans="1:7" s="11" customFormat="1" ht="15.75" x14ac:dyDescent="0.25">
      <c r="D78" s="28"/>
      <c r="E78" s="141"/>
      <c r="F78" s="141"/>
      <c r="G78" s="55"/>
    </row>
    <row r="79" spans="1:7" s="11" customFormat="1" ht="15.95" customHeight="1" x14ac:dyDescent="0.25">
      <c r="D79" s="28"/>
      <c r="E79" s="141"/>
      <c r="F79" s="141"/>
    </row>
    <row r="80" spans="1:7" s="11" customFormat="1" ht="15.95" customHeight="1" x14ac:dyDescent="0.25">
      <c r="D80" s="28"/>
      <c r="E80" s="141"/>
      <c r="F80" s="141"/>
    </row>
    <row r="81" spans="1:8" s="11" customFormat="1" ht="15.95" customHeight="1" x14ac:dyDescent="0.25">
      <c r="D81" s="28"/>
      <c r="E81" s="141"/>
      <c r="F81" s="141"/>
    </row>
    <row r="82" spans="1:8" s="11" customFormat="1" ht="15.95" customHeight="1" x14ac:dyDescent="0.25">
      <c r="D82" s="28"/>
      <c r="E82" s="141"/>
      <c r="F82" s="141"/>
    </row>
    <row r="83" spans="1:8" s="11" customFormat="1" ht="15.95" customHeight="1" x14ac:dyDescent="0.25">
      <c r="D83" s="28"/>
      <c r="E83" s="141"/>
      <c r="F83" s="141"/>
    </row>
    <row r="84" spans="1:8" s="11" customFormat="1" ht="15.95" customHeight="1" x14ac:dyDescent="0.25">
      <c r="B84" s="17"/>
      <c r="D84" s="28"/>
      <c r="E84" s="141"/>
      <c r="F84" s="141"/>
    </row>
    <row r="85" spans="1:8" s="11" customFormat="1" ht="15.95" customHeight="1" x14ac:dyDescent="0.25">
      <c r="A85" s="39"/>
      <c r="B85" s="93"/>
      <c r="C85" s="18"/>
      <c r="D85" s="18"/>
      <c r="E85" s="141"/>
      <c r="F85" s="141"/>
    </row>
    <row r="86" spans="1:8" s="11" customFormat="1" ht="15.95" customHeight="1" x14ac:dyDescent="0.3">
      <c r="A86" s="1"/>
      <c r="B86" s="10"/>
      <c r="C86" s="13"/>
      <c r="D86" s="47"/>
      <c r="E86" s="141"/>
      <c r="F86" s="141"/>
    </row>
    <row r="87" spans="1:8" s="11" customFormat="1" ht="15.95" customHeight="1" x14ac:dyDescent="0.3">
      <c r="A87" s="1"/>
      <c r="B87" s="10"/>
      <c r="C87" s="13"/>
      <c r="D87" s="47"/>
      <c r="E87" s="141"/>
      <c r="F87" s="141"/>
    </row>
    <row r="88" spans="1:8" s="11" customFormat="1" ht="15.95" customHeight="1" x14ac:dyDescent="0.3">
      <c r="A88" s="1"/>
      <c r="B88" s="10"/>
      <c r="C88" s="13"/>
      <c r="D88" s="47"/>
      <c r="E88" s="141"/>
      <c r="F88" s="141"/>
    </row>
    <row r="89" spans="1:8" s="11" customFormat="1" ht="15.95" customHeight="1" x14ac:dyDescent="0.25">
      <c r="D89" s="28"/>
      <c r="E89" s="141"/>
      <c r="F89" s="141"/>
    </row>
    <row r="90" spans="1:8" s="11" customFormat="1" ht="15.95" customHeight="1" x14ac:dyDescent="0.25">
      <c r="D90" s="28"/>
      <c r="E90" s="141"/>
      <c r="F90" s="141"/>
    </row>
    <row r="91" spans="1:8" s="11" customFormat="1" ht="15.95" customHeight="1" x14ac:dyDescent="0.25">
      <c r="D91" s="28"/>
      <c r="E91" s="141"/>
      <c r="F91" s="141"/>
    </row>
    <row r="92" spans="1:8" s="11" customFormat="1" ht="15.95" customHeight="1" x14ac:dyDescent="0.25">
      <c r="D92" s="28"/>
      <c r="E92" s="141"/>
      <c r="F92" s="141"/>
    </row>
    <row r="93" spans="1:8" s="11" customFormat="1" ht="15.95" customHeight="1" x14ac:dyDescent="0.25">
      <c r="D93" s="28"/>
      <c r="E93" s="141"/>
      <c r="F93" s="141"/>
    </row>
    <row r="94" spans="1:8" s="11" customFormat="1" ht="15.95" customHeight="1" x14ac:dyDescent="0.25">
      <c r="D94" s="28"/>
      <c r="E94" s="141"/>
      <c r="F94" s="141"/>
      <c r="H94" s="88"/>
    </row>
    <row r="95" spans="1:8" s="11" customFormat="1" ht="15.95" customHeight="1" x14ac:dyDescent="0.25">
      <c r="D95" s="28"/>
      <c r="E95" s="141"/>
      <c r="F95" s="141"/>
      <c r="H95" s="88"/>
    </row>
    <row r="96" spans="1:8" s="11" customFormat="1" ht="15.95" customHeight="1" x14ac:dyDescent="0.25">
      <c r="D96" s="28"/>
      <c r="E96" s="141"/>
      <c r="F96" s="141"/>
      <c r="G96" s="126"/>
      <c r="H96" s="88"/>
    </row>
    <row r="97" spans="1:19" s="11" customFormat="1" ht="15.95" customHeight="1" x14ac:dyDescent="0.25">
      <c r="D97" s="28"/>
      <c r="E97" s="141"/>
      <c r="F97" s="141"/>
      <c r="H97" s="88"/>
    </row>
    <row r="98" spans="1:19" s="11" customFormat="1" ht="20.100000000000001" customHeight="1" x14ac:dyDescent="0.25">
      <c r="D98" s="28"/>
      <c r="E98" s="141"/>
      <c r="F98" s="141"/>
      <c r="H98" s="88"/>
    </row>
    <row r="99" spans="1:19" s="11" customFormat="1" ht="20.100000000000001" customHeight="1" x14ac:dyDescent="0.25">
      <c r="D99" s="28"/>
      <c r="E99" s="141"/>
      <c r="F99" s="141"/>
      <c r="H99" s="88"/>
    </row>
    <row r="100" spans="1:19" s="11" customFormat="1" ht="20.100000000000001" customHeight="1" x14ac:dyDescent="0.25">
      <c r="D100" s="28"/>
      <c r="E100" s="141"/>
      <c r="F100" s="141"/>
      <c r="G100" s="126"/>
      <c r="H100" s="88"/>
    </row>
    <row r="101" spans="1:19" s="11" customFormat="1" ht="20.100000000000001" customHeight="1" x14ac:dyDescent="0.25">
      <c r="D101" s="28"/>
      <c r="E101" s="141"/>
      <c r="F101" s="141"/>
      <c r="H101" s="88"/>
    </row>
    <row r="102" spans="1:19" s="13" customFormat="1" ht="20.100000000000001" customHeight="1" x14ac:dyDescent="0.3">
      <c r="A102" s="1"/>
      <c r="B102" s="10"/>
      <c r="D102" s="47"/>
      <c r="E102" s="141"/>
      <c r="F102" s="141"/>
      <c r="H102" s="88"/>
      <c r="I102" s="11"/>
    </row>
    <row r="103" spans="1:19" s="13" customFormat="1" ht="20.100000000000001" customHeight="1" x14ac:dyDescent="0.3">
      <c r="A103" s="1"/>
      <c r="B103" s="10"/>
      <c r="D103" s="47"/>
      <c r="E103" s="141"/>
      <c r="F103" s="141"/>
      <c r="H103" s="88"/>
      <c r="I103" s="11"/>
    </row>
    <row r="104" spans="1:19" s="13" customFormat="1" ht="20.100000000000001" customHeight="1" x14ac:dyDescent="0.3">
      <c r="A104" s="1"/>
      <c r="B104" s="10"/>
      <c r="D104" s="47"/>
      <c r="E104" s="141"/>
      <c r="F104" s="141"/>
      <c r="H104" s="88"/>
      <c r="I104" s="11"/>
    </row>
    <row r="105" spans="1:19" s="90" customFormat="1" ht="20.100000000000001" customHeight="1" x14ac:dyDescent="0.3">
      <c r="A105" s="1"/>
      <c r="B105" s="10"/>
      <c r="C105" s="13"/>
      <c r="D105" s="116"/>
      <c r="E105" s="141"/>
      <c r="F105" s="141"/>
      <c r="G105" s="1"/>
      <c r="I105" s="1"/>
      <c r="J105" s="1"/>
      <c r="K105" s="1"/>
      <c r="M105" s="1"/>
      <c r="N105" s="1"/>
      <c r="O105" s="1"/>
      <c r="P105" s="1"/>
      <c r="Q105" s="1"/>
      <c r="R105" s="1"/>
      <c r="S105" s="1"/>
    </row>
    <row r="106" spans="1:19" s="90" customFormat="1" ht="20.100000000000001" customHeight="1" x14ac:dyDescent="0.3">
      <c r="A106" s="1"/>
      <c r="B106" s="10"/>
      <c r="C106" s="13"/>
      <c r="D106" s="116"/>
      <c r="E106" s="141"/>
      <c r="F106" s="141"/>
      <c r="G106" s="1"/>
      <c r="I106" s="1"/>
      <c r="J106" s="1"/>
      <c r="K106" s="1"/>
      <c r="M106" s="1"/>
      <c r="N106" s="1"/>
      <c r="O106" s="1"/>
      <c r="P106" s="1"/>
      <c r="Q106" s="1"/>
      <c r="R106" s="1"/>
      <c r="S106" s="1"/>
    </row>
    <row r="107" spans="1:19" s="90" customFormat="1" ht="20.100000000000001" customHeight="1" x14ac:dyDescent="0.3">
      <c r="A107" s="1"/>
      <c r="B107" s="10"/>
      <c r="C107" s="13"/>
      <c r="D107" s="116"/>
      <c r="E107" s="141"/>
      <c r="F107" s="141"/>
      <c r="G107" s="1"/>
      <c r="I107" s="1"/>
      <c r="J107" s="1"/>
      <c r="K107" s="1"/>
      <c r="M107" s="1"/>
      <c r="N107" s="1"/>
      <c r="O107" s="1"/>
      <c r="P107" s="1"/>
      <c r="Q107" s="1"/>
      <c r="R107" s="1"/>
      <c r="S107" s="1"/>
    </row>
    <row r="108" spans="1:19" s="90" customFormat="1" ht="20.100000000000001" customHeight="1" x14ac:dyDescent="0.3">
      <c r="A108" s="1"/>
      <c r="B108" s="10"/>
      <c r="C108" s="13"/>
      <c r="D108" s="116"/>
      <c r="E108" s="141"/>
      <c r="F108" s="141"/>
      <c r="G108" s="11"/>
      <c r="I108" s="1"/>
      <c r="J108" s="1"/>
      <c r="K108" s="1"/>
      <c r="M108" s="1"/>
      <c r="N108" s="1"/>
      <c r="O108" s="1"/>
      <c r="P108" s="1"/>
      <c r="Q108" s="1"/>
      <c r="R108" s="1"/>
      <c r="S108" s="1"/>
    </row>
  </sheetData>
  <pageMargins left="0.7" right="0.7" top="0.75" bottom="0.75" header="0.3" footer="0.3"/>
  <pageSetup scale="63"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2E566-8FCA-451C-B53A-3BC99FD068C8}">
  <sheetPr>
    <pageSetUpPr fitToPage="1"/>
  </sheetPr>
  <dimension ref="A1:S183"/>
  <sheetViews>
    <sheetView topLeftCell="A60" zoomScale="85" zoomScaleNormal="85" workbookViewId="0">
      <selection activeCell="G17" sqref="G17"/>
    </sheetView>
  </sheetViews>
  <sheetFormatPr defaultRowHeight="18.75" x14ac:dyDescent="0.3"/>
  <cols>
    <col min="1" max="1" width="20.7109375" style="1" customWidth="1"/>
    <col min="2" max="2" width="16.85546875" style="10" customWidth="1"/>
    <col min="3" max="3" width="28.7109375" style="13" bestFit="1" customWidth="1"/>
    <col min="4" max="4" width="31.28515625" style="178" bestFit="1" customWidth="1"/>
    <col min="5" max="5" width="9.7109375" style="141" customWidth="1"/>
    <col min="6" max="6" width="16.5703125" style="141" customWidth="1"/>
    <col min="7" max="7" width="35" style="1" bestFit="1" customWidth="1"/>
    <col min="8" max="8" width="5.5703125" style="90" bestFit="1" customWidth="1"/>
    <col min="9" max="11" width="9.140625" style="1"/>
    <col min="12" max="12" width="57.5703125" style="1" bestFit="1" customWidth="1"/>
    <col min="13" max="16384" width="9.140625" style="1"/>
  </cols>
  <sheetData>
    <row r="1" spans="1:19" s="11" customFormat="1" ht="20.100000000000001" customHeight="1" x14ac:dyDescent="0.25">
      <c r="A1" s="11" t="s">
        <v>1203</v>
      </c>
      <c r="B1" s="17"/>
      <c r="C1" s="13"/>
      <c r="D1" s="84"/>
      <c r="E1" s="141"/>
      <c r="H1" s="88"/>
      <c r="L1" s="129" t="s">
        <v>1457</v>
      </c>
    </row>
    <row r="2" spans="1:19" s="11" customFormat="1" ht="20.100000000000001" customHeight="1" thickBot="1" x14ac:dyDescent="0.3">
      <c r="A2" s="14">
        <v>45930</v>
      </c>
      <c r="B2" s="17"/>
      <c r="C2" s="13"/>
      <c r="D2" s="84"/>
      <c r="E2" s="141"/>
      <c r="H2" s="88"/>
      <c r="L2" s="131" t="s">
        <v>1369</v>
      </c>
    </row>
    <row r="3" spans="1:19" s="11" customFormat="1" ht="20.100000000000001" customHeight="1" x14ac:dyDescent="0.25">
      <c r="A3" s="11" t="s">
        <v>311</v>
      </c>
      <c r="B3" s="17">
        <v>36150066.619999997</v>
      </c>
      <c r="C3" s="13"/>
      <c r="D3" s="84"/>
      <c r="E3" s="141"/>
      <c r="H3" s="88"/>
      <c r="M3" s="89"/>
    </row>
    <row r="4" spans="1:19" s="11" customFormat="1" ht="20.100000000000001" customHeight="1" x14ac:dyDescent="0.25">
      <c r="A4" s="11" t="s">
        <v>6</v>
      </c>
      <c r="B4" s="17"/>
      <c r="C4" s="13"/>
      <c r="D4" s="84"/>
      <c r="E4" s="141"/>
      <c r="H4" s="88"/>
      <c r="M4" s="89"/>
    </row>
    <row r="5" spans="1:19" s="11" customFormat="1" ht="20.100000000000001" customHeight="1" x14ac:dyDescent="0.25">
      <c r="A5" s="11">
        <v>2100</v>
      </c>
      <c r="B5" s="17">
        <v>-29746051.469999999</v>
      </c>
      <c r="C5" s="13"/>
      <c r="D5" s="84"/>
      <c r="E5" s="141"/>
      <c r="H5" s="88"/>
      <c r="M5" s="89"/>
    </row>
    <row r="6" spans="1:19" s="11" customFormat="1" ht="20.100000000000001" customHeight="1" x14ac:dyDescent="0.25">
      <c r="A6" s="11" t="s">
        <v>5</v>
      </c>
      <c r="B6" s="17">
        <f>SUM(B5)</f>
        <v>-29746051.469999999</v>
      </c>
      <c r="C6" s="13"/>
      <c r="D6" s="84"/>
      <c r="E6" s="141"/>
      <c r="H6" s="88"/>
      <c r="M6" s="89"/>
      <c r="O6" s="62"/>
      <c r="P6" s="62"/>
      <c r="Q6" s="62"/>
      <c r="R6" s="62"/>
      <c r="S6" s="62"/>
    </row>
    <row r="7" spans="1:19" s="11" customFormat="1" ht="20.100000000000001" customHeight="1" x14ac:dyDescent="0.25">
      <c r="A7" s="11" t="s">
        <v>4</v>
      </c>
      <c r="B7" s="17">
        <f>B6+B3</f>
        <v>6404015.1499999985</v>
      </c>
      <c r="C7" s="13"/>
      <c r="D7" s="84"/>
      <c r="E7" s="141"/>
      <c r="H7" s="88"/>
      <c r="M7" s="88"/>
    </row>
    <row r="8" spans="1:19" s="11" customFormat="1" ht="15.95" customHeight="1" x14ac:dyDescent="0.25">
      <c r="A8" s="11" t="s">
        <v>3</v>
      </c>
      <c r="B8" s="17"/>
      <c r="C8" s="44" t="s">
        <v>628</v>
      </c>
      <c r="D8" s="175" t="s">
        <v>626</v>
      </c>
      <c r="E8" s="141"/>
      <c r="H8" s="88"/>
      <c r="M8" s="88"/>
    </row>
    <row r="9" spans="1:19" s="11" customFormat="1" ht="15.75" x14ac:dyDescent="0.25">
      <c r="A9" s="160" t="s">
        <v>3156</v>
      </c>
      <c r="B9" s="161">
        <v>-30912</v>
      </c>
      <c r="C9" s="164" t="s">
        <v>3287</v>
      </c>
      <c r="D9" s="176" t="s">
        <v>2411</v>
      </c>
      <c r="E9" s="160"/>
      <c r="F9" s="141"/>
      <c r="G9" s="55"/>
      <c r="M9" s="88"/>
    </row>
    <row r="10" spans="1:19" s="11" customFormat="1" ht="15.75" x14ac:dyDescent="0.25">
      <c r="A10" s="160" t="s">
        <v>3157</v>
      </c>
      <c r="B10" s="161">
        <v>-31037</v>
      </c>
      <c r="C10" s="164" t="s">
        <v>3288</v>
      </c>
      <c r="D10" s="176" t="s">
        <v>2411</v>
      </c>
      <c r="E10" s="160"/>
      <c r="F10" s="141"/>
      <c r="G10" s="55"/>
      <c r="M10" s="88"/>
    </row>
    <row r="11" spans="1:19" s="11" customFormat="1" ht="15.75" x14ac:dyDescent="0.25">
      <c r="A11" s="160" t="s">
        <v>3158</v>
      </c>
      <c r="B11" s="161">
        <v>-35779</v>
      </c>
      <c r="C11" s="164" t="s">
        <v>3289</v>
      </c>
      <c r="D11" s="176" t="s">
        <v>2411</v>
      </c>
      <c r="E11" s="160"/>
      <c r="F11" s="141"/>
      <c r="G11" s="55"/>
      <c r="M11" s="88"/>
    </row>
    <row r="12" spans="1:19" s="11" customFormat="1" ht="15.75" x14ac:dyDescent="0.25">
      <c r="A12" s="160" t="s">
        <v>3159</v>
      </c>
      <c r="B12" s="161">
        <v>-35779</v>
      </c>
      <c r="C12" s="164" t="s">
        <v>3290</v>
      </c>
      <c r="D12" s="176" t="s">
        <v>2411</v>
      </c>
      <c r="E12" s="160"/>
      <c r="F12" s="141"/>
      <c r="G12" s="55"/>
      <c r="M12" s="88"/>
    </row>
    <row r="13" spans="1:19" s="11" customFormat="1" ht="15.75" x14ac:dyDescent="0.25">
      <c r="A13" s="160" t="s">
        <v>3160</v>
      </c>
      <c r="B13" s="161">
        <v>-37988</v>
      </c>
      <c r="C13" s="164" t="s">
        <v>3291</v>
      </c>
      <c r="D13" s="176" t="s">
        <v>2411</v>
      </c>
      <c r="E13" s="160"/>
      <c r="F13" s="141"/>
      <c r="G13" s="55"/>
      <c r="M13" s="88"/>
    </row>
    <row r="14" spans="1:19" s="11" customFormat="1" ht="15.75" x14ac:dyDescent="0.25">
      <c r="A14" s="160" t="s">
        <v>3161</v>
      </c>
      <c r="B14" s="161">
        <v>-38166</v>
      </c>
      <c r="C14" s="164" t="s">
        <v>3290</v>
      </c>
      <c r="D14" s="176" t="s">
        <v>2411</v>
      </c>
      <c r="E14" s="160"/>
      <c r="F14" s="141"/>
      <c r="G14" s="55"/>
      <c r="M14" s="88"/>
    </row>
    <row r="15" spans="1:19" s="11" customFormat="1" ht="15.75" x14ac:dyDescent="0.25">
      <c r="A15" s="160" t="s">
        <v>3162</v>
      </c>
      <c r="B15" s="161">
        <v>-41081</v>
      </c>
      <c r="C15" s="164" t="s">
        <v>3289</v>
      </c>
      <c r="D15" s="176" t="s">
        <v>2411</v>
      </c>
      <c r="E15" s="160"/>
      <c r="F15" s="141"/>
      <c r="G15" s="55"/>
      <c r="M15" s="88"/>
    </row>
    <row r="16" spans="1:19" s="11" customFormat="1" ht="15.75" x14ac:dyDescent="0.25">
      <c r="A16" s="160" t="s">
        <v>3163</v>
      </c>
      <c r="B16" s="161">
        <v>-41728</v>
      </c>
      <c r="C16" s="164" t="s">
        <v>3288</v>
      </c>
      <c r="D16" s="176" t="s">
        <v>2411</v>
      </c>
      <c r="E16" s="160"/>
      <c r="F16" s="141"/>
      <c r="G16" s="55"/>
      <c r="M16" s="88"/>
    </row>
    <row r="17" spans="1:13" s="11" customFormat="1" ht="15.75" x14ac:dyDescent="0.25">
      <c r="A17" s="160" t="s">
        <v>3164</v>
      </c>
      <c r="B17" s="161">
        <v>-44181</v>
      </c>
      <c r="C17" s="164" t="s">
        <v>3288</v>
      </c>
      <c r="D17" s="176" t="s">
        <v>2411</v>
      </c>
      <c r="E17" s="160"/>
      <c r="F17" s="141"/>
      <c r="G17" s="55"/>
      <c r="M17" s="88"/>
    </row>
    <row r="18" spans="1:13" s="11" customFormat="1" ht="15.75" x14ac:dyDescent="0.25">
      <c r="A18" s="160"/>
      <c r="B18" s="161"/>
      <c r="C18" s="164"/>
      <c r="D18" s="176"/>
      <c r="E18" s="160"/>
      <c r="F18" s="141"/>
      <c r="G18" s="55"/>
      <c r="M18" s="88"/>
    </row>
    <row r="19" spans="1:13" s="11" customFormat="1" ht="15.75" x14ac:dyDescent="0.25">
      <c r="B19" s="25">
        <f>SUM(B9:B18)</f>
        <v>-336651</v>
      </c>
      <c r="C19" s="28"/>
      <c r="D19" s="14"/>
      <c r="E19" s="141"/>
      <c r="F19" s="141"/>
      <c r="G19" s="55"/>
      <c r="L19" s="11" t="s">
        <v>1437</v>
      </c>
    </row>
    <row r="20" spans="1:13" s="11" customFormat="1" ht="16.5" customHeight="1" x14ac:dyDescent="0.25">
      <c r="A20" s="11" t="s">
        <v>2</v>
      </c>
      <c r="B20" s="25"/>
      <c r="C20" s="52" t="s">
        <v>626</v>
      </c>
      <c r="D20" s="177" t="s">
        <v>628</v>
      </c>
      <c r="E20" s="141"/>
      <c r="F20" s="141"/>
      <c r="G20" s="55"/>
      <c r="L20" s="11" t="s">
        <v>1438</v>
      </c>
    </row>
    <row r="21" spans="1:13" s="11" customFormat="1" ht="16.5" customHeight="1" x14ac:dyDescent="0.25">
      <c r="A21" s="11" t="s">
        <v>3172</v>
      </c>
      <c r="B21" s="119">
        <v>27557.75</v>
      </c>
      <c r="C21" s="13">
        <v>45905</v>
      </c>
      <c r="D21" s="86">
        <v>45936</v>
      </c>
      <c r="E21" s="141"/>
      <c r="F21" s="141"/>
      <c r="G21" s="55"/>
      <c r="L21" s="11" t="s">
        <v>1439</v>
      </c>
    </row>
    <row r="22" spans="1:13" s="11" customFormat="1" ht="16.5" customHeight="1" x14ac:dyDescent="0.25">
      <c r="A22" s="11" t="s">
        <v>3173</v>
      </c>
      <c r="B22" s="119">
        <v>28506.45</v>
      </c>
      <c r="C22" s="13">
        <v>45925</v>
      </c>
      <c r="D22" s="86">
        <v>45931</v>
      </c>
      <c r="E22" s="141"/>
      <c r="F22" s="141"/>
      <c r="G22" s="55"/>
      <c r="L22" s="11" t="s">
        <v>1440</v>
      </c>
    </row>
    <row r="23" spans="1:13" s="11" customFormat="1" ht="16.5" customHeight="1" x14ac:dyDescent="0.25">
      <c r="A23" s="11" t="s">
        <v>3174</v>
      </c>
      <c r="B23" s="119">
        <v>28506.45</v>
      </c>
      <c r="C23" s="13">
        <v>45925</v>
      </c>
      <c r="D23" s="86">
        <v>45931</v>
      </c>
      <c r="E23" s="141"/>
      <c r="F23" s="141"/>
      <c r="G23" s="55"/>
      <c r="L23" s="11" t="s">
        <v>1441</v>
      </c>
    </row>
    <row r="24" spans="1:13" s="11" customFormat="1" ht="16.5" customHeight="1" x14ac:dyDescent="0.25">
      <c r="A24" s="11" t="s">
        <v>3175</v>
      </c>
      <c r="B24" s="119">
        <v>28506.45</v>
      </c>
      <c r="C24" s="13">
        <v>45925</v>
      </c>
      <c r="D24" s="86">
        <v>45931</v>
      </c>
      <c r="E24" s="141"/>
      <c r="F24" s="141"/>
      <c r="G24" s="55"/>
      <c r="L24" s="11" t="s">
        <v>1442</v>
      </c>
      <c r="M24" s="88"/>
    </row>
    <row r="25" spans="1:13" s="11" customFormat="1" ht="16.5" customHeight="1" x14ac:dyDescent="0.25">
      <c r="A25" s="11" t="s">
        <v>3176</v>
      </c>
      <c r="B25" s="119">
        <v>28859.55</v>
      </c>
      <c r="C25" s="13">
        <v>45925</v>
      </c>
      <c r="D25" s="86">
        <v>45931</v>
      </c>
      <c r="E25" s="141"/>
      <c r="F25" s="141"/>
      <c r="G25" s="55"/>
      <c r="L25" s="11" t="s">
        <v>1443</v>
      </c>
    </row>
    <row r="26" spans="1:13" s="11" customFormat="1" ht="16.5" customHeight="1" x14ac:dyDescent="0.25">
      <c r="A26" s="11" t="s">
        <v>3177</v>
      </c>
      <c r="B26" s="119">
        <v>28859.55</v>
      </c>
      <c r="C26" s="13">
        <v>45925</v>
      </c>
      <c r="D26" s="86">
        <v>45931</v>
      </c>
      <c r="E26" s="141"/>
      <c r="F26" s="172"/>
      <c r="G26" s="55"/>
      <c r="L26" s="11" t="s">
        <v>1444</v>
      </c>
    </row>
    <row r="27" spans="1:13" s="11" customFormat="1" ht="16.5" customHeight="1" x14ac:dyDescent="0.25">
      <c r="A27" s="11" t="s">
        <v>3178</v>
      </c>
      <c r="B27" s="119">
        <v>28859.55</v>
      </c>
      <c r="C27" s="13">
        <v>45919</v>
      </c>
      <c r="D27" s="86">
        <v>45931</v>
      </c>
      <c r="E27" s="141"/>
      <c r="F27" s="141"/>
      <c r="G27" s="55"/>
      <c r="L27" s="11" t="s">
        <v>1445</v>
      </c>
    </row>
    <row r="28" spans="1:13" s="11" customFormat="1" ht="16.5" customHeight="1" x14ac:dyDescent="0.25">
      <c r="A28" s="11" t="s">
        <v>3179</v>
      </c>
      <c r="B28" s="119">
        <v>28860</v>
      </c>
      <c r="C28" s="176" t="s">
        <v>2411</v>
      </c>
      <c r="D28" s="182" t="s">
        <v>3287</v>
      </c>
      <c r="E28" s="141"/>
      <c r="F28" s="141"/>
      <c r="G28" s="55"/>
      <c r="L28" s="11" t="s">
        <v>1446</v>
      </c>
      <c r="M28" s="28"/>
    </row>
    <row r="29" spans="1:13" s="11" customFormat="1" ht="16.5" customHeight="1" x14ac:dyDescent="0.25">
      <c r="A29" s="11" t="s">
        <v>3180</v>
      </c>
      <c r="B29" s="119">
        <v>28927</v>
      </c>
      <c r="C29" s="176" t="s">
        <v>2411</v>
      </c>
      <c r="D29" s="182" t="s">
        <v>3288</v>
      </c>
      <c r="E29" s="141"/>
      <c r="F29" s="141"/>
      <c r="G29" s="55"/>
      <c r="L29" s="11" t="s">
        <v>1447</v>
      </c>
      <c r="M29" s="28"/>
    </row>
    <row r="30" spans="1:13" s="11" customFormat="1" ht="16.5" customHeight="1" x14ac:dyDescent="0.25">
      <c r="A30" s="11" t="s">
        <v>3181</v>
      </c>
      <c r="B30" s="119">
        <v>29036.45</v>
      </c>
      <c r="C30" s="13">
        <v>45919</v>
      </c>
      <c r="D30" s="86">
        <v>45931</v>
      </c>
      <c r="E30" s="141"/>
      <c r="F30" s="141"/>
      <c r="G30" s="55"/>
      <c r="L30" s="11" t="s">
        <v>1448</v>
      </c>
      <c r="M30" s="28"/>
    </row>
    <row r="31" spans="1:13" s="11" customFormat="1" ht="16.5" customHeight="1" x14ac:dyDescent="0.25">
      <c r="A31" s="11" t="s">
        <v>3182</v>
      </c>
      <c r="B31" s="119">
        <v>29036.45</v>
      </c>
      <c r="C31" s="13">
        <v>45922</v>
      </c>
      <c r="D31" s="86">
        <v>45931</v>
      </c>
      <c r="E31" s="141"/>
      <c r="F31" s="141"/>
      <c r="G31" s="55"/>
      <c r="L31" s="11" t="s">
        <v>1449</v>
      </c>
    </row>
    <row r="32" spans="1:13" s="11" customFormat="1" ht="16.5" customHeight="1" x14ac:dyDescent="0.25">
      <c r="A32" s="11" t="s">
        <v>3183</v>
      </c>
      <c r="B32" s="119">
        <v>29036.45</v>
      </c>
      <c r="C32" s="172">
        <v>45926</v>
      </c>
      <c r="D32" s="86">
        <v>45937</v>
      </c>
      <c r="E32" s="141"/>
      <c r="F32" s="141"/>
      <c r="G32" s="55"/>
      <c r="L32" s="11" t="s">
        <v>1450</v>
      </c>
    </row>
    <row r="33" spans="1:12" s="11" customFormat="1" ht="16.5" customHeight="1" x14ac:dyDescent="0.25">
      <c r="A33" s="11" t="s">
        <v>3184</v>
      </c>
      <c r="B33" s="119">
        <v>29319.9</v>
      </c>
      <c r="C33" s="13">
        <v>45905</v>
      </c>
      <c r="D33" s="86">
        <v>45936</v>
      </c>
      <c r="E33" s="141"/>
      <c r="F33" s="141"/>
      <c r="G33" s="55"/>
      <c r="L33" s="11" t="s">
        <v>1451</v>
      </c>
    </row>
    <row r="34" spans="1:12" s="11" customFormat="1" ht="16.5" customHeight="1" x14ac:dyDescent="0.25">
      <c r="A34" s="11" t="s">
        <v>3185</v>
      </c>
      <c r="B34" s="119">
        <v>29319.9</v>
      </c>
      <c r="C34" s="13">
        <v>45925</v>
      </c>
      <c r="D34" s="86">
        <v>45931</v>
      </c>
      <c r="E34" s="141"/>
      <c r="F34" s="141"/>
      <c r="G34" s="55"/>
      <c r="L34" s="11" t="s">
        <v>1452</v>
      </c>
    </row>
    <row r="35" spans="1:12" s="11" customFormat="1" ht="16.5" customHeight="1" x14ac:dyDescent="0.25">
      <c r="A35" s="11" t="s">
        <v>3186</v>
      </c>
      <c r="B35" s="119">
        <v>29319.9</v>
      </c>
      <c r="C35" s="13">
        <v>45926</v>
      </c>
      <c r="D35" s="86">
        <v>45936</v>
      </c>
      <c r="E35" s="141"/>
      <c r="F35" s="141"/>
      <c r="G35" s="55"/>
      <c r="L35" s="11" t="s">
        <v>1453</v>
      </c>
    </row>
    <row r="36" spans="1:12" s="11" customFormat="1" ht="16.5" customHeight="1" x14ac:dyDescent="0.25">
      <c r="A36" s="11" t="s">
        <v>3187</v>
      </c>
      <c r="B36" s="119">
        <v>29319.9</v>
      </c>
      <c r="C36" s="13">
        <v>45925</v>
      </c>
      <c r="D36" s="86">
        <v>45931</v>
      </c>
      <c r="E36" s="141"/>
      <c r="F36" s="141"/>
      <c r="G36" s="55"/>
      <c r="L36" s="11" t="s">
        <v>1436</v>
      </c>
    </row>
    <row r="37" spans="1:12" s="11" customFormat="1" ht="16.5" customHeight="1" x14ac:dyDescent="0.25">
      <c r="A37" s="11" t="s">
        <v>3188</v>
      </c>
      <c r="B37" s="119">
        <v>29319.9</v>
      </c>
      <c r="C37" s="13">
        <v>45925</v>
      </c>
      <c r="D37" s="86">
        <v>45931</v>
      </c>
      <c r="E37" s="141"/>
      <c r="F37" s="141"/>
      <c r="G37" s="55"/>
      <c r="L37" s="11" t="s">
        <v>1454</v>
      </c>
    </row>
    <row r="38" spans="1:12" s="11" customFormat="1" ht="16.5" customHeight="1" x14ac:dyDescent="0.25">
      <c r="A38" s="11" t="s">
        <v>3189</v>
      </c>
      <c r="B38" s="119">
        <v>29496.799999999999</v>
      </c>
      <c r="C38" s="13">
        <v>45929</v>
      </c>
      <c r="D38" s="86">
        <v>45937</v>
      </c>
      <c r="E38" s="141"/>
      <c r="F38" s="141"/>
      <c r="G38" s="55"/>
      <c r="L38" s="11" t="s">
        <v>1455</v>
      </c>
    </row>
    <row r="39" spans="1:12" s="11" customFormat="1" ht="16.5" customHeight="1" x14ac:dyDescent="0.25">
      <c r="A39" s="11" t="s">
        <v>3190</v>
      </c>
      <c r="B39" s="119">
        <v>29496.799999999999</v>
      </c>
      <c r="C39" s="13">
        <v>45929</v>
      </c>
      <c r="D39" s="86">
        <v>45937</v>
      </c>
      <c r="E39" s="141"/>
      <c r="F39" s="141"/>
      <c r="G39" s="55"/>
      <c r="L39" s="11" t="s">
        <v>1456</v>
      </c>
    </row>
    <row r="40" spans="1:12" s="11" customFormat="1" ht="16.5" customHeight="1" x14ac:dyDescent="0.25">
      <c r="A40" s="11" t="s">
        <v>3191</v>
      </c>
      <c r="B40" s="119">
        <v>29496.799999999999</v>
      </c>
      <c r="C40" s="13">
        <v>45929</v>
      </c>
      <c r="D40" s="86">
        <v>45938</v>
      </c>
      <c r="E40" s="141"/>
      <c r="F40" s="141"/>
      <c r="G40" s="55"/>
      <c r="L40" s="11" t="s">
        <v>1457</v>
      </c>
    </row>
    <row r="41" spans="1:12" s="11" customFormat="1" ht="16.5" customHeight="1" x14ac:dyDescent="0.25">
      <c r="A41" s="11" t="s">
        <v>3192</v>
      </c>
      <c r="B41" s="119">
        <v>33505</v>
      </c>
      <c r="C41" s="171" t="s">
        <v>2411</v>
      </c>
      <c r="D41" s="182" t="s">
        <v>3289</v>
      </c>
      <c r="E41" s="141"/>
      <c r="F41" s="141"/>
      <c r="G41" s="55"/>
      <c r="L41" s="11" t="s">
        <v>2506</v>
      </c>
    </row>
    <row r="42" spans="1:12" s="11" customFormat="1" ht="16.5" customHeight="1" x14ac:dyDescent="0.25">
      <c r="A42" s="11" t="s">
        <v>3193</v>
      </c>
      <c r="B42" s="119">
        <v>33505</v>
      </c>
      <c r="C42" s="171" t="s">
        <v>2411</v>
      </c>
      <c r="D42" s="182" t="s">
        <v>3290</v>
      </c>
      <c r="E42" s="141"/>
      <c r="F42" s="141"/>
      <c r="G42" s="55"/>
      <c r="L42" s="11" t="s">
        <v>1458</v>
      </c>
    </row>
    <row r="43" spans="1:12" s="11" customFormat="1" ht="16.5" customHeight="1" x14ac:dyDescent="0.25">
      <c r="A43" s="11" t="s">
        <v>3194</v>
      </c>
      <c r="B43" s="119">
        <v>35581</v>
      </c>
      <c r="C43" s="171" t="s">
        <v>2411</v>
      </c>
      <c r="D43" s="182" t="s">
        <v>3291</v>
      </c>
      <c r="E43" s="141"/>
      <c r="F43" s="141"/>
      <c r="G43" s="55"/>
      <c r="L43" s="11" t="s">
        <v>1368</v>
      </c>
    </row>
    <row r="44" spans="1:12" s="11" customFormat="1" ht="16.5" customHeight="1" x14ac:dyDescent="0.25">
      <c r="A44" s="11" t="s">
        <v>3195</v>
      </c>
      <c r="B44" s="119">
        <v>35779</v>
      </c>
      <c r="C44" s="171" t="s">
        <v>2411</v>
      </c>
      <c r="D44" s="182" t="s">
        <v>3290</v>
      </c>
      <c r="E44" s="141"/>
      <c r="F44" s="141"/>
      <c r="G44" s="55"/>
      <c r="L44" s="11" t="s">
        <v>1459</v>
      </c>
    </row>
    <row r="45" spans="1:12" s="11" customFormat="1" ht="16.5" customHeight="1" x14ac:dyDescent="0.25">
      <c r="A45" s="11" t="s">
        <v>3196</v>
      </c>
      <c r="B45" s="119">
        <v>38542</v>
      </c>
      <c r="C45" s="171" t="s">
        <v>2411</v>
      </c>
      <c r="D45" s="182" t="s">
        <v>3289</v>
      </c>
      <c r="E45" s="141"/>
      <c r="F45" s="141"/>
      <c r="G45" s="55"/>
      <c r="L45" s="11" t="s">
        <v>1369</v>
      </c>
    </row>
    <row r="46" spans="1:12" s="11" customFormat="1" ht="16.5" customHeight="1" x14ac:dyDescent="0.25">
      <c r="A46" s="11" t="s">
        <v>3197</v>
      </c>
      <c r="B46" s="119">
        <v>39146</v>
      </c>
      <c r="C46" s="171" t="s">
        <v>2411</v>
      </c>
      <c r="D46" s="182" t="s">
        <v>3288</v>
      </c>
      <c r="E46" s="141"/>
      <c r="F46" s="141"/>
      <c r="G46" s="55"/>
      <c r="L46" s="11" t="s">
        <v>1460</v>
      </c>
    </row>
    <row r="47" spans="1:12" s="11" customFormat="1" ht="16.5" customHeight="1" x14ac:dyDescent="0.25">
      <c r="A47" s="11" t="s">
        <v>3282</v>
      </c>
      <c r="B47" s="119">
        <v>40467.449999999997</v>
      </c>
      <c r="C47" s="13">
        <v>45926</v>
      </c>
      <c r="D47" s="86">
        <v>45940</v>
      </c>
      <c r="E47" s="141"/>
      <c r="F47" s="141"/>
      <c r="G47" s="55"/>
    </row>
    <row r="48" spans="1:12" s="11" customFormat="1" ht="16.5" customHeight="1" x14ac:dyDescent="0.25">
      <c r="A48" s="11" t="s">
        <v>3198</v>
      </c>
      <c r="B48" s="119">
        <v>41491</v>
      </c>
      <c r="C48" s="171" t="s">
        <v>2411</v>
      </c>
      <c r="D48" s="182" t="s">
        <v>3288</v>
      </c>
      <c r="E48" s="141"/>
      <c r="F48" s="141"/>
      <c r="G48" s="55"/>
    </row>
    <row r="49" spans="1:7" s="11" customFormat="1" ht="16.5" customHeight="1" x14ac:dyDescent="0.25">
      <c r="A49" s="11" t="s">
        <v>3199</v>
      </c>
      <c r="B49" s="119">
        <v>44445.5</v>
      </c>
      <c r="C49" s="13">
        <v>45923</v>
      </c>
      <c r="D49" s="86">
        <v>45931</v>
      </c>
      <c r="E49" s="141"/>
      <c r="F49" s="141"/>
      <c r="G49" s="55"/>
    </row>
    <row r="50" spans="1:7" s="11" customFormat="1" ht="16.5" customHeight="1" x14ac:dyDescent="0.25">
      <c r="A50" s="11" t="s">
        <v>3200</v>
      </c>
      <c r="B50" s="119">
        <v>44905.85</v>
      </c>
      <c r="C50" s="13">
        <v>45924</v>
      </c>
      <c r="D50" s="86">
        <v>45936</v>
      </c>
      <c r="E50" s="141"/>
      <c r="F50" s="141"/>
      <c r="G50" s="55"/>
    </row>
    <row r="51" spans="1:7" s="11" customFormat="1" ht="16.5" customHeight="1" x14ac:dyDescent="0.25">
      <c r="A51" s="11" t="s">
        <v>3201</v>
      </c>
      <c r="B51" s="119">
        <v>44957</v>
      </c>
      <c r="C51" s="13">
        <v>45930</v>
      </c>
      <c r="D51" s="86">
        <v>45936</v>
      </c>
      <c r="E51" s="141"/>
      <c r="F51" s="141"/>
      <c r="G51" s="55"/>
    </row>
    <row r="52" spans="1:7" s="11" customFormat="1" ht="16.5" customHeight="1" x14ac:dyDescent="0.25">
      <c r="A52" s="11" t="s">
        <v>3202</v>
      </c>
      <c r="B52" s="119">
        <v>45012.6</v>
      </c>
      <c r="C52" s="13">
        <v>45925</v>
      </c>
      <c r="D52" s="86">
        <v>45931</v>
      </c>
      <c r="E52" s="141"/>
      <c r="F52" s="141"/>
      <c r="G52" s="55"/>
    </row>
    <row r="53" spans="1:7" s="11" customFormat="1" ht="16.5" customHeight="1" x14ac:dyDescent="0.25">
      <c r="A53" s="11" t="s">
        <v>3203</v>
      </c>
      <c r="B53" s="119">
        <v>45417.35</v>
      </c>
      <c r="C53" s="13">
        <v>45926</v>
      </c>
      <c r="D53" s="86">
        <v>45931</v>
      </c>
      <c r="E53" s="141"/>
      <c r="F53" s="141"/>
      <c r="G53" s="55"/>
    </row>
    <row r="54" spans="1:7" s="11" customFormat="1" ht="16.5" customHeight="1" x14ac:dyDescent="0.25">
      <c r="A54" s="11" t="s">
        <v>3204</v>
      </c>
      <c r="B54" s="119">
        <v>49434.1</v>
      </c>
      <c r="C54" s="13">
        <v>45930</v>
      </c>
      <c r="D54" s="86">
        <v>45936</v>
      </c>
      <c r="E54" s="141"/>
      <c r="F54" s="141"/>
      <c r="G54" s="55"/>
    </row>
    <row r="55" spans="1:7" s="11" customFormat="1" ht="16.5" customHeight="1" x14ac:dyDescent="0.25">
      <c r="A55" s="11" t="s">
        <v>3205</v>
      </c>
      <c r="B55" s="119">
        <v>49434.1</v>
      </c>
      <c r="C55" s="13">
        <v>45930</v>
      </c>
      <c r="D55" s="86">
        <v>45931</v>
      </c>
      <c r="E55" s="141"/>
      <c r="F55" s="141"/>
      <c r="G55" s="55"/>
    </row>
    <row r="56" spans="1:7" s="11" customFormat="1" ht="16.5" customHeight="1" x14ac:dyDescent="0.25">
      <c r="A56" s="11" t="s">
        <v>3206</v>
      </c>
      <c r="B56" s="119">
        <v>49992.1</v>
      </c>
      <c r="C56" s="13">
        <v>45930</v>
      </c>
      <c r="D56" s="86">
        <v>45931</v>
      </c>
      <c r="E56" s="141"/>
      <c r="F56" s="141"/>
      <c r="G56" s="55"/>
    </row>
    <row r="57" spans="1:7" s="11" customFormat="1" ht="16.5" customHeight="1" x14ac:dyDescent="0.25">
      <c r="A57" s="11" t="s">
        <v>3207</v>
      </c>
      <c r="B57" s="119">
        <v>57317.2</v>
      </c>
      <c r="C57" s="13">
        <v>45929</v>
      </c>
      <c r="D57" s="86">
        <v>45931</v>
      </c>
      <c r="E57" s="141"/>
      <c r="F57" s="141"/>
      <c r="G57" s="55"/>
    </row>
    <row r="58" spans="1:7" s="11" customFormat="1" ht="16.5" customHeight="1" x14ac:dyDescent="0.25">
      <c r="A58" s="11" t="s">
        <v>3208</v>
      </c>
      <c r="B58" s="119">
        <v>60113.4</v>
      </c>
      <c r="C58" s="13">
        <v>45917</v>
      </c>
      <c r="D58" s="86">
        <v>45936</v>
      </c>
      <c r="E58" s="141"/>
      <c r="F58" s="141"/>
      <c r="G58" s="55"/>
    </row>
    <row r="59" spans="1:7" s="11" customFormat="1" ht="16.5" customHeight="1" x14ac:dyDescent="0.25">
      <c r="A59" s="11" t="s">
        <v>3209</v>
      </c>
      <c r="B59" s="119">
        <v>60573.75</v>
      </c>
      <c r="C59" s="13">
        <v>45916</v>
      </c>
      <c r="D59" s="86">
        <v>45936</v>
      </c>
      <c r="E59" s="141"/>
      <c r="F59" s="141"/>
      <c r="G59" s="55"/>
    </row>
    <row r="60" spans="1:7" s="11" customFormat="1" ht="16.5" customHeight="1" x14ac:dyDescent="0.25">
      <c r="A60" s="11" t="s">
        <v>3210</v>
      </c>
      <c r="B60" s="119">
        <v>60573.75</v>
      </c>
      <c r="C60" s="13">
        <v>45916</v>
      </c>
      <c r="D60" s="86">
        <v>45931</v>
      </c>
      <c r="E60" s="141"/>
      <c r="F60" s="141"/>
      <c r="G60" s="55"/>
    </row>
    <row r="61" spans="1:7" s="11" customFormat="1" ht="16.5" customHeight="1" x14ac:dyDescent="0.25">
      <c r="A61" s="11" t="s">
        <v>3211</v>
      </c>
      <c r="B61" s="119">
        <v>60573.75</v>
      </c>
      <c r="C61" s="13">
        <v>45916</v>
      </c>
      <c r="D61" s="86">
        <v>45931</v>
      </c>
      <c r="E61" s="141"/>
      <c r="F61" s="141"/>
      <c r="G61" s="55"/>
    </row>
    <row r="62" spans="1:7" s="11" customFormat="1" ht="16.5" customHeight="1" x14ac:dyDescent="0.25">
      <c r="A62" s="11" t="s">
        <v>3212</v>
      </c>
      <c r="B62" s="119">
        <v>60573.75</v>
      </c>
      <c r="C62" s="13">
        <v>45917</v>
      </c>
      <c r="D62" s="86">
        <v>45936</v>
      </c>
      <c r="E62" s="141"/>
      <c r="F62" s="141"/>
      <c r="G62" s="55"/>
    </row>
    <row r="63" spans="1:7" s="11" customFormat="1" ht="16.5" customHeight="1" x14ac:dyDescent="0.25">
      <c r="A63" s="11" t="s">
        <v>3213</v>
      </c>
      <c r="B63" s="119">
        <v>60610.95</v>
      </c>
      <c r="C63" s="13">
        <v>45925</v>
      </c>
      <c r="D63" s="86">
        <v>45936</v>
      </c>
      <c r="E63" s="141"/>
      <c r="F63" s="141"/>
      <c r="G63" s="55"/>
    </row>
    <row r="64" spans="1:7" s="11" customFormat="1" ht="16.5" customHeight="1" x14ac:dyDescent="0.25">
      <c r="A64" s="11" t="s">
        <v>3214</v>
      </c>
      <c r="B64" s="119">
        <v>60610.95</v>
      </c>
      <c r="C64" s="13">
        <v>45929</v>
      </c>
      <c r="D64" s="86">
        <v>45936</v>
      </c>
      <c r="E64" s="141"/>
      <c r="F64" s="141"/>
      <c r="G64" s="55"/>
    </row>
    <row r="65" spans="1:7" s="11" customFormat="1" ht="16.5" customHeight="1" x14ac:dyDescent="0.25">
      <c r="A65" s="11" t="s">
        <v>3215</v>
      </c>
      <c r="B65" s="119">
        <v>60610.95</v>
      </c>
      <c r="C65" s="13">
        <v>45929</v>
      </c>
      <c r="D65" s="86">
        <v>45936</v>
      </c>
      <c r="E65" s="141"/>
      <c r="F65" s="141"/>
      <c r="G65" s="55"/>
    </row>
    <row r="66" spans="1:7" s="11" customFormat="1" ht="16.5" customHeight="1" x14ac:dyDescent="0.25">
      <c r="A66" s="11" t="s">
        <v>3216</v>
      </c>
      <c r="B66" s="119">
        <v>60610.95</v>
      </c>
      <c r="C66" s="13">
        <v>45929</v>
      </c>
      <c r="D66" s="86">
        <v>45936</v>
      </c>
      <c r="E66" s="141"/>
      <c r="F66" s="141"/>
      <c r="G66" s="55"/>
    </row>
    <row r="67" spans="1:7" s="11" customFormat="1" ht="16.5" customHeight="1" x14ac:dyDescent="0.25">
      <c r="A67" s="11" t="s">
        <v>3217</v>
      </c>
      <c r="B67" s="119">
        <v>60610.95</v>
      </c>
      <c r="C67" s="13">
        <v>45929</v>
      </c>
      <c r="D67" s="86">
        <v>45936</v>
      </c>
      <c r="E67" s="141"/>
      <c r="F67" s="141"/>
      <c r="G67" s="55"/>
    </row>
    <row r="68" spans="1:7" s="11" customFormat="1" ht="16.5" customHeight="1" x14ac:dyDescent="0.25">
      <c r="A68" s="11" t="s">
        <v>3218</v>
      </c>
      <c r="B68" s="119">
        <v>60610.95</v>
      </c>
      <c r="C68" s="13">
        <v>45930</v>
      </c>
      <c r="D68" s="86">
        <v>45931</v>
      </c>
      <c r="E68" s="141"/>
      <c r="F68" s="141"/>
      <c r="G68" s="55"/>
    </row>
    <row r="69" spans="1:7" s="11" customFormat="1" ht="16.5" customHeight="1" x14ac:dyDescent="0.25">
      <c r="A69" s="11" t="s">
        <v>3219</v>
      </c>
      <c r="B69" s="119">
        <v>60610.95</v>
      </c>
      <c r="C69" s="13">
        <v>45929</v>
      </c>
      <c r="D69" s="86">
        <v>45931</v>
      </c>
      <c r="E69" s="141"/>
      <c r="F69" s="141"/>
      <c r="G69" s="55"/>
    </row>
    <row r="70" spans="1:7" s="11" customFormat="1" ht="16.5" customHeight="1" x14ac:dyDescent="0.25">
      <c r="A70" s="11" t="s">
        <v>3220</v>
      </c>
      <c r="B70" s="119">
        <v>60610.95</v>
      </c>
      <c r="C70" s="13">
        <v>45929</v>
      </c>
      <c r="D70" s="86">
        <v>45931</v>
      </c>
      <c r="E70" s="141"/>
      <c r="F70" s="141"/>
      <c r="G70" s="55"/>
    </row>
    <row r="71" spans="1:7" s="11" customFormat="1" ht="16.5" customHeight="1" x14ac:dyDescent="0.25">
      <c r="A71" s="11" t="s">
        <v>3221</v>
      </c>
      <c r="B71" s="119">
        <v>60610.95</v>
      </c>
      <c r="C71" s="13">
        <v>45930</v>
      </c>
      <c r="D71" s="86">
        <v>45938</v>
      </c>
      <c r="E71" s="141"/>
      <c r="F71" s="141"/>
      <c r="G71" s="55"/>
    </row>
    <row r="72" spans="1:7" s="11" customFormat="1" ht="16.5" customHeight="1" x14ac:dyDescent="0.25">
      <c r="A72" s="11" t="s">
        <v>3165</v>
      </c>
      <c r="B72" s="119">
        <v>61071.3</v>
      </c>
      <c r="C72" s="13">
        <v>45919</v>
      </c>
      <c r="D72" s="91" t="s">
        <v>3283</v>
      </c>
      <c r="E72" s="141"/>
      <c r="F72" s="141"/>
      <c r="G72" s="55"/>
    </row>
    <row r="73" spans="1:7" s="11" customFormat="1" ht="16.5" customHeight="1" x14ac:dyDescent="0.25">
      <c r="A73" s="11" t="s">
        <v>3166</v>
      </c>
      <c r="B73" s="119">
        <v>61071.3</v>
      </c>
      <c r="C73" s="13">
        <v>45919</v>
      </c>
      <c r="D73" s="91" t="s">
        <v>3283</v>
      </c>
      <c r="E73" s="141"/>
      <c r="F73" s="141"/>
      <c r="G73" s="55"/>
    </row>
    <row r="74" spans="1:7" s="11" customFormat="1" ht="16.5" customHeight="1" x14ac:dyDescent="0.25">
      <c r="A74" s="11" t="s">
        <v>3222</v>
      </c>
      <c r="B74" s="119">
        <v>61071.3</v>
      </c>
      <c r="C74" s="13">
        <v>45922</v>
      </c>
      <c r="D74" s="86">
        <v>45931</v>
      </c>
      <c r="E74" s="141"/>
      <c r="F74" s="141"/>
      <c r="G74" s="55"/>
    </row>
    <row r="75" spans="1:7" s="11" customFormat="1" ht="16.5" customHeight="1" x14ac:dyDescent="0.25">
      <c r="A75" s="11" t="s">
        <v>3223</v>
      </c>
      <c r="B75" s="119">
        <v>61071.3</v>
      </c>
      <c r="C75" s="13">
        <v>45924</v>
      </c>
      <c r="D75" s="86">
        <v>45936</v>
      </c>
      <c r="E75" s="141"/>
      <c r="F75" s="141"/>
      <c r="G75" s="55"/>
    </row>
    <row r="76" spans="1:7" s="11" customFormat="1" ht="16.5" customHeight="1" x14ac:dyDescent="0.25">
      <c r="A76" s="11" t="s">
        <v>3167</v>
      </c>
      <c r="B76" s="119">
        <v>61071.3</v>
      </c>
      <c r="C76" s="13">
        <v>45926</v>
      </c>
      <c r="D76" s="91" t="s">
        <v>3283</v>
      </c>
      <c r="E76" s="141"/>
      <c r="F76" s="141"/>
      <c r="G76" s="55"/>
    </row>
    <row r="77" spans="1:7" s="11" customFormat="1" ht="16.5" customHeight="1" x14ac:dyDescent="0.25">
      <c r="A77" s="11" t="s">
        <v>3224</v>
      </c>
      <c r="B77" s="119">
        <v>61071.3</v>
      </c>
      <c r="C77" s="13">
        <v>45926</v>
      </c>
      <c r="D77" s="86">
        <v>45931</v>
      </c>
      <c r="E77" s="141"/>
      <c r="F77" s="141"/>
      <c r="G77" s="55"/>
    </row>
    <row r="78" spans="1:7" s="11" customFormat="1" ht="16.5" customHeight="1" x14ac:dyDescent="0.25">
      <c r="A78" s="11" t="s">
        <v>3225</v>
      </c>
      <c r="B78" s="119">
        <v>61071.3</v>
      </c>
      <c r="C78" s="13">
        <v>45926</v>
      </c>
      <c r="D78" s="86">
        <v>45936</v>
      </c>
      <c r="E78" s="141"/>
      <c r="F78" s="141"/>
      <c r="G78" s="55"/>
    </row>
    <row r="79" spans="1:7" s="11" customFormat="1" ht="16.5" customHeight="1" x14ac:dyDescent="0.25">
      <c r="A79" s="11" t="s">
        <v>3226</v>
      </c>
      <c r="B79" s="119">
        <v>61071.3</v>
      </c>
      <c r="C79" s="13">
        <v>45929</v>
      </c>
      <c r="D79" s="86">
        <v>45936</v>
      </c>
      <c r="E79" s="141"/>
      <c r="F79" s="141"/>
      <c r="G79" s="55"/>
    </row>
    <row r="80" spans="1:7" s="11" customFormat="1" ht="16.5" customHeight="1" x14ac:dyDescent="0.25">
      <c r="A80" s="11" t="s">
        <v>3227</v>
      </c>
      <c r="B80" s="119">
        <v>61071.3</v>
      </c>
      <c r="C80" s="13">
        <v>45929</v>
      </c>
      <c r="D80" s="86">
        <v>45931</v>
      </c>
      <c r="E80" s="141"/>
      <c r="F80" s="141"/>
      <c r="G80" s="55"/>
    </row>
    <row r="81" spans="1:7" s="11" customFormat="1" ht="16.5" customHeight="1" x14ac:dyDescent="0.25">
      <c r="A81" s="11" t="s">
        <v>3228</v>
      </c>
      <c r="B81" s="119">
        <v>61071.3</v>
      </c>
      <c r="C81" s="13">
        <v>45929</v>
      </c>
      <c r="D81" s="86">
        <v>45936</v>
      </c>
      <c r="E81" s="141"/>
      <c r="F81" s="141"/>
      <c r="G81" s="55"/>
    </row>
    <row r="82" spans="1:7" s="11" customFormat="1" ht="16.5" customHeight="1" x14ac:dyDescent="0.25">
      <c r="A82" s="11" t="s">
        <v>3229</v>
      </c>
      <c r="B82" s="119">
        <v>61071.3</v>
      </c>
      <c r="C82" s="13">
        <v>45929</v>
      </c>
      <c r="D82" s="86">
        <v>45936</v>
      </c>
      <c r="E82" s="141"/>
      <c r="F82" s="141"/>
      <c r="G82" s="55"/>
    </row>
    <row r="83" spans="1:7" s="11" customFormat="1" ht="16.5" customHeight="1" x14ac:dyDescent="0.25">
      <c r="A83" s="11" t="s">
        <v>3230</v>
      </c>
      <c r="B83" s="119">
        <v>61071.3</v>
      </c>
      <c r="C83" s="13">
        <v>45929</v>
      </c>
      <c r="D83" s="86">
        <v>45931</v>
      </c>
      <c r="E83" s="141"/>
      <c r="F83" s="141"/>
      <c r="G83" s="55"/>
    </row>
    <row r="84" spans="1:7" s="11" customFormat="1" ht="16.5" customHeight="1" x14ac:dyDescent="0.25">
      <c r="A84" s="11" t="s">
        <v>3231</v>
      </c>
      <c r="B84" s="119">
        <v>61071.3</v>
      </c>
      <c r="C84" s="13">
        <v>45929</v>
      </c>
      <c r="D84" s="86">
        <v>45936</v>
      </c>
      <c r="E84" s="141"/>
      <c r="F84" s="141"/>
      <c r="G84" s="55"/>
    </row>
    <row r="85" spans="1:7" s="11" customFormat="1" ht="16.5" customHeight="1" x14ac:dyDescent="0.25">
      <c r="A85" s="11" t="s">
        <v>3232</v>
      </c>
      <c r="B85" s="119">
        <v>61071.3</v>
      </c>
      <c r="C85" s="13">
        <v>45929</v>
      </c>
      <c r="D85" s="86">
        <v>45936</v>
      </c>
      <c r="E85" s="141"/>
      <c r="F85" s="141"/>
      <c r="G85" s="55"/>
    </row>
    <row r="86" spans="1:7" s="11" customFormat="1" ht="16.5" customHeight="1" x14ac:dyDescent="0.25">
      <c r="A86" s="11" t="s">
        <v>3233</v>
      </c>
      <c r="B86" s="119">
        <v>61071.3</v>
      </c>
      <c r="C86" s="13">
        <v>45929</v>
      </c>
      <c r="D86" s="86">
        <v>45931</v>
      </c>
      <c r="E86" s="141"/>
      <c r="F86" s="141"/>
      <c r="G86" s="55"/>
    </row>
    <row r="87" spans="1:7" s="11" customFormat="1" ht="16.5" customHeight="1" x14ac:dyDescent="0.25">
      <c r="A87" s="11" t="s">
        <v>3168</v>
      </c>
      <c r="B87" s="119">
        <v>63636.45</v>
      </c>
      <c r="C87" s="13">
        <v>45923</v>
      </c>
      <c r="D87" s="91" t="s">
        <v>3286</v>
      </c>
      <c r="E87" s="141"/>
      <c r="F87" s="141"/>
      <c r="G87" s="55"/>
    </row>
    <row r="88" spans="1:7" s="11" customFormat="1" ht="16.5" customHeight="1" x14ac:dyDescent="0.25">
      <c r="A88" s="11" t="s">
        <v>3169</v>
      </c>
      <c r="B88" s="119">
        <v>63889.2</v>
      </c>
      <c r="C88" s="13">
        <v>45924</v>
      </c>
      <c r="D88" s="91" t="s">
        <v>3285</v>
      </c>
      <c r="E88" s="141"/>
      <c r="F88" s="141"/>
      <c r="G88" s="55"/>
    </row>
    <row r="89" spans="1:7" s="11" customFormat="1" ht="16.5" customHeight="1" x14ac:dyDescent="0.25">
      <c r="A89" s="11" t="s">
        <v>3234</v>
      </c>
      <c r="B89" s="119">
        <v>64349.55</v>
      </c>
      <c r="C89" s="13">
        <v>45916</v>
      </c>
      <c r="D89" s="86">
        <v>45937</v>
      </c>
      <c r="E89" s="141"/>
      <c r="F89" s="141"/>
      <c r="G89" s="55"/>
    </row>
    <row r="90" spans="1:7" s="11" customFormat="1" ht="16.5" customHeight="1" x14ac:dyDescent="0.25">
      <c r="A90" s="11" t="s">
        <v>3235</v>
      </c>
      <c r="B90" s="119">
        <v>64349.55</v>
      </c>
      <c r="C90" s="13">
        <v>45916</v>
      </c>
      <c r="D90" s="86">
        <v>45936</v>
      </c>
      <c r="E90" s="141"/>
      <c r="F90" s="141"/>
      <c r="G90" s="55"/>
    </row>
    <row r="91" spans="1:7" s="11" customFormat="1" ht="16.5" customHeight="1" x14ac:dyDescent="0.25">
      <c r="A91" s="11" t="s">
        <v>3236</v>
      </c>
      <c r="B91" s="119">
        <v>64349.55</v>
      </c>
      <c r="C91" s="13">
        <v>45917</v>
      </c>
      <c r="D91" s="86">
        <v>45936</v>
      </c>
      <c r="E91" s="141"/>
      <c r="F91" s="141"/>
      <c r="G91" s="55"/>
    </row>
    <row r="92" spans="1:7" s="11" customFormat="1" ht="16.5" customHeight="1" x14ac:dyDescent="0.25">
      <c r="A92" s="11" t="s">
        <v>3170</v>
      </c>
      <c r="B92" s="119">
        <v>64349.55</v>
      </c>
      <c r="C92" s="13">
        <v>45917</v>
      </c>
      <c r="D92" s="91" t="s">
        <v>3284</v>
      </c>
      <c r="E92" s="141"/>
      <c r="F92" s="141"/>
      <c r="G92" s="55"/>
    </row>
    <row r="93" spans="1:7" s="11" customFormat="1" ht="16.5" customHeight="1" x14ac:dyDescent="0.25">
      <c r="A93" s="11" t="s">
        <v>3237</v>
      </c>
      <c r="B93" s="119">
        <v>64386.75</v>
      </c>
      <c r="C93" s="13">
        <v>45929</v>
      </c>
      <c r="D93" s="86">
        <v>45931</v>
      </c>
      <c r="E93" s="141"/>
      <c r="F93" s="141"/>
      <c r="G93" s="55"/>
    </row>
    <row r="94" spans="1:7" s="11" customFormat="1" ht="16.5" customHeight="1" x14ac:dyDescent="0.25">
      <c r="A94" s="11" t="s">
        <v>3171</v>
      </c>
      <c r="B94" s="119">
        <v>64386.75</v>
      </c>
      <c r="C94" s="13">
        <v>45929</v>
      </c>
      <c r="D94" s="91" t="s">
        <v>3283</v>
      </c>
      <c r="E94" s="141"/>
      <c r="F94" s="141"/>
      <c r="G94" s="55"/>
    </row>
    <row r="95" spans="1:7" s="11" customFormat="1" ht="16.5" customHeight="1" x14ac:dyDescent="0.25">
      <c r="A95" s="11" t="s">
        <v>3238</v>
      </c>
      <c r="B95" s="119">
        <v>64386.75</v>
      </c>
      <c r="C95" s="13">
        <v>45930</v>
      </c>
      <c r="D95" s="86">
        <v>45936</v>
      </c>
      <c r="E95" s="141"/>
      <c r="F95" s="141"/>
      <c r="G95" s="55"/>
    </row>
    <row r="96" spans="1:7" s="11" customFormat="1" ht="16.5" customHeight="1" x14ac:dyDescent="0.25">
      <c r="A96" s="11" t="s">
        <v>3239</v>
      </c>
      <c r="B96" s="119">
        <v>64386.75</v>
      </c>
      <c r="C96" s="13">
        <v>45929</v>
      </c>
      <c r="D96" s="86">
        <v>45936</v>
      </c>
      <c r="E96" s="141"/>
      <c r="F96" s="141"/>
      <c r="G96" s="55"/>
    </row>
    <row r="97" spans="1:7" s="11" customFormat="1" ht="16.5" customHeight="1" x14ac:dyDescent="0.25">
      <c r="A97" s="11" t="s">
        <v>3240</v>
      </c>
      <c r="B97" s="119">
        <v>64386.75</v>
      </c>
      <c r="C97" s="13">
        <v>45929</v>
      </c>
      <c r="D97" s="86">
        <v>45936</v>
      </c>
      <c r="E97" s="141"/>
      <c r="F97" s="141"/>
      <c r="G97" s="55"/>
    </row>
    <row r="98" spans="1:7" s="11" customFormat="1" ht="16.5" customHeight="1" x14ac:dyDescent="0.25">
      <c r="A98" s="11" t="s">
        <v>3241</v>
      </c>
      <c r="B98" s="119">
        <v>64386.75</v>
      </c>
      <c r="C98" s="13">
        <v>45929</v>
      </c>
      <c r="D98" s="86">
        <v>45931</v>
      </c>
      <c r="E98" s="141"/>
      <c r="F98" s="141"/>
      <c r="G98" s="55"/>
    </row>
    <row r="99" spans="1:7" s="11" customFormat="1" ht="16.5" customHeight="1" x14ac:dyDescent="0.25">
      <c r="A99" s="11" t="s">
        <v>3242</v>
      </c>
      <c r="B99" s="119">
        <v>64800.6</v>
      </c>
      <c r="C99" s="13">
        <v>45926</v>
      </c>
      <c r="D99" s="86">
        <v>45936</v>
      </c>
      <c r="E99" s="141"/>
      <c r="F99" s="141"/>
      <c r="G99" s="55"/>
    </row>
    <row r="100" spans="1:7" s="11" customFormat="1" ht="16.5" customHeight="1" x14ac:dyDescent="0.25">
      <c r="A100" s="11" t="s">
        <v>3243</v>
      </c>
      <c r="B100" s="119">
        <v>64800.6</v>
      </c>
      <c r="C100" s="13">
        <v>45925</v>
      </c>
      <c r="D100" s="86">
        <v>45931</v>
      </c>
      <c r="E100" s="141"/>
      <c r="F100" s="141"/>
      <c r="G100" s="55"/>
    </row>
    <row r="101" spans="1:7" s="11" customFormat="1" ht="16.5" customHeight="1" x14ac:dyDescent="0.25">
      <c r="A101" s="11" t="s">
        <v>3244</v>
      </c>
      <c r="B101" s="119">
        <v>64800.6</v>
      </c>
      <c r="C101" s="13">
        <v>45924</v>
      </c>
      <c r="D101" s="86">
        <v>45931</v>
      </c>
      <c r="E101" s="141"/>
      <c r="F101" s="141"/>
      <c r="G101" s="55"/>
    </row>
    <row r="102" spans="1:7" s="11" customFormat="1" ht="16.5" customHeight="1" x14ac:dyDescent="0.25">
      <c r="A102" s="11" t="s">
        <v>3245</v>
      </c>
      <c r="B102" s="119">
        <v>64847.1</v>
      </c>
      <c r="C102" s="13">
        <v>45919</v>
      </c>
      <c r="D102" s="86">
        <v>45931</v>
      </c>
      <c r="E102" s="141"/>
      <c r="F102" s="141"/>
      <c r="G102" s="55"/>
    </row>
    <row r="103" spans="1:7" s="11" customFormat="1" ht="16.5" customHeight="1" x14ac:dyDescent="0.25">
      <c r="A103" s="11" t="s">
        <v>3246</v>
      </c>
      <c r="B103" s="119">
        <v>64847.1</v>
      </c>
      <c r="C103" s="13">
        <v>45922</v>
      </c>
      <c r="D103" s="86">
        <v>45936</v>
      </c>
      <c r="E103" s="141"/>
      <c r="F103" s="141"/>
      <c r="G103" s="55"/>
    </row>
    <row r="104" spans="1:7" s="11" customFormat="1" ht="16.5" customHeight="1" x14ac:dyDescent="0.25">
      <c r="A104" s="11" t="s">
        <v>3248</v>
      </c>
      <c r="B104" s="119">
        <v>64847.1</v>
      </c>
      <c r="C104" s="13">
        <v>45929</v>
      </c>
      <c r="D104" s="86">
        <v>45931</v>
      </c>
      <c r="E104" s="141"/>
      <c r="F104" s="141"/>
      <c r="G104" s="55"/>
    </row>
    <row r="105" spans="1:7" s="11" customFormat="1" ht="16.5" customHeight="1" x14ac:dyDescent="0.25">
      <c r="A105" s="11" t="s">
        <v>3247</v>
      </c>
      <c r="B105" s="119">
        <v>64847.1</v>
      </c>
      <c r="C105" s="13">
        <v>45929</v>
      </c>
      <c r="D105" s="86">
        <v>45931</v>
      </c>
      <c r="E105" s="141"/>
      <c r="F105" s="141"/>
      <c r="G105" s="55"/>
    </row>
    <row r="106" spans="1:7" s="11" customFormat="1" ht="16.5" customHeight="1" x14ac:dyDescent="0.25">
      <c r="A106" s="11" t="s">
        <v>3249</v>
      </c>
      <c r="B106" s="119">
        <v>64847.1</v>
      </c>
      <c r="C106" s="13">
        <v>45929</v>
      </c>
      <c r="D106" s="86">
        <v>45936</v>
      </c>
      <c r="E106" s="141"/>
      <c r="F106" s="141"/>
      <c r="G106" s="55"/>
    </row>
    <row r="107" spans="1:7" s="11" customFormat="1" ht="16.5" customHeight="1" x14ac:dyDescent="0.25">
      <c r="A107" s="11" t="s">
        <v>3250</v>
      </c>
      <c r="B107" s="119">
        <v>64847.1</v>
      </c>
      <c r="C107" s="13">
        <v>45929</v>
      </c>
      <c r="D107" s="86">
        <v>45931</v>
      </c>
      <c r="E107" s="141"/>
      <c r="F107" s="141"/>
      <c r="G107" s="55"/>
    </row>
    <row r="108" spans="1:7" s="11" customFormat="1" ht="15.75" customHeight="1" x14ac:dyDescent="0.25">
      <c r="A108" s="11" t="s">
        <v>3251</v>
      </c>
      <c r="B108" s="119">
        <v>64847.1</v>
      </c>
      <c r="C108" s="13">
        <v>45929</v>
      </c>
      <c r="D108" s="86">
        <v>45936</v>
      </c>
      <c r="E108" s="141"/>
      <c r="F108" s="141"/>
      <c r="G108" s="55"/>
    </row>
    <row r="109" spans="1:7" s="11" customFormat="1" ht="16.5" customHeight="1" x14ac:dyDescent="0.25">
      <c r="A109" s="11" t="s">
        <v>3252</v>
      </c>
      <c r="B109" s="119">
        <v>64847.1</v>
      </c>
      <c r="C109" s="13">
        <v>45930</v>
      </c>
      <c r="D109" s="86">
        <v>45936</v>
      </c>
      <c r="E109" s="141"/>
      <c r="F109" s="141"/>
      <c r="G109" s="55"/>
    </row>
    <row r="110" spans="1:7" s="11" customFormat="1" ht="16.5" customHeight="1" x14ac:dyDescent="0.25">
      <c r="A110" s="11" t="s">
        <v>3253</v>
      </c>
      <c r="B110" s="119">
        <v>64847.1</v>
      </c>
      <c r="C110" s="13">
        <v>45930</v>
      </c>
      <c r="D110" s="86">
        <v>45936</v>
      </c>
      <c r="E110" s="141"/>
      <c r="F110" s="141"/>
      <c r="G110" s="55"/>
    </row>
    <row r="111" spans="1:7" s="11" customFormat="1" ht="16.5" customHeight="1" x14ac:dyDescent="0.25">
      <c r="A111" s="11" t="s">
        <v>3254</v>
      </c>
      <c r="B111" s="119">
        <v>64847.1</v>
      </c>
      <c r="C111" s="13">
        <v>45930</v>
      </c>
      <c r="D111" s="86">
        <v>45936</v>
      </c>
      <c r="E111" s="141"/>
      <c r="F111" s="141"/>
      <c r="G111" s="55"/>
    </row>
    <row r="112" spans="1:7" s="11" customFormat="1" ht="16.5" customHeight="1" x14ac:dyDescent="0.25">
      <c r="A112" s="11" t="s">
        <v>3255</v>
      </c>
      <c r="B112" s="119">
        <v>65260.95</v>
      </c>
      <c r="C112" s="13">
        <v>45924</v>
      </c>
      <c r="D112" s="86">
        <v>45931</v>
      </c>
      <c r="E112" s="141"/>
      <c r="F112" s="141"/>
      <c r="G112" s="55"/>
    </row>
    <row r="113" spans="1:7" s="11" customFormat="1" ht="16.5" customHeight="1" x14ac:dyDescent="0.25">
      <c r="A113" s="11" t="s">
        <v>3256</v>
      </c>
      <c r="B113" s="119">
        <v>65260.95</v>
      </c>
      <c r="C113" s="13">
        <v>45930</v>
      </c>
      <c r="D113" s="86">
        <v>45936</v>
      </c>
      <c r="E113" s="141"/>
      <c r="F113" s="141"/>
      <c r="G113" s="55"/>
    </row>
    <row r="114" spans="1:7" s="11" customFormat="1" ht="16.5" customHeight="1" x14ac:dyDescent="0.25">
      <c r="A114" s="11" t="s">
        <v>3257</v>
      </c>
      <c r="B114" s="119">
        <v>65260.95</v>
      </c>
      <c r="C114" s="13">
        <v>45929</v>
      </c>
      <c r="D114" s="86">
        <v>45936</v>
      </c>
      <c r="E114" s="141"/>
      <c r="F114" s="141"/>
      <c r="G114" s="55"/>
    </row>
    <row r="115" spans="1:7" s="11" customFormat="1" ht="16.5" customHeight="1" x14ac:dyDescent="0.25">
      <c r="A115" s="11" t="s">
        <v>3258</v>
      </c>
      <c r="B115" s="119">
        <v>65260.95</v>
      </c>
      <c r="C115" s="13">
        <v>45930</v>
      </c>
      <c r="D115" s="86">
        <v>45936</v>
      </c>
      <c r="E115" s="141"/>
      <c r="F115" s="141"/>
      <c r="G115" s="55"/>
    </row>
    <row r="116" spans="1:7" s="11" customFormat="1" ht="16.5" customHeight="1" x14ac:dyDescent="0.25">
      <c r="A116" s="11" t="s">
        <v>3259</v>
      </c>
      <c r="B116" s="119">
        <v>65260.95</v>
      </c>
      <c r="C116" s="13">
        <v>45929</v>
      </c>
      <c r="D116" s="86">
        <v>45936</v>
      </c>
      <c r="E116" s="141"/>
      <c r="F116" s="141"/>
      <c r="G116" s="55"/>
    </row>
    <row r="117" spans="1:7" s="11" customFormat="1" ht="16.5" customHeight="1" x14ac:dyDescent="0.25">
      <c r="A117" s="11" t="s">
        <v>3260</v>
      </c>
      <c r="B117" s="119">
        <v>70582.100000000006</v>
      </c>
      <c r="C117" s="13">
        <v>45918</v>
      </c>
      <c r="D117" s="86">
        <v>45936</v>
      </c>
      <c r="E117" s="141"/>
      <c r="F117" s="141"/>
      <c r="G117" s="55"/>
    </row>
    <row r="118" spans="1:7" s="11" customFormat="1" ht="16.5" customHeight="1" x14ac:dyDescent="0.25">
      <c r="A118" s="11" t="s">
        <v>3261</v>
      </c>
      <c r="B118" s="119">
        <v>72344.45</v>
      </c>
      <c r="C118" s="13">
        <v>45919</v>
      </c>
      <c r="D118" s="86">
        <v>45936</v>
      </c>
      <c r="E118" s="141"/>
      <c r="F118" s="141"/>
      <c r="G118" s="55"/>
    </row>
    <row r="119" spans="1:7" s="11" customFormat="1" ht="16.5" customHeight="1" x14ac:dyDescent="0.25">
      <c r="A119" s="11" t="s">
        <v>3262</v>
      </c>
      <c r="B119" s="119">
        <v>75855.199999999997</v>
      </c>
      <c r="C119" s="13">
        <v>45917</v>
      </c>
      <c r="D119" s="86">
        <v>45931</v>
      </c>
      <c r="E119" s="141"/>
      <c r="F119" s="141"/>
      <c r="G119" s="55"/>
    </row>
    <row r="120" spans="1:7" s="11" customFormat="1" ht="16.5" customHeight="1" x14ac:dyDescent="0.25">
      <c r="A120" s="11" t="s">
        <v>3263</v>
      </c>
      <c r="B120" s="119">
        <v>75855.199999999997</v>
      </c>
      <c r="C120" s="13">
        <v>45917</v>
      </c>
      <c r="D120" s="86">
        <v>45931</v>
      </c>
      <c r="E120" s="141"/>
      <c r="F120" s="141"/>
      <c r="G120" s="55"/>
    </row>
    <row r="121" spans="1:7" s="11" customFormat="1" ht="16.5" customHeight="1" x14ac:dyDescent="0.25">
      <c r="A121" s="11" t="s">
        <v>3264</v>
      </c>
      <c r="B121" s="119">
        <v>75855.199999999997</v>
      </c>
      <c r="C121" s="13">
        <v>45924</v>
      </c>
      <c r="D121" s="86">
        <v>45936</v>
      </c>
      <c r="E121" s="141"/>
      <c r="F121" s="141"/>
      <c r="G121" s="55"/>
    </row>
    <row r="122" spans="1:7" s="11" customFormat="1" ht="16.5" customHeight="1" x14ac:dyDescent="0.25">
      <c r="A122" s="11" t="s">
        <v>3265</v>
      </c>
      <c r="B122" s="119">
        <v>75855.199999999997</v>
      </c>
      <c r="C122" s="13">
        <v>45930</v>
      </c>
      <c r="D122" s="86">
        <v>45939</v>
      </c>
      <c r="E122" s="141"/>
      <c r="F122" s="141"/>
      <c r="G122" s="55"/>
    </row>
    <row r="123" spans="1:7" s="11" customFormat="1" ht="16.5" customHeight="1" x14ac:dyDescent="0.25">
      <c r="A123" s="11" t="s">
        <v>3266</v>
      </c>
      <c r="B123" s="119">
        <v>75855.199999999997</v>
      </c>
      <c r="C123" s="13">
        <v>45930</v>
      </c>
      <c r="D123" s="86">
        <v>45939</v>
      </c>
      <c r="E123" s="141"/>
      <c r="F123" s="141"/>
      <c r="G123" s="55"/>
    </row>
    <row r="124" spans="1:7" s="11" customFormat="1" ht="16.5" customHeight="1" x14ac:dyDescent="0.25">
      <c r="A124" s="11" t="s">
        <v>3267</v>
      </c>
      <c r="B124" s="119">
        <v>76413.2</v>
      </c>
      <c r="C124" s="13">
        <v>45925</v>
      </c>
      <c r="D124" s="86">
        <v>45931</v>
      </c>
      <c r="E124" s="141"/>
      <c r="F124" s="141"/>
      <c r="G124" s="55"/>
    </row>
    <row r="125" spans="1:7" s="11" customFormat="1" ht="16.5" customHeight="1" x14ac:dyDescent="0.25">
      <c r="A125" s="11" t="s">
        <v>3268</v>
      </c>
      <c r="B125" s="119">
        <v>76413.2</v>
      </c>
      <c r="C125" s="13">
        <v>45925</v>
      </c>
      <c r="D125" s="86">
        <v>45931</v>
      </c>
      <c r="E125" s="141"/>
      <c r="F125" s="141"/>
      <c r="G125" s="55"/>
    </row>
    <row r="126" spans="1:7" s="11" customFormat="1" ht="16.5" customHeight="1" x14ac:dyDescent="0.25">
      <c r="A126" s="11" t="s">
        <v>3269</v>
      </c>
      <c r="B126" s="119">
        <v>76413.2</v>
      </c>
      <c r="C126" s="13">
        <v>45929</v>
      </c>
      <c r="D126" s="86">
        <v>45931</v>
      </c>
      <c r="E126" s="141"/>
      <c r="F126" s="141"/>
      <c r="G126" s="55"/>
    </row>
    <row r="127" spans="1:7" s="11" customFormat="1" ht="16.5" customHeight="1" x14ac:dyDescent="0.25">
      <c r="A127" s="11" t="s">
        <v>3270</v>
      </c>
      <c r="B127" s="119">
        <v>76413.2</v>
      </c>
      <c r="C127" s="13">
        <v>45929</v>
      </c>
      <c r="D127" s="86">
        <v>45931</v>
      </c>
      <c r="E127" s="141"/>
      <c r="F127" s="141"/>
      <c r="G127" s="55"/>
    </row>
    <row r="128" spans="1:7" s="11" customFormat="1" ht="16.5" customHeight="1" x14ac:dyDescent="0.25">
      <c r="A128" s="11" t="s">
        <v>3271</v>
      </c>
      <c r="B128" s="119">
        <v>77710.55</v>
      </c>
      <c r="C128" s="13">
        <v>45929</v>
      </c>
      <c r="D128" s="86">
        <v>45931</v>
      </c>
      <c r="E128" s="141"/>
      <c r="F128" s="141"/>
      <c r="G128" s="55"/>
    </row>
    <row r="129" spans="1:7" s="11" customFormat="1" ht="16.5" customHeight="1" x14ac:dyDescent="0.25">
      <c r="A129" s="11" t="s">
        <v>3272</v>
      </c>
      <c r="B129" s="119">
        <v>77710.55</v>
      </c>
      <c r="C129" s="13">
        <v>45929</v>
      </c>
      <c r="D129" s="86">
        <v>45936</v>
      </c>
      <c r="E129" s="141"/>
      <c r="F129" s="141"/>
      <c r="G129" s="55"/>
    </row>
    <row r="130" spans="1:7" s="11" customFormat="1" ht="16.5" customHeight="1" x14ac:dyDescent="0.25">
      <c r="A130" s="11" t="s">
        <v>3273</v>
      </c>
      <c r="B130" s="119">
        <v>77710.55</v>
      </c>
      <c r="C130" s="13">
        <v>45929</v>
      </c>
      <c r="D130" s="86">
        <v>45931</v>
      </c>
      <c r="E130" s="141"/>
      <c r="F130" s="141"/>
      <c r="G130" s="55"/>
    </row>
    <row r="131" spans="1:7" s="11" customFormat="1" ht="16.5" customHeight="1" x14ac:dyDescent="0.25">
      <c r="A131" s="11" t="s">
        <v>3274</v>
      </c>
      <c r="B131" s="119">
        <v>78268.55</v>
      </c>
      <c r="C131" s="13">
        <v>45929</v>
      </c>
      <c r="D131" s="86">
        <v>45936</v>
      </c>
      <c r="E131" s="141"/>
      <c r="F131" s="141"/>
      <c r="G131" s="55"/>
    </row>
    <row r="132" spans="1:7" s="11" customFormat="1" ht="16.5" customHeight="1" x14ac:dyDescent="0.25">
      <c r="A132" s="11" t="s">
        <v>3275</v>
      </c>
      <c r="B132" s="119">
        <v>78268.55</v>
      </c>
      <c r="C132" s="13">
        <v>45930</v>
      </c>
      <c r="D132" s="86">
        <v>45936</v>
      </c>
      <c r="E132" s="141"/>
      <c r="F132" s="141"/>
      <c r="G132" s="55"/>
    </row>
    <row r="133" spans="1:7" s="11" customFormat="1" ht="16.5" customHeight="1" x14ac:dyDescent="0.25">
      <c r="A133" s="11" t="s">
        <v>3276</v>
      </c>
      <c r="B133" s="119">
        <v>78682.399999999994</v>
      </c>
      <c r="C133" s="13">
        <v>45925</v>
      </c>
      <c r="D133" s="86">
        <v>45931</v>
      </c>
      <c r="E133" s="141"/>
      <c r="F133" s="141"/>
      <c r="G133" s="55"/>
    </row>
    <row r="134" spans="1:7" s="11" customFormat="1" ht="16.5" customHeight="1" x14ac:dyDescent="0.25">
      <c r="A134" s="11" t="s">
        <v>3277</v>
      </c>
      <c r="B134" s="119">
        <v>79240.399999999994</v>
      </c>
      <c r="C134" s="13">
        <v>45924</v>
      </c>
      <c r="D134" s="86">
        <v>45936</v>
      </c>
      <c r="E134" s="141"/>
      <c r="F134" s="141"/>
      <c r="G134" s="55"/>
    </row>
    <row r="135" spans="1:7" s="11" customFormat="1" ht="16.5" customHeight="1" x14ac:dyDescent="0.25">
      <c r="A135" s="11" t="s">
        <v>3278</v>
      </c>
      <c r="B135" s="119">
        <v>84095</v>
      </c>
      <c r="C135" s="13">
        <v>45926</v>
      </c>
      <c r="D135" s="86">
        <v>45931</v>
      </c>
      <c r="E135" s="141"/>
      <c r="F135" s="141"/>
      <c r="G135" s="55"/>
    </row>
    <row r="136" spans="1:7" s="11" customFormat="1" ht="16.5" customHeight="1" x14ac:dyDescent="0.25">
      <c r="A136" s="11" t="s">
        <v>3279</v>
      </c>
      <c r="B136" s="119">
        <v>84095</v>
      </c>
      <c r="C136" s="13">
        <v>45926</v>
      </c>
      <c r="D136" s="86">
        <v>45931</v>
      </c>
      <c r="E136" s="141"/>
      <c r="F136" s="141"/>
      <c r="G136" s="55"/>
    </row>
    <row r="137" spans="1:7" s="11" customFormat="1" ht="16.5" customHeight="1" x14ac:dyDescent="0.25">
      <c r="A137" s="11" t="s">
        <v>3280</v>
      </c>
      <c r="B137" s="119">
        <v>84095</v>
      </c>
      <c r="C137" s="13">
        <v>45929</v>
      </c>
      <c r="D137" s="86">
        <v>45931</v>
      </c>
      <c r="E137" s="141"/>
      <c r="F137" s="141"/>
      <c r="G137" s="55"/>
    </row>
    <row r="138" spans="1:7" s="11" customFormat="1" ht="16.5" customHeight="1" x14ac:dyDescent="0.25">
      <c r="A138" s="11" t="s">
        <v>3281</v>
      </c>
      <c r="B138" s="119">
        <v>99961.65</v>
      </c>
      <c r="C138" s="13">
        <v>45929</v>
      </c>
      <c r="D138" s="86">
        <v>45936</v>
      </c>
      <c r="E138" s="141"/>
      <c r="F138" s="141"/>
      <c r="G138" s="55"/>
    </row>
    <row r="139" spans="1:7" s="11" customFormat="1" ht="16.5" customHeight="1" thickBot="1" x14ac:dyDescent="0.3">
      <c r="B139" s="119"/>
      <c r="C139" s="13"/>
      <c r="D139" s="86"/>
      <c r="E139" s="141"/>
      <c r="F139" s="141"/>
      <c r="G139" s="55"/>
    </row>
    <row r="140" spans="1:7" s="11" customFormat="1" ht="15.75" x14ac:dyDescent="0.25">
      <c r="B140" s="25">
        <f>SUM(B21:B139)</f>
        <v>6740666.1499999976</v>
      </c>
      <c r="C140" s="147" t="s">
        <v>1450</v>
      </c>
      <c r="D140" s="179"/>
      <c r="E140" s="141"/>
      <c r="F140" s="141"/>
      <c r="G140" s="55"/>
    </row>
    <row r="141" spans="1:7" s="11" customFormat="1" ht="15.75" x14ac:dyDescent="0.25">
      <c r="A141" s="11" t="s">
        <v>1</v>
      </c>
      <c r="B141" s="17">
        <f>B140+B19</f>
        <v>6404015.1499999976</v>
      </c>
      <c r="C141" s="151" t="s">
        <v>1368</v>
      </c>
      <c r="D141" s="180"/>
      <c r="E141" s="141"/>
      <c r="F141" s="141"/>
      <c r="G141" s="55"/>
    </row>
    <row r="142" spans="1:7" s="11" customFormat="1" ht="15.75" x14ac:dyDescent="0.25">
      <c r="A142" s="11" t="s">
        <v>0</v>
      </c>
      <c r="B142" s="17">
        <f>B141-B7</f>
        <v>0</v>
      </c>
      <c r="C142" s="151" t="s">
        <v>1459</v>
      </c>
      <c r="D142" s="180"/>
      <c r="E142" s="141"/>
      <c r="F142" s="141"/>
      <c r="G142" s="55"/>
    </row>
    <row r="143" spans="1:7" s="11" customFormat="1" ht="16.5" thickBot="1" x14ac:dyDescent="0.3">
      <c r="C143" s="146" t="s">
        <v>1369</v>
      </c>
      <c r="D143" s="181"/>
      <c r="E143" s="141"/>
      <c r="F143" s="141"/>
      <c r="G143" s="55"/>
    </row>
    <row r="144" spans="1:7" s="11" customFormat="1" ht="15.75" x14ac:dyDescent="0.25">
      <c r="D144" s="14"/>
      <c r="E144" s="141"/>
      <c r="F144" s="141"/>
      <c r="G144" s="55"/>
    </row>
    <row r="145" spans="1:7" s="11" customFormat="1" ht="15.75" x14ac:dyDescent="0.25">
      <c r="D145" s="14"/>
      <c r="E145" s="141"/>
      <c r="F145" s="141"/>
      <c r="G145" s="55"/>
    </row>
    <row r="146" spans="1:7" s="11" customFormat="1" ht="15.75" x14ac:dyDescent="0.25">
      <c r="D146" s="14"/>
      <c r="E146" s="141"/>
      <c r="F146" s="141"/>
      <c r="G146" s="55"/>
    </row>
    <row r="147" spans="1:7" s="11" customFormat="1" ht="15.75" x14ac:dyDescent="0.25">
      <c r="D147" s="14"/>
      <c r="E147" s="141"/>
      <c r="F147" s="141"/>
      <c r="G147" s="55"/>
    </row>
    <row r="148" spans="1:7" s="11" customFormat="1" ht="15.75" x14ac:dyDescent="0.25">
      <c r="D148" s="14"/>
      <c r="E148" s="141"/>
      <c r="F148" s="141"/>
      <c r="G148" s="55"/>
    </row>
    <row r="149" spans="1:7" s="11" customFormat="1" ht="15.75" x14ac:dyDescent="0.25">
      <c r="D149" s="14"/>
      <c r="E149" s="141"/>
      <c r="F149" s="141"/>
      <c r="G149" s="55"/>
    </row>
    <row r="150" spans="1:7" s="11" customFormat="1" ht="15.75" x14ac:dyDescent="0.25">
      <c r="D150" s="14"/>
      <c r="E150" s="141"/>
      <c r="F150" s="141"/>
      <c r="G150" s="55"/>
    </row>
    <row r="151" spans="1:7" s="11" customFormat="1" ht="15.75" x14ac:dyDescent="0.25">
      <c r="D151" s="14"/>
      <c r="E151" s="141"/>
      <c r="F151" s="141"/>
      <c r="G151" s="55"/>
    </row>
    <row r="152" spans="1:7" s="11" customFormat="1" ht="15.75" x14ac:dyDescent="0.25">
      <c r="D152" s="14"/>
      <c r="E152" s="141"/>
      <c r="F152" s="141"/>
      <c r="G152" s="55"/>
    </row>
    <row r="153" spans="1:7" s="11" customFormat="1" ht="15.75" x14ac:dyDescent="0.25">
      <c r="D153" s="14"/>
      <c r="E153" s="141"/>
      <c r="F153" s="141"/>
      <c r="G153" s="55"/>
    </row>
    <row r="154" spans="1:7" s="11" customFormat="1" ht="15.95" customHeight="1" x14ac:dyDescent="0.25">
      <c r="D154" s="14"/>
      <c r="E154" s="141"/>
      <c r="F154" s="141"/>
    </row>
    <row r="155" spans="1:7" s="11" customFormat="1" ht="15.95" customHeight="1" x14ac:dyDescent="0.25">
      <c r="D155" s="14"/>
      <c r="E155" s="141"/>
      <c r="F155" s="141"/>
    </row>
    <row r="156" spans="1:7" s="11" customFormat="1" ht="15.95" customHeight="1" x14ac:dyDescent="0.25">
      <c r="D156" s="14"/>
      <c r="E156" s="141"/>
      <c r="F156" s="141"/>
    </row>
    <row r="157" spans="1:7" s="11" customFormat="1" ht="15.95" customHeight="1" x14ac:dyDescent="0.25">
      <c r="D157" s="14"/>
      <c r="E157" s="141"/>
      <c r="F157" s="141"/>
    </row>
    <row r="158" spans="1:7" s="11" customFormat="1" ht="15.95" customHeight="1" x14ac:dyDescent="0.25">
      <c r="D158" s="14"/>
      <c r="E158" s="141"/>
      <c r="F158" s="141"/>
    </row>
    <row r="159" spans="1:7" s="11" customFormat="1" ht="15.95" customHeight="1" x14ac:dyDescent="0.25">
      <c r="B159" s="17"/>
      <c r="D159" s="14"/>
      <c r="E159" s="141"/>
      <c r="F159" s="141"/>
    </row>
    <row r="160" spans="1:7" s="11" customFormat="1" ht="15.95" customHeight="1" x14ac:dyDescent="0.25">
      <c r="A160" s="39"/>
      <c r="B160" s="93"/>
      <c r="C160" s="18"/>
      <c r="D160" s="37"/>
      <c r="E160" s="141"/>
      <c r="F160" s="141"/>
    </row>
    <row r="161" spans="1:8" s="11" customFormat="1" ht="15.95" customHeight="1" x14ac:dyDescent="0.3">
      <c r="A161" s="1"/>
      <c r="B161" s="10"/>
      <c r="C161" s="13"/>
      <c r="D161" s="84"/>
      <c r="E161" s="141"/>
      <c r="F161" s="141"/>
    </row>
    <row r="162" spans="1:8" s="11" customFormat="1" ht="15.95" customHeight="1" x14ac:dyDescent="0.3">
      <c r="A162" s="1"/>
      <c r="B162" s="10"/>
      <c r="C162" s="13"/>
      <c r="D162" s="84"/>
      <c r="E162" s="141"/>
      <c r="F162" s="141"/>
    </row>
    <row r="163" spans="1:8" s="11" customFormat="1" ht="15.95" customHeight="1" x14ac:dyDescent="0.3">
      <c r="A163" s="1"/>
      <c r="B163" s="10"/>
      <c r="C163" s="13"/>
      <c r="D163" s="84"/>
      <c r="E163" s="141"/>
      <c r="F163" s="141"/>
    </row>
    <row r="164" spans="1:8" s="11" customFormat="1" ht="15.95" customHeight="1" x14ac:dyDescent="0.25">
      <c r="D164" s="14"/>
      <c r="E164" s="141"/>
      <c r="F164" s="141"/>
    </row>
    <row r="165" spans="1:8" s="11" customFormat="1" ht="15.95" customHeight="1" x14ac:dyDescent="0.25">
      <c r="D165" s="14"/>
      <c r="E165" s="141"/>
      <c r="F165" s="141"/>
    </row>
    <row r="166" spans="1:8" s="11" customFormat="1" ht="15.95" customHeight="1" x14ac:dyDescent="0.25">
      <c r="D166" s="14"/>
      <c r="E166" s="141"/>
      <c r="F166" s="141"/>
    </row>
    <row r="167" spans="1:8" s="11" customFormat="1" ht="15.95" customHeight="1" x14ac:dyDescent="0.25">
      <c r="D167" s="14"/>
      <c r="E167" s="141"/>
      <c r="F167" s="141"/>
    </row>
    <row r="168" spans="1:8" s="11" customFormat="1" ht="15.95" customHeight="1" x14ac:dyDescent="0.25">
      <c r="D168" s="14"/>
      <c r="E168" s="141"/>
      <c r="F168" s="141"/>
    </row>
    <row r="169" spans="1:8" s="11" customFormat="1" ht="15.95" customHeight="1" x14ac:dyDescent="0.25">
      <c r="D169" s="14"/>
      <c r="E169" s="141"/>
      <c r="F169" s="141"/>
      <c r="H169" s="88"/>
    </row>
    <row r="170" spans="1:8" s="11" customFormat="1" ht="15.95" customHeight="1" x14ac:dyDescent="0.25">
      <c r="D170" s="14"/>
      <c r="E170" s="141"/>
      <c r="F170" s="141"/>
      <c r="H170" s="88"/>
    </row>
    <row r="171" spans="1:8" s="11" customFormat="1" ht="15.95" customHeight="1" x14ac:dyDescent="0.25">
      <c r="D171" s="14"/>
      <c r="E171" s="141"/>
      <c r="F171" s="141"/>
      <c r="G171" s="126"/>
      <c r="H171" s="88"/>
    </row>
    <row r="172" spans="1:8" s="11" customFormat="1" ht="15.95" customHeight="1" x14ac:dyDescent="0.25">
      <c r="D172" s="14"/>
      <c r="E172" s="141"/>
      <c r="F172" s="141"/>
      <c r="H172" s="88"/>
    </row>
    <row r="173" spans="1:8" s="11" customFormat="1" ht="20.100000000000001" customHeight="1" x14ac:dyDescent="0.25">
      <c r="D173" s="14"/>
      <c r="E173" s="141"/>
      <c r="F173" s="141"/>
      <c r="H173" s="88"/>
    </row>
    <row r="174" spans="1:8" s="11" customFormat="1" ht="20.100000000000001" customHeight="1" x14ac:dyDescent="0.25">
      <c r="D174" s="14"/>
      <c r="E174" s="141"/>
      <c r="F174" s="141"/>
      <c r="H174" s="88"/>
    </row>
    <row r="175" spans="1:8" s="11" customFormat="1" ht="20.100000000000001" customHeight="1" x14ac:dyDescent="0.25">
      <c r="D175" s="14"/>
      <c r="E175" s="141"/>
      <c r="F175" s="141"/>
      <c r="G175" s="126"/>
      <c r="H175" s="88"/>
    </row>
    <row r="176" spans="1:8" s="11" customFormat="1" ht="20.100000000000001" customHeight="1" x14ac:dyDescent="0.25">
      <c r="D176" s="14"/>
      <c r="E176" s="141"/>
      <c r="F176" s="141"/>
      <c r="H176" s="88"/>
    </row>
    <row r="177" spans="1:19" s="13" customFormat="1" ht="20.100000000000001" customHeight="1" x14ac:dyDescent="0.3">
      <c r="A177" s="1"/>
      <c r="B177" s="10"/>
      <c r="D177" s="84"/>
      <c r="E177" s="141"/>
      <c r="F177" s="141"/>
      <c r="H177" s="88"/>
      <c r="I177" s="11"/>
    </row>
    <row r="178" spans="1:19" s="13" customFormat="1" ht="20.100000000000001" customHeight="1" x14ac:dyDescent="0.3">
      <c r="A178" s="1"/>
      <c r="B178" s="10"/>
      <c r="D178" s="84"/>
      <c r="E178" s="141"/>
      <c r="F178" s="141"/>
      <c r="H178" s="88"/>
      <c r="I178" s="11"/>
    </row>
    <row r="179" spans="1:19" s="13" customFormat="1" ht="20.100000000000001" customHeight="1" x14ac:dyDescent="0.3">
      <c r="A179" s="1"/>
      <c r="B179" s="10"/>
      <c r="D179" s="84"/>
      <c r="E179" s="141"/>
      <c r="F179" s="141"/>
      <c r="H179" s="88"/>
      <c r="I179" s="11"/>
    </row>
    <row r="180" spans="1:19" s="90" customFormat="1" ht="20.100000000000001" customHeight="1" x14ac:dyDescent="0.3">
      <c r="A180" s="1"/>
      <c r="B180" s="10"/>
      <c r="C180" s="13"/>
      <c r="D180" s="178"/>
      <c r="E180" s="141"/>
      <c r="F180" s="141"/>
      <c r="G180" s="1"/>
      <c r="I180" s="1"/>
      <c r="J180" s="1"/>
      <c r="K180" s="1"/>
      <c r="M180" s="1"/>
      <c r="N180" s="1"/>
      <c r="O180" s="1"/>
      <c r="P180" s="1"/>
      <c r="Q180" s="1"/>
      <c r="R180" s="1"/>
      <c r="S180" s="1"/>
    </row>
    <row r="181" spans="1:19" s="90" customFormat="1" ht="20.100000000000001" customHeight="1" x14ac:dyDescent="0.3">
      <c r="A181" s="1"/>
      <c r="B181" s="10"/>
      <c r="C181" s="13"/>
      <c r="D181" s="178"/>
      <c r="E181" s="141"/>
      <c r="F181" s="141"/>
      <c r="G181" s="1"/>
      <c r="I181" s="1"/>
      <c r="J181" s="1"/>
      <c r="K181" s="1"/>
      <c r="M181" s="1"/>
      <c r="N181" s="1"/>
      <c r="O181" s="1"/>
      <c r="P181" s="1"/>
      <c r="Q181" s="1"/>
      <c r="R181" s="1"/>
      <c r="S181" s="1"/>
    </row>
    <row r="182" spans="1:19" s="90" customFormat="1" ht="20.100000000000001" customHeight="1" x14ac:dyDescent="0.3">
      <c r="A182" s="1"/>
      <c r="B182" s="10"/>
      <c r="C182" s="13"/>
      <c r="D182" s="178"/>
      <c r="E182" s="141"/>
      <c r="F182" s="141"/>
      <c r="G182" s="1"/>
      <c r="I182" s="1"/>
      <c r="J182" s="1"/>
      <c r="K182" s="1"/>
      <c r="M182" s="1"/>
      <c r="N182" s="1"/>
      <c r="O182" s="1"/>
      <c r="P182" s="1"/>
      <c r="Q182" s="1"/>
      <c r="R182" s="1"/>
      <c r="S182" s="1"/>
    </row>
    <row r="183" spans="1:19" s="90" customFormat="1" ht="20.100000000000001" customHeight="1" x14ac:dyDescent="0.3">
      <c r="A183" s="1"/>
      <c r="B183" s="10"/>
      <c r="C183" s="13"/>
      <c r="D183" s="178"/>
      <c r="E183" s="141"/>
      <c r="F183" s="141"/>
      <c r="G183" s="11"/>
      <c r="I183" s="1"/>
      <c r="J183" s="1"/>
      <c r="K183" s="1"/>
      <c r="M183" s="1"/>
      <c r="N183" s="1"/>
      <c r="O183" s="1"/>
      <c r="P183" s="1"/>
      <c r="Q183" s="1"/>
      <c r="R183" s="1"/>
      <c r="S183" s="1"/>
    </row>
  </sheetData>
  <pageMargins left="0.7" right="0.7" top="0.75" bottom="0.75" header="0.3" footer="0.3"/>
  <pageSetup scale="73" fitToHeight="0"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2BE9C-2337-469A-8029-939C246D4052}">
  <sheetPr>
    <pageSetUpPr fitToPage="1"/>
  </sheetPr>
  <dimension ref="A1:S103"/>
  <sheetViews>
    <sheetView topLeftCell="A30" zoomScale="85" zoomScaleNormal="85" workbookViewId="0">
      <selection activeCell="G46" sqref="G46"/>
    </sheetView>
  </sheetViews>
  <sheetFormatPr defaultRowHeight="18.75" x14ac:dyDescent="0.3"/>
  <cols>
    <col min="1" max="1" width="20.7109375" style="1" customWidth="1"/>
    <col min="2" max="2" width="16.85546875" style="10" customWidth="1"/>
    <col min="3" max="3" width="28.7109375" style="13" bestFit="1" customWidth="1"/>
    <col min="4" max="4" width="31.28515625" style="178" bestFit="1" customWidth="1"/>
    <col min="5" max="5" width="9.7109375" style="141" customWidth="1"/>
    <col min="6" max="6" width="16.5703125" style="141" customWidth="1"/>
    <col min="7" max="7" width="35" style="1" bestFit="1" customWidth="1"/>
    <col min="8" max="8" width="5.5703125" style="90" bestFit="1" customWidth="1"/>
    <col min="9" max="11" width="9.140625" style="1"/>
    <col min="12" max="12" width="57.5703125" style="1" bestFit="1" customWidth="1"/>
    <col min="13" max="16384" width="9.140625" style="1"/>
  </cols>
  <sheetData>
    <row r="1" spans="1:19" s="11" customFormat="1" ht="20.100000000000001" customHeight="1" x14ac:dyDescent="0.25">
      <c r="A1" s="11" t="s">
        <v>1203</v>
      </c>
      <c r="B1" s="17"/>
      <c r="C1" s="13"/>
      <c r="D1" s="84"/>
      <c r="E1" s="141"/>
      <c r="H1" s="88"/>
    </row>
    <row r="2" spans="1:19" s="11" customFormat="1" ht="20.100000000000001" customHeight="1" x14ac:dyDescent="0.25">
      <c r="A2" s="14">
        <v>45961</v>
      </c>
      <c r="B2" s="17"/>
      <c r="C2" s="13"/>
      <c r="D2" s="84"/>
      <c r="E2" s="141"/>
      <c r="H2" s="88"/>
    </row>
    <row r="3" spans="1:19" s="11" customFormat="1" ht="20.100000000000001" customHeight="1" x14ac:dyDescent="0.25">
      <c r="A3" s="11" t="s">
        <v>311</v>
      </c>
      <c r="B3" s="17">
        <v>39767155.149999999</v>
      </c>
      <c r="C3" s="13"/>
      <c r="D3" s="84"/>
      <c r="E3" s="141"/>
      <c r="H3" s="88"/>
      <c r="M3" s="89"/>
    </row>
    <row r="4" spans="1:19" s="11" customFormat="1" ht="20.100000000000001" customHeight="1" x14ac:dyDescent="0.25">
      <c r="A4" s="11" t="s">
        <v>6</v>
      </c>
      <c r="B4" s="17"/>
      <c r="C4" s="13"/>
      <c r="D4" s="84"/>
      <c r="E4" s="141"/>
      <c r="H4" s="88"/>
      <c r="L4" s="11" t="s">
        <v>1437</v>
      </c>
      <c r="M4" s="89"/>
    </row>
    <row r="5" spans="1:19" s="11" customFormat="1" ht="20.100000000000001" customHeight="1" x14ac:dyDescent="0.25">
      <c r="A5" s="11">
        <v>2100</v>
      </c>
      <c r="B5" s="17">
        <v>-39944601.950000003</v>
      </c>
      <c r="C5" s="13"/>
      <c r="D5" s="84"/>
      <c r="E5" s="141"/>
      <c r="H5" s="88"/>
      <c r="L5" s="11" t="s">
        <v>1438</v>
      </c>
      <c r="M5" s="89"/>
    </row>
    <row r="6" spans="1:19" s="11" customFormat="1" ht="20.100000000000001" customHeight="1" x14ac:dyDescent="0.25">
      <c r="A6" s="11" t="s">
        <v>5</v>
      </c>
      <c r="B6" s="17">
        <f>SUM(B5)</f>
        <v>-39944601.950000003</v>
      </c>
      <c r="C6" s="13"/>
      <c r="D6" s="84"/>
      <c r="E6" s="141"/>
      <c r="H6" s="88"/>
      <c r="L6" s="11" t="s">
        <v>1439</v>
      </c>
      <c r="M6" s="89"/>
      <c r="O6" s="62"/>
      <c r="P6" s="62"/>
      <c r="Q6" s="62"/>
      <c r="R6" s="62"/>
      <c r="S6" s="62"/>
    </row>
    <row r="7" spans="1:19" s="11" customFormat="1" ht="20.100000000000001" customHeight="1" x14ac:dyDescent="0.25">
      <c r="A7" s="11" t="s">
        <v>4</v>
      </c>
      <c r="B7" s="17">
        <f>B6+B3</f>
        <v>-177446.80000000447</v>
      </c>
      <c r="C7" s="13"/>
      <c r="D7" s="84"/>
      <c r="E7" s="141"/>
      <c r="H7" s="88"/>
      <c r="L7" s="11" t="s">
        <v>1440</v>
      </c>
      <c r="M7" s="88"/>
    </row>
    <row r="8" spans="1:19" s="11" customFormat="1" ht="15.95" customHeight="1" x14ac:dyDescent="0.25">
      <c r="A8" s="11" t="s">
        <v>3</v>
      </c>
      <c r="B8" s="17"/>
      <c r="C8" s="44" t="s">
        <v>628</v>
      </c>
      <c r="D8" s="175" t="s">
        <v>626</v>
      </c>
      <c r="E8" s="141"/>
      <c r="H8" s="88"/>
      <c r="L8" s="11" t="s">
        <v>1441</v>
      </c>
      <c r="M8" s="88"/>
    </row>
    <row r="9" spans="1:19" s="11" customFormat="1" ht="15.75" x14ac:dyDescent="0.25">
      <c r="A9" s="160" t="s">
        <v>3292</v>
      </c>
      <c r="B9" s="161">
        <v>-29240</v>
      </c>
      <c r="C9" s="164">
        <v>45961</v>
      </c>
      <c r="D9" s="176">
        <v>45964</v>
      </c>
      <c r="E9" s="160"/>
      <c r="F9" s="141"/>
      <c r="G9" s="55"/>
      <c r="L9" s="11" t="s">
        <v>1442</v>
      </c>
      <c r="M9" s="88"/>
    </row>
    <row r="10" spans="1:19" s="11" customFormat="1" ht="15.75" x14ac:dyDescent="0.25">
      <c r="A10" s="160" t="s">
        <v>3293</v>
      </c>
      <c r="B10" s="161">
        <v>-29873</v>
      </c>
      <c r="C10" s="164" t="s">
        <v>3335</v>
      </c>
      <c r="D10" s="176" t="s">
        <v>3334</v>
      </c>
      <c r="E10" s="160"/>
      <c r="F10" s="141"/>
      <c r="G10" s="55"/>
      <c r="L10" s="11" t="s">
        <v>1443</v>
      </c>
      <c r="M10" s="88"/>
    </row>
    <row r="11" spans="1:19" s="11" customFormat="1" ht="15.75" x14ac:dyDescent="0.25">
      <c r="A11" s="160" t="s">
        <v>3294</v>
      </c>
      <c r="B11" s="161">
        <v>-30923</v>
      </c>
      <c r="C11" s="164" t="s">
        <v>3335</v>
      </c>
      <c r="D11" s="176" t="s">
        <v>3334</v>
      </c>
      <c r="E11" s="160"/>
      <c r="F11" s="141"/>
      <c r="G11" s="55"/>
      <c r="L11" s="11" t="s">
        <v>1444</v>
      </c>
      <c r="M11" s="88"/>
    </row>
    <row r="12" spans="1:19" s="11" customFormat="1" ht="15.75" x14ac:dyDescent="0.25">
      <c r="A12" s="160" t="s">
        <v>3295</v>
      </c>
      <c r="B12" s="161">
        <v>-31202</v>
      </c>
      <c r="C12" s="164" t="s">
        <v>3335</v>
      </c>
      <c r="D12" s="176" t="s">
        <v>3334</v>
      </c>
      <c r="E12" s="160"/>
      <c r="F12" s="141"/>
      <c r="G12" s="55"/>
      <c r="L12" s="11" t="s">
        <v>1445</v>
      </c>
      <c r="M12" s="88"/>
    </row>
    <row r="13" spans="1:19" s="11" customFormat="1" ht="15.75" x14ac:dyDescent="0.25">
      <c r="A13" s="160" t="s">
        <v>3296</v>
      </c>
      <c r="B13" s="161">
        <v>-31786</v>
      </c>
      <c r="C13" s="164">
        <v>45961</v>
      </c>
      <c r="D13" s="176">
        <v>45964</v>
      </c>
      <c r="E13" s="160"/>
      <c r="F13" s="141"/>
      <c r="G13" s="55"/>
      <c r="L13" s="11" t="s">
        <v>1446</v>
      </c>
      <c r="M13" s="88"/>
    </row>
    <row r="14" spans="1:19" s="11" customFormat="1" ht="15.75" x14ac:dyDescent="0.25">
      <c r="A14" s="160" t="s">
        <v>3297</v>
      </c>
      <c r="B14" s="161">
        <v>-32627</v>
      </c>
      <c r="C14" s="164" t="s">
        <v>3335</v>
      </c>
      <c r="D14" s="176" t="s">
        <v>3334</v>
      </c>
      <c r="E14" s="160"/>
      <c r="F14" s="141"/>
      <c r="G14" s="55"/>
      <c r="L14" s="11" t="s">
        <v>1447</v>
      </c>
      <c r="M14" s="88"/>
    </row>
    <row r="15" spans="1:19" s="11" customFormat="1" ht="15.75" x14ac:dyDescent="0.25">
      <c r="A15" s="160" t="s">
        <v>3302</v>
      </c>
      <c r="B15" s="161">
        <v>-33866</v>
      </c>
      <c r="C15" s="164">
        <v>45961</v>
      </c>
      <c r="D15" s="176">
        <v>45964</v>
      </c>
      <c r="E15" s="160"/>
      <c r="F15" s="141"/>
      <c r="G15" s="55"/>
      <c r="L15" s="11" t="s">
        <v>1448</v>
      </c>
      <c r="M15" s="88"/>
    </row>
    <row r="16" spans="1:19" s="11" customFormat="1" ht="15.75" x14ac:dyDescent="0.25">
      <c r="A16" s="160" t="s">
        <v>3303</v>
      </c>
      <c r="B16" s="161">
        <v>-33866</v>
      </c>
      <c r="C16" s="164">
        <v>45961</v>
      </c>
      <c r="D16" s="176">
        <v>45964</v>
      </c>
      <c r="E16" s="160"/>
      <c r="F16" s="141"/>
      <c r="G16" s="55"/>
      <c r="L16" s="11" t="s">
        <v>1449</v>
      </c>
      <c r="M16" s="88"/>
    </row>
    <row r="17" spans="1:13" s="11" customFormat="1" ht="15.75" x14ac:dyDescent="0.25">
      <c r="A17" s="160" t="s">
        <v>3304</v>
      </c>
      <c r="B17" s="161">
        <v>-34544</v>
      </c>
      <c r="C17" s="164" t="s">
        <v>3335</v>
      </c>
      <c r="D17" s="176" t="s">
        <v>3334</v>
      </c>
      <c r="E17" s="160"/>
      <c r="F17" s="141"/>
      <c r="G17" s="55"/>
      <c r="L17" s="11" t="s">
        <v>1450</v>
      </c>
      <c r="M17" s="88"/>
    </row>
    <row r="18" spans="1:13" s="11" customFormat="1" ht="15.75" x14ac:dyDescent="0.25">
      <c r="A18" s="160" t="s">
        <v>3305</v>
      </c>
      <c r="B18" s="161">
        <v>-35106.75</v>
      </c>
      <c r="C18" s="164">
        <v>45960</v>
      </c>
      <c r="D18" s="176">
        <v>45964</v>
      </c>
      <c r="E18" s="160"/>
      <c r="F18" s="141"/>
      <c r="G18" s="55"/>
      <c r="L18" s="11" t="s">
        <v>1451</v>
      </c>
      <c r="M18" s="88"/>
    </row>
    <row r="19" spans="1:13" s="11" customFormat="1" ht="15.75" x14ac:dyDescent="0.25">
      <c r="A19" s="160" t="s">
        <v>3306</v>
      </c>
      <c r="B19" s="161">
        <v>-35106.75</v>
      </c>
      <c r="C19" s="164">
        <v>45960</v>
      </c>
      <c r="D19" s="176">
        <v>45964</v>
      </c>
      <c r="E19" s="160"/>
      <c r="F19" s="141"/>
      <c r="G19" s="55"/>
      <c r="L19" s="11" t="s">
        <v>1452</v>
      </c>
      <c r="M19" s="88"/>
    </row>
    <row r="20" spans="1:13" s="11" customFormat="1" ht="15.75" x14ac:dyDescent="0.25">
      <c r="A20" s="160" t="s">
        <v>3307</v>
      </c>
      <c r="B20" s="161">
        <v>-35185</v>
      </c>
      <c r="C20" s="164" t="s">
        <v>3335</v>
      </c>
      <c r="D20" s="176" t="s">
        <v>3334</v>
      </c>
      <c r="E20" s="160"/>
      <c r="F20" s="141"/>
      <c r="G20" s="55"/>
      <c r="L20" s="11" t="s">
        <v>1453</v>
      </c>
      <c r="M20" s="88"/>
    </row>
    <row r="21" spans="1:13" s="11" customFormat="1" ht="15.75" x14ac:dyDescent="0.25">
      <c r="A21" s="160" t="s">
        <v>3308</v>
      </c>
      <c r="B21" s="161">
        <v>-36476</v>
      </c>
      <c r="C21" s="164">
        <v>45961</v>
      </c>
      <c r="D21" s="176">
        <v>45964</v>
      </c>
      <c r="E21" s="160"/>
      <c r="F21" s="141"/>
      <c r="G21" s="55"/>
      <c r="L21" s="11" t="s">
        <v>1436</v>
      </c>
      <c r="M21" s="88"/>
    </row>
    <row r="22" spans="1:13" s="11" customFormat="1" ht="15.75" x14ac:dyDescent="0.25">
      <c r="A22" s="160" t="s">
        <v>3309</v>
      </c>
      <c r="B22" s="161">
        <v>-37881</v>
      </c>
      <c r="C22" s="164" t="s">
        <v>3335</v>
      </c>
      <c r="D22" s="176" t="s">
        <v>3334</v>
      </c>
      <c r="E22" s="160"/>
      <c r="F22" s="141"/>
      <c r="G22" s="55"/>
      <c r="L22" s="11" t="s">
        <v>1454</v>
      </c>
      <c r="M22" s="88"/>
    </row>
    <row r="23" spans="1:13" s="11" customFormat="1" ht="15.75" x14ac:dyDescent="0.25">
      <c r="A23" s="160" t="s">
        <v>3310</v>
      </c>
      <c r="B23" s="161">
        <v>-39148</v>
      </c>
      <c r="C23" s="164" t="s">
        <v>3335</v>
      </c>
      <c r="D23" s="176" t="s">
        <v>3334</v>
      </c>
      <c r="E23" s="160"/>
      <c r="F23" s="141"/>
      <c r="G23" s="55"/>
      <c r="L23" s="11" t="s">
        <v>1455</v>
      </c>
      <c r="M23" s="88"/>
    </row>
    <row r="24" spans="1:13" s="11" customFormat="1" ht="15.75" x14ac:dyDescent="0.25">
      <c r="A24" s="160" t="s">
        <v>3311</v>
      </c>
      <c r="B24" s="161">
        <v>-42407</v>
      </c>
      <c r="C24" s="164">
        <v>45961</v>
      </c>
      <c r="D24" s="176">
        <v>45964</v>
      </c>
      <c r="E24" s="160"/>
      <c r="F24" s="141"/>
      <c r="G24" s="55"/>
      <c r="L24" s="11" t="s">
        <v>1456</v>
      </c>
      <c r="M24" s="88"/>
    </row>
    <row r="25" spans="1:13" s="11" customFormat="1" ht="15.75" x14ac:dyDescent="0.25">
      <c r="A25" s="160" t="s">
        <v>3312</v>
      </c>
      <c r="B25" s="161">
        <v>-42407</v>
      </c>
      <c r="C25" s="164">
        <v>45961</v>
      </c>
      <c r="D25" s="176">
        <v>45964</v>
      </c>
      <c r="E25" s="160"/>
      <c r="F25" s="141"/>
      <c r="G25" s="55"/>
      <c r="L25" s="11" t="s">
        <v>1457</v>
      </c>
      <c r="M25" s="88"/>
    </row>
    <row r="26" spans="1:13" s="11" customFormat="1" ht="15.75" x14ac:dyDescent="0.25">
      <c r="A26" s="160" t="s">
        <v>3313</v>
      </c>
      <c r="B26" s="161">
        <v>-42782</v>
      </c>
      <c r="C26" s="164">
        <v>45961</v>
      </c>
      <c r="D26" s="176">
        <v>45964</v>
      </c>
      <c r="E26" s="160"/>
      <c r="F26" s="141"/>
      <c r="G26" s="55"/>
      <c r="L26" s="11" t="s">
        <v>2506</v>
      </c>
      <c r="M26" s="88"/>
    </row>
    <row r="27" spans="1:13" s="11" customFormat="1" ht="15.75" x14ac:dyDescent="0.25">
      <c r="A27" s="160" t="s">
        <v>3314</v>
      </c>
      <c r="B27" s="161">
        <v>-50176</v>
      </c>
      <c r="C27" s="164">
        <v>45961</v>
      </c>
      <c r="D27" s="176">
        <v>45964</v>
      </c>
      <c r="E27" s="160"/>
      <c r="F27" s="141"/>
      <c r="G27" s="55"/>
      <c r="L27" s="11" t="s">
        <v>1458</v>
      </c>
      <c r="M27" s="88"/>
    </row>
    <row r="28" spans="1:13" s="11" customFormat="1" ht="15.75" x14ac:dyDescent="0.25">
      <c r="A28" s="160" t="s">
        <v>3315</v>
      </c>
      <c r="B28" s="161">
        <v>-51105</v>
      </c>
      <c r="C28" s="164" t="s">
        <v>3335</v>
      </c>
      <c r="D28" s="176" t="s">
        <v>3334</v>
      </c>
      <c r="E28" s="160"/>
      <c r="F28" s="141"/>
      <c r="G28" s="55"/>
      <c r="L28" s="11" t="s">
        <v>3337</v>
      </c>
      <c r="M28" s="88"/>
    </row>
    <row r="29" spans="1:13" s="11" customFormat="1" ht="15.75" x14ac:dyDescent="0.25">
      <c r="A29" s="160" t="s">
        <v>3316</v>
      </c>
      <c r="B29" s="161">
        <v>-54238.1</v>
      </c>
      <c r="C29" s="164">
        <v>45960</v>
      </c>
      <c r="D29" s="176">
        <v>45965</v>
      </c>
      <c r="E29" s="160"/>
      <c r="F29" s="141"/>
      <c r="G29" s="55"/>
      <c r="L29" s="11" t="s">
        <v>1368</v>
      </c>
      <c r="M29" s="88"/>
    </row>
    <row r="30" spans="1:13" s="11" customFormat="1" ht="15.75" x14ac:dyDescent="0.25">
      <c r="A30" s="160" t="s">
        <v>3317</v>
      </c>
      <c r="B30" s="161">
        <v>-54238.1</v>
      </c>
      <c r="C30" s="164">
        <v>45960</v>
      </c>
      <c r="D30" s="176">
        <v>45965</v>
      </c>
      <c r="E30" s="160"/>
      <c r="F30" s="141"/>
      <c r="G30" s="55"/>
      <c r="L30" s="11" t="s">
        <v>1459</v>
      </c>
      <c r="M30" s="88"/>
    </row>
    <row r="31" spans="1:13" s="11" customFormat="1" ht="15.75" x14ac:dyDescent="0.25">
      <c r="A31" s="160" t="s">
        <v>3318</v>
      </c>
      <c r="B31" s="161">
        <v>-63240.6</v>
      </c>
      <c r="C31" s="164">
        <v>45960</v>
      </c>
      <c r="D31" s="176">
        <v>45964</v>
      </c>
      <c r="E31" s="160"/>
      <c r="F31" s="141"/>
      <c r="G31" s="55"/>
      <c r="L31" s="11" t="s">
        <v>1369</v>
      </c>
      <c r="M31" s="88"/>
    </row>
    <row r="32" spans="1:13" s="11" customFormat="1" ht="15.75" x14ac:dyDescent="0.25">
      <c r="A32" s="160" t="s">
        <v>3319</v>
      </c>
      <c r="B32" s="161">
        <v>-63240.6</v>
      </c>
      <c r="C32" s="164">
        <v>45960</v>
      </c>
      <c r="D32" s="176">
        <v>45965</v>
      </c>
      <c r="E32" s="160"/>
      <c r="F32" s="141"/>
      <c r="G32" s="55"/>
      <c r="L32" s="11" t="s">
        <v>1460</v>
      </c>
      <c r="M32" s="88"/>
    </row>
    <row r="33" spans="1:13" s="11" customFormat="1" ht="15.75" x14ac:dyDescent="0.25">
      <c r="A33" s="160" t="s">
        <v>3321</v>
      </c>
      <c r="B33" s="161">
        <v>-84569.35</v>
      </c>
      <c r="C33" s="164">
        <v>45960</v>
      </c>
      <c r="D33" s="176">
        <v>45965</v>
      </c>
      <c r="E33" s="160"/>
      <c r="F33" s="141"/>
      <c r="G33" s="55"/>
      <c r="M33" s="88"/>
    </row>
    <row r="34" spans="1:13" s="11" customFormat="1" ht="15.75" x14ac:dyDescent="0.25">
      <c r="A34" s="160" t="s">
        <v>3322</v>
      </c>
      <c r="B34" s="161">
        <v>-85029.7</v>
      </c>
      <c r="C34" s="164">
        <v>45960</v>
      </c>
      <c r="D34" s="176">
        <v>45965</v>
      </c>
      <c r="E34" s="160"/>
      <c r="F34" s="141"/>
      <c r="G34" s="55"/>
      <c r="M34" s="88"/>
    </row>
    <row r="35" spans="1:13" s="11" customFormat="1" ht="16.5" thickBot="1" x14ac:dyDescent="0.3">
      <c r="A35" s="160" t="s">
        <v>3323</v>
      </c>
      <c r="B35" s="161">
        <v>-85029.7</v>
      </c>
      <c r="C35" s="164">
        <v>45953</v>
      </c>
      <c r="D35" s="176">
        <v>45965</v>
      </c>
      <c r="E35" s="160"/>
      <c r="F35" s="141"/>
      <c r="G35" s="55"/>
      <c r="M35" s="88"/>
    </row>
    <row r="36" spans="1:13" s="11" customFormat="1" ht="15.75" x14ac:dyDescent="0.25">
      <c r="A36" s="160"/>
      <c r="B36" s="161"/>
      <c r="C36" s="164"/>
      <c r="D36" s="176"/>
      <c r="E36" s="160"/>
      <c r="F36" s="141"/>
      <c r="G36" s="55"/>
      <c r="L36" s="129" t="s">
        <v>3337</v>
      </c>
      <c r="M36" s="88"/>
    </row>
    <row r="37" spans="1:13" s="11" customFormat="1" ht="15.75" x14ac:dyDescent="0.25">
      <c r="B37" s="25">
        <f>SUM(B9:B36)</f>
        <v>-1225293.6499999999</v>
      </c>
      <c r="C37" s="28"/>
      <c r="D37" s="14"/>
      <c r="E37" s="141"/>
      <c r="F37" s="141"/>
      <c r="G37" s="55"/>
      <c r="L37" s="130" t="s">
        <v>1459</v>
      </c>
    </row>
    <row r="38" spans="1:13" s="11" customFormat="1" ht="16.5" customHeight="1" thickBot="1" x14ac:dyDescent="0.3">
      <c r="A38" s="11" t="s">
        <v>2</v>
      </c>
      <c r="B38" s="25"/>
      <c r="C38" s="52" t="s">
        <v>626</v>
      </c>
      <c r="D38" s="177" t="s">
        <v>628</v>
      </c>
      <c r="E38" s="141"/>
      <c r="F38" s="141"/>
      <c r="G38" s="55"/>
      <c r="L38" s="131" t="s">
        <v>1369</v>
      </c>
    </row>
    <row r="39" spans="1:13" s="11" customFormat="1" ht="16.5" customHeight="1" x14ac:dyDescent="0.25">
      <c r="A39" s="11" t="s">
        <v>3301</v>
      </c>
      <c r="B39" s="119">
        <v>27819</v>
      </c>
      <c r="C39" s="13" t="s">
        <v>3334</v>
      </c>
      <c r="D39" s="86" t="s">
        <v>3335</v>
      </c>
      <c r="E39" s="141"/>
      <c r="F39" s="141"/>
      <c r="G39" s="55"/>
    </row>
    <row r="40" spans="1:13" s="11" customFormat="1" ht="16.5" customHeight="1" x14ac:dyDescent="0.25">
      <c r="A40" s="11" t="s">
        <v>3300</v>
      </c>
      <c r="B40" s="119">
        <v>28859</v>
      </c>
      <c r="C40" s="13" t="s">
        <v>3334</v>
      </c>
      <c r="D40" s="86" t="s">
        <v>3335</v>
      </c>
      <c r="E40" s="141"/>
      <c r="F40" s="141"/>
      <c r="G40" s="55"/>
    </row>
    <row r="41" spans="1:13" s="11" customFormat="1" ht="16.5" customHeight="1" x14ac:dyDescent="0.25">
      <c r="A41" s="11" t="s">
        <v>3299</v>
      </c>
      <c r="B41" s="119">
        <v>29084</v>
      </c>
      <c r="C41" s="13" t="s">
        <v>3334</v>
      </c>
      <c r="D41" s="86" t="s">
        <v>3335</v>
      </c>
      <c r="E41" s="141"/>
      <c r="F41" s="141"/>
      <c r="G41" s="55"/>
    </row>
    <row r="42" spans="1:13" s="11" customFormat="1" ht="16.5" customHeight="1" x14ac:dyDescent="0.25">
      <c r="A42" s="11" t="s">
        <v>3298</v>
      </c>
      <c r="B42" s="119">
        <v>30487</v>
      </c>
      <c r="C42" s="13" t="s">
        <v>3334</v>
      </c>
      <c r="D42" s="86" t="s">
        <v>3335</v>
      </c>
      <c r="E42" s="141"/>
      <c r="F42" s="141"/>
      <c r="G42" s="55"/>
      <c r="M42" s="88"/>
    </row>
    <row r="43" spans="1:13" s="11" customFormat="1" ht="16.5" customHeight="1" x14ac:dyDescent="0.25">
      <c r="A43" s="11" t="s">
        <v>3324</v>
      </c>
      <c r="B43" s="119">
        <v>32332</v>
      </c>
      <c r="C43" s="13" t="s">
        <v>3334</v>
      </c>
      <c r="D43" s="86" t="s">
        <v>3335</v>
      </c>
      <c r="E43" s="141"/>
      <c r="F43" s="141"/>
      <c r="G43" s="55"/>
    </row>
    <row r="44" spans="1:13" s="11" customFormat="1" ht="16.5" customHeight="1" x14ac:dyDescent="0.25">
      <c r="A44" s="11" t="s">
        <v>3325</v>
      </c>
      <c r="B44" s="119">
        <v>32947</v>
      </c>
      <c r="C44" s="13" t="s">
        <v>3334</v>
      </c>
      <c r="D44" s="86" t="s">
        <v>3335</v>
      </c>
      <c r="E44" s="141"/>
      <c r="F44" s="172"/>
      <c r="G44" s="55"/>
    </row>
    <row r="45" spans="1:13" s="11" customFormat="1" ht="16.5" customHeight="1" x14ac:dyDescent="0.25">
      <c r="A45" s="11" t="s">
        <v>3326</v>
      </c>
      <c r="B45" s="119">
        <v>35463</v>
      </c>
      <c r="C45" s="13" t="s">
        <v>3334</v>
      </c>
      <c r="D45" s="86" t="s">
        <v>3335</v>
      </c>
      <c r="E45" s="141"/>
      <c r="F45" s="141"/>
      <c r="G45" s="55"/>
    </row>
    <row r="46" spans="1:13" s="11" customFormat="1" ht="16.5" customHeight="1" x14ac:dyDescent="0.25">
      <c r="A46" s="11" t="s">
        <v>3327</v>
      </c>
      <c r="B46" s="119">
        <v>36660</v>
      </c>
      <c r="C46" s="172" t="s">
        <v>3334</v>
      </c>
      <c r="D46" s="183" t="s">
        <v>3335</v>
      </c>
      <c r="E46" s="141"/>
      <c r="F46" s="141"/>
      <c r="G46" s="55"/>
      <c r="M46" s="28"/>
    </row>
    <row r="47" spans="1:13" s="11" customFormat="1" ht="16.5" customHeight="1" x14ac:dyDescent="0.25">
      <c r="A47" s="11" t="s">
        <v>3328</v>
      </c>
      <c r="B47" s="119">
        <v>47623</v>
      </c>
      <c r="C47" s="172" t="s">
        <v>3334</v>
      </c>
      <c r="D47" s="183" t="s">
        <v>3335</v>
      </c>
      <c r="E47" s="141"/>
      <c r="F47" s="141"/>
      <c r="G47" s="55"/>
      <c r="M47" s="28"/>
    </row>
    <row r="48" spans="1:13" s="11" customFormat="1" ht="16.5" customHeight="1" x14ac:dyDescent="0.25">
      <c r="A48" s="11" t="s">
        <v>3329</v>
      </c>
      <c r="B48" s="119">
        <v>50083.199999999997</v>
      </c>
      <c r="C48" s="13">
        <v>45959</v>
      </c>
      <c r="D48" s="86">
        <v>45965</v>
      </c>
      <c r="E48" s="141"/>
      <c r="F48" s="141"/>
      <c r="G48" s="55"/>
      <c r="M48" s="28"/>
    </row>
    <row r="49" spans="1:12" s="11" customFormat="1" ht="16.5" customHeight="1" x14ac:dyDescent="0.25">
      <c r="A49" s="11" t="s">
        <v>3340</v>
      </c>
      <c r="B49" s="119">
        <v>60610.95</v>
      </c>
      <c r="C49" s="13">
        <v>45936</v>
      </c>
      <c r="D49" s="86">
        <v>45978</v>
      </c>
      <c r="E49" s="141"/>
      <c r="F49" s="141"/>
      <c r="G49" s="55"/>
    </row>
    <row r="50" spans="1:12" s="11" customFormat="1" ht="16.5" customHeight="1" x14ac:dyDescent="0.25">
      <c r="A50" s="11" t="s">
        <v>3168</v>
      </c>
      <c r="B50" s="119">
        <v>63636.45</v>
      </c>
      <c r="C50" s="172">
        <v>45923</v>
      </c>
      <c r="D50" s="91">
        <v>4800</v>
      </c>
      <c r="E50" s="141"/>
      <c r="F50" s="141"/>
      <c r="G50" s="55"/>
    </row>
    <row r="51" spans="1:12" s="11" customFormat="1" ht="16.5" customHeight="1" x14ac:dyDescent="0.25">
      <c r="A51" s="11" t="s">
        <v>3330</v>
      </c>
      <c r="B51" s="119">
        <v>63819.45</v>
      </c>
      <c r="C51" s="13">
        <v>45957</v>
      </c>
      <c r="D51" s="86">
        <v>45968</v>
      </c>
      <c r="E51" s="141"/>
      <c r="F51" s="141"/>
      <c r="G51" s="55"/>
    </row>
    <row r="52" spans="1:12" s="11" customFormat="1" ht="16.5" customHeight="1" x14ac:dyDescent="0.25">
      <c r="A52" s="11" t="s">
        <v>3169</v>
      </c>
      <c r="B52" s="119">
        <v>63889.2</v>
      </c>
      <c r="C52" s="13">
        <v>45924</v>
      </c>
      <c r="D52" s="91">
        <v>4300</v>
      </c>
      <c r="E52" s="141"/>
      <c r="F52" s="141"/>
      <c r="G52" s="55"/>
    </row>
    <row r="53" spans="1:12" s="11" customFormat="1" ht="16.5" customHeight="1" x14ac:dyDescent="0.25">
      <c r="A53" s="11" t="s">
        <v>3331</v>
      </c>
      <c r="B53" s="119">
        <v>64010.1</v>
      </c>
      <c r="C53" s="13">
        <v>45951</v>
      </c>
      <c r="D53" s="86">
        <v>45965</v>
      </c>
      <c r="E53" s="141"/>
      <c r="F53" s="141"/>
      <c r="G53" s="55"/>
    </row>
    <row r="54" spans="1:12" s="11" customFormat="1" ht="16.5" customHeight="1" x14ac:dyDescent="0.25">
      <c r="A54" s="11" t="s">
        <v>3338</v>
      </c>
      <c r="B54" s="119">
        <v>64191.45</v>
      </c>
      <c r="C54" s="13">
        <v>45951</v>
      </c>
      <c r="D54" s="86">
        <v>45975</v>
      </c>
      <c r="E54" s="141"/>
      <c r="F54" s="141"/>
      <c r="G54" s="55"/>
    </row>
    <row r="55" spans="1:12" s="11" customFormat="1" ht="16.5" customHeight="1" x14ac:dyDescent="0.25">
      <c r="A55" s="11" t="s">
        <v>3320</v>
      </c>
      <c r="B55" s="119">
        <v>64651.8</v>
      </c>
      <c r="C55" s="13">
        <v>45951</v>
      </c>
      <c r="D55" s="91" t="s">
        <v>3336</v>
      </c>
      <c r="E55" s="141"/>
      <c r="F55" s="141"/>
      <c r="G55" s="55"/>
    </row>
    <row r="56" spans="1:12" s="11" customFormat="1" ht="16.5" customHeight="1" x14ac:dyDescent="0.25">
      <c r="A56" s="11" t="s">
        <v>3332</v>
      </c>
      <c r="B56" s="119">
        <v>75855.199999999997</v>
      </c>
      <c r="C56" s="13">
        <v>45961</v>
      </c>
      <c r="D56" s="86">
        <v>45964</v>
      </c>
      <c r="E56" s="141"/>
      <c r="F56" s="141"/>
      <c r="G56" s="55"/>
    </row>
    <row r="57" spans="1:12" s="11" customFormat="1" ht="16.5" customHeight="1" x14ac:dyDescent="0.25">
      <c r="A57" s="11" t="s">
        <v>3333</v>
      </c>
      <c r="B57" s="119">
        <v>84095</v>
      </c>
      <c r="C57" s="13">
        <v>45951</v>
      </c>
      <c r="D57" s="86">
        <v>45965</v>
      </c>
      <c r="E57" s="141"/>
      <c r="F57" s="141"/>
      <c r="G57" s="55"/>
    </row>
    <row r="58" spans="1:12" s="11" customFormat="1" ht="16.5" customHeight="1" x14ac:dyDescent="0.25">
      <c r="A58" s="11" t="s">
        <v>3339</v>
      </c>
      <c r="B58" s="119">
        <v>91730.05</v>
      </c>
      <c r="C58" s="13">
        <v>45952</v>
      </c>
      <c r="D58" s="86">
        <v>45975</v>
      </c>
      <c r="E58" s="141"/>
      <c r="F58" s="141"/>
      <c r="G58" s="55"/>
    </row>
    <row r="59" spans="1:12" s="11" customFormat="1" ht="16.5" customHeight="1" thickBot="1" x14ac:dyDescent="0.3">
      <c r="B59" s="119"/>
      <c r="C59" s="171"/>
      <c r="D59" s="182"/>
      <c r="E59" s="141"/>
      <c r="F59" s="141"/>
      <c r="G59" s="55"/>
    </row>
    <row r="60" spans="1:12" s="11" customFormat="1" ht="15.75" x14ac:dyDescent="0.25">
      <c r="B60" s="25">
        <f>SUM(B39:B59)</f>
        <v>1047846.85</v>
      </c>
      <c r="C60" s="254" t="s">
        <v>3337</v>
      </c>
      <c r="D60" s="255"/>
      <c r="E60" s="141"/>
      <c r="F60" s="141"/>
      <c r="G60" s="55"/>
    </row>
    <row r="61" spans="1:12" s="11" customFormat="1" ht="15.75" x14ac:dyDescent="0.25">
      <c r="A61" s="11" t="s">
        <v>1</v>
      </c>
      <c r="B61" s="17">
        <f>B60+B37</f>
        <v>-177446.79999999993</v>
      </c>
      <c r="C61" s="260" t="s">
        <v>1459</v>
      </c>
      <c r="D61" s="261"/>
      <c r="E61" s="141"/>
      <c r="F61" s="141"/>
      <c r="G61" s="55"/>
    </row>
    <row r="62" spans="1:12" s="11" customFormat="1" ht="16.5" thickBot="1" x14ac:dyDescent="0.3">
      <c r="A62" s="11" t="s">
        <v>0</v>
      </c>
      <c r="B62" s="17">
        <f>B61-B7</f>
        <v>4.5401975512504578E-9</v>
      </c>
      <c r="C62" s="256" t="s">
        <v>1369</v>
      </c>
      <c r="D62" s="257"/>
      <c r="E62" s="141"/>
      <c r="F62" s="141"/>
      <c r="G62" s="55"/>
    </row>
    <row r="63" spans="1:12" s="11" customFormat="1" ht="15.75" x14ac:dyDescent="0.25">
      <c r="D63" s="14"/>
      <c r="E63" s="141"/>
      <c r="F63" s="141"/>
      <c r="G63" s="55"/>
    </row>
    <row r="64" spans="1:12" s="11" customFormat="1" ht="15.75" x14ac:dyDescent="0.25">
      <c r="D64" s="14"/>
      <c r="E64" s="141"/>
      <c r="F64" s="141"/>
      <c r="G64" s="55"/>
      <c r="L64" s="13"/>
    </row>
    <row r="65" spans="1:12" s="11" customFormat="1" ht="15.75" x14ac:dyDescent="0.25">
      <c r="D65" s="14"/>
      <c r="E65" s="141"/>
      <c r="F65" s="141"/>
      <c r="G65" s="55"/>
      <c r="L65" s="13"/>
    </row>
    <row r="66" spans="1:12" s="11" customFormat="1" ht="15.75" x14ac:dyDescent="0.25">
      <c r="D66" s="14"/>
      <c r="E66" s="141"/>
      <c r="F66" s="141"/>
      <c r="G66" s="55"/>
      <c r="L66" s="13"/>
    </row>
    <row r="67" spans="1:12" s="11" customFormat="1" x14ac:dyDescent="0.3">
      <c r="D67" s="14"/>
      <c r="E67" s="141"/>
      <c r="F67" s="141"/>
      <c r="G67" s="55"/>
      <c r="L67" s="90"/>
    </row>
    <row r="68" spans="1:12" s="11" customFormat="1" x14ac:dyDescent="0.3">
      <c r="D68" s="14"/>
      <c r="E68" s="141"/>
      <c r="F68" s="141"/>
      <c r="G68" s="55"/>
      <c r="L68" s="90"/>
    </row>
    <row r="69" spans="1:12" s="11" customFormat="1" ht="15.75" x14ac:dyDescent="0.25">
      <c r="D69" s="14"/>
      <c r="E69" s="141"/>
      <c r="F69" s="141"/>
      <c r="G69" s="55"/>
    </row>
    <row r="70" spans="1:12" s="11" customFormat="1" ht="15.75" x14ac:dyDescent="0.25">
      <c r="D70" s="14"/>
      <c r="E70" s="141"/>
      <c r="F70" s="141"/>
      <c r="G70" s="55"/>
    </row>
    <row r="71" spans="1:12" s="11" customFormat="1" ht="15.75" x14ac:dyDescent="0.25">
      <c r="D71" s="14"/>
      <c r="E71" s="141"/>
      <c r="F71" s="141"/>
      <c r="G71" s="55"/>
    </row>
    <row r="72" spans="1:12" s="11" customFormat="1" ht="15.75" x14ac:dyDescent="0.25">
      <c r="D72" s="14"/>
      <c r="E72" s="141"/>
      <c r="F72" s="141"/>
      <c r="G72" s="55"/>
    </row>
    <row r="73" spans="1:12" s="11" customFormat="1" ht="15.75" x14ac:dyDescent="0.25">
      <c r="D73" s="14"/>
      <c r="E73" s="141"/>
      <c r="F73" s="141"/>
      <c r="G73" s="55"/>
    </row>
    <row r="74" spans="1:12" s="11" customFormat="1" ht="15.95" customHeight="1" x14ac:dyDescent="0.25">
      <c r="D74" s="14"/>
      <c r="E74" s="141"/>
      <c r="F74" s="141"/>
    </row>
    <row r="75" spans="1:12" s="11" customFormat="1" ht="15.95" customHeight="1" x14ac:dyDescent="0.25">
      <c r="D75" s="14"/>
      <c r="E75" s="141"/>
      <c r="F75" s="141"/>
    </row>
    <row r="76" spans="1:12" s="11" customFormat="1" ht="15.95" customHeight="1" x14ac:dyDescent="0.25">
      <c r="D76" s="14"/>
      <c r="E76" s="141"/>
      <c r="F76" s="141"/>
    </row>
    <row r="77" spans="1:12" s="11" customFormat="1" ht="15.95" customHeight="1" x14ac:dyDescent="0.25">
      <c r="D77" s="14"/>
      <c r="E77" s="141"/>
      <c r="F77" s="141"/>
    </row>
    <row r="78" spans="1:12" s="11" customFormat="1" ht="15.95" customHeight="1" x14ac:dyDescent="0.25">
      <c r="D78" s="14"/>
      <c r="E78" s="141"/>
      <c r="F78" s="141"/>
    </row>
    <row r="79" spans="1:12" s="11" customFormat="1" ht="15.95" customHeight="1" x14ac:dyDescent="0.25">
      <c r="B79" s="17"/>
      <c r="D79" s="14"/>
      <c r="E79" s="141"/>
      <c r="F79" s="141"/>
    </row>
    <row r="80" spans="1:12" s="11" customFormat="1" ht="15.95" customHeight="1" x14ac:dyDescent="0.25">
      <c r="A80" s="39"/>
      <c r="B80" s="93"/>
      <c r="C80" s="18"/>
      <c r="D80" s="37"/>
      <c r="E80" s="141"/>
      <c r="F80" s="141"/>
    </row>
    <row r="81" spans="1:8" s="11" customFormat="1" ht="15.95" customHeight="1" x14ac:dyDescent="0.3">
      <c r="A81" s="1"/>
      <c r="B81" s="10"/>
      <c r="C81" s="13"/>
      <c r="D81" s="84"/>
      <c r="E81" s="141"/>
      <c r="F81" s="141"/>
    </row>
    <row r="82" spans="1:8" s="11" customFormat="1" ht="15.95" customHeight="1" x14ac:dyDescent="0.3">
      <c r="A82" s="1"/>
      <c r="B82" s="10"/>
      <c r="C82" s="13"/>
      <c r="D82" s="84"/>
      <c r="E82" s="141"/>
      <c r="F82" s="141"/>
    </row>
    <row r="83" spans="1:8" s="11" customFormat="1" ht="15.95" customHeight="1" x14ac:dyDescent="0.3">
      <c r="A83" s="1"/>
      <c r="B83" s="10"/>
      <c r="C83" s="13"/>
      <c r="D83" s="84"/>
      <c r="E83" s="141"/>
      <c r="F83" s="141"/>
    </row>
    <row r="84" spans="1:8" s="11" customFormat="1" ht="15.95" customHeight="1" x14ac:dyDescent="0.25">
      <c r="D84" s="14"/>
      <c r="E84" s="141"/>
      <c r="F84" s="141"/>
    </row>
    <row r="85" spans="1:8" s="11" customFormat="1" ht="15.95" customHeight="1" x14ac:dyDescent="0.25">
      <c r="D85" s="14"/>
      <c r="E85" s="141"/>
      <c r="F85" s="141"/>
    </row>
    <row r="86" spans="1:8" s="11" customFormat="1" ht="15.95" customHeight="1" x14ac:dyDescent="0.25">
      <c r="D86" s="14"/>
      <c r="E86" s="141"/>
      <c r="F86" s="141"/>
    </row>
    <row r="87" spans="1:8" s="11" customFormat="1" ht="15.95" customHeight="1" x14ac:dyDescent="0.25">
      <c r="D87" s="14"/>
      <c r="E87" s="141"/>
      <c r="F87" s="141"/>
    </row>
    <row r="88" spans="1:8" s="11" customFormat="1" ht="15.95" customHeight="1" x14ac:dyDescent="0.25">
      <c r="D88" s="14"/>
      <c r="E88" s="141"/>
      <c r="F88" s="141"/>
    </row>
    <row r="89" spans="1:8" s="11" customFormat="1" ht="15.95" customHeight="1" x14ac:dyDescent="0.25">
      <c r="D89" s="14"/>
      <c r="E89" s="141"/>
      <c r="F89" s="141"/>
      <c r="H89" s="88"/>
    </row>
    <row r="90" spans="1:8" s="11" customFormat="1" ht="15.95" customHeight="1" x14ac:dyDescent="0.25">
      <c r="D90" s="14"/>
      <c r="E90" s="141"/>
      <c r="F90" s="141"/>
      <c r="H90" s="88"/>
    </row>
    <row r="91" spans="1:8" s="11" customFormat="1" ht="15.95" customHeight="1" x14ac:dyDescent="0.25">
      <c r="D91" s="14"/>
      <c r="E91" s="141"/>
      <c r="F91" s="141"/>
      <c r="G91" s="126"/>
      <c r="H91" s="88"/>
    </row>
    <row r="92" spans="1:8" s="11" customFormat="1" ht="15.95" customHeight="1" x14ac:dyDescent="0.25">
      <c r="D92" s="14"/>
      <c r="E92" s="141"/>
      <c r="F92" s="141"/>
      <c r="H92" s="88"/>
    </row>
    <row r="93" spans="1:8" s="11" customFormat="1" ht="20.100000000000001" customHeight="1" x14ac:dyDescent="0.25">
      <c r="D93" s="14"/>
      <c r="E93" s="141"/>
      <c r="F93" s="141"/>
      <c r="H93" s="88"/>
    </row>
    <row r="94" spans="1:8" s="11" customFormat="1" ht="20.100000000000001" customHeight="1" x14ac:dyDescent="0.25">
      <c r="D94" s="14"/>
      <c r="E94" s="141"/>
      <c r="F94" s="141"/>
      <c r="H94" s="88"/>
    </row>
    <row r="95" spans="1:8" s="11" customFormat="1" ht="20.100000000000001" customHeight="1" x14ac:dyDescent="0.25">
      <c r="D95" s="14"/>
      <c r="E95" s="141"/>
      <c r="F95" s="141"/>
      <c r="G95" s="126"/>
      <c r="H95" s="88"/>
    </row>
    <row r="96" spans="1:8" s="11" customFormat="1" ht="20.100000000000001" customHeight="1" x14ac:dyDescent="0.25">
      <c r="D96" s="14"/>
      <c r="E96" s="141"/>
      <c r="F96" s="141"/>
      <c r="H96" s="88"/>
    </row>
    <row r="97" spans="1:19" s="13" customFormat="1" ht="20.100000000000001" customHeight="1" x14ac:dyDescent="0.3">
      <c r="A97" s="1"/>
      <c r="B97" s="10"/>
      <c r="D97" s="84"/>
      <c r="E97" s="141"/>
      <c r="F97" s="141"/>
      <c r="H97" s="88"/>
      <c r="I97" s="11"/>
    </row>
    <row r="98" spans="1:19" s="13" customFormat="1" ht="20.100000000000001" customHeight="1" x14ac:dyDescent="0.3">
      <c r="A98" s="1"/>
      <c r="B98" s="10"/>
      <c r="D98" s="84"/>
      <c r="E98" s="141"/>
      <c r="F98" s="141"/>
      <c r="H98" s="88"/>
      <c r="I98" s="11"/>
    </row>
    <row r="99" spans="1:19" s="13" customFormat="1" ht="20.100000000000001" customHeight="1" x14ac:dyDescent="0.3">
      <c r="A99" s="1"/>
      <c r="B99" s="10"/>
      <c r="D99" s="84"/>
      <c r="E99" s="141"/>
      <c r="F99" s="141"/>
      <c r="H99" s="88"/>
      <c r="I99" s="11"/>
    </row>
    <row r="100" spans="1:19" s="90" customFormat="1" ht="20.100000000000001" customHeight="1" x14ac:dyDescent="0.3">
      <c r="A100" s="1"/>
      <c r="B100" s="10"/>
      <c r="C100" s="13"/>
      <c r="D100" s="178"/>
      <c r="E100" s="141"/>
      <c r="F100" s="141"/>
      <c r="G100" s="1"/>
      <c r="I100" s="1"/>
      <c r="J100" s="1"/>
      <c r="K100" s="1"/>
      <c r="M100" s="1"/>
      <c r="N100" s="1"/>
      <c r="O100" s="1"/>
      <c r="P100" s="1"/>
      <c r="Q100" s="1"/>
      <c r="R100" s="1"/>
      <c r="S100" s="1"/>
    </row>
    <row r="101" spans="1:19" s="90" customFormat="1" ht="20.100000000000001" customHeight="1" x14ac:dyDescent="0.3">
      <c r="A101" s="1"/>
      <c r="B101" s="10"/>
      <c r="C101" s="13"/>
      <c r="D101" s="178"/>
      <c r="E101" s="141"/>
      <c r="F101" s="141"/>
      <c r="G101" s="1"/>
      <c r="I101" s="1"/>
      <c r="J101" s="1"/>
      <c r="K101" s="1"/>
      <c r="M101" s="1"/>
      <c r="N101" s="1"/>
      <c r="O101" s="1"/>
      <c r="P101" s="1"/>
      <c r="Q101" s="1"/>
      <c r="R101" s="1"/>
      <c r="S101" s="1"/>
    </row>
    <row r="102" spans="1:19" s="90" customFormat="1" ht="20.100000000000001" customHeight="1" x14ac:dyDescent="0.3">
      <c r="A102" s="1"/>
      <c r="B102" s="10"/>
      <c r="C102" s="13"/>
      <c r="D102" s="178"/>
      <c r="E102" s="141"/>
      <c r="F102" s="141"/>
      <c r="G102" s="1"/>
      <c r="I102" s="1"/>
      <c r="J102" s="1"/>
      <c r="K102" s="1"/>
      <c r="M102" s="1"/>
      <c r="N102" s="1"/>
      <c r="O102" s="1"/>
      <c r="P102" s="1"/>
      <c r="Q102" s="1"/>
      <c r="R102" s="1"/>
      <c r="S102" s="1"/>
    </row>
    <row r="103" spans="1:19" s="90" customFormat="1" ht="20.100000000000001" customHeight="1" x14ac:dyDescent="0.3">
      <c r="A103" s="1"/>
      <c r="B103" s="10"/>
      <c r="C103" s="13"/>
      <c r="D103" s="178"/>
      <c r="E103" s="141"/>
      <c r="F103" s="141"/>
      <c r="G103" s="11"/>
      <c r="I103" s="1"/>
      <c r="J103" s="1"/>
      <c r="K103" s="1"/>
      <c r="M103" s="1"/>
      <c r="N103" s="1"/>
      <c r="O103" s="1"/>
      <c r="P103" s="1"/>
      <c r="Q103" s="1"/>
      <c r="R103" s="1"/>
      <c r="S103" s="1"/>
    </row>
  </sheetData>
  <mergeCells count="3">
    <mergeCell ref="C60:D60"/>
    <mergeCell ref="C61:D61"/>
    <mergeCell ref="C62:D62"/>
  </mergeCells>
  <pageMargins left="0.7" right="0.7" top="0.75" bottom="0.75" header="0.3" footer="0.3"/>
  <pageSetup scale="68"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A516F-2631-4951-A9B5-FD8D6987D008}">
  <sheetPr>
    <pageSetUpPr fitToPage="1"/>
  </sheetPr>
  <dimension ref="A1:S130"/>
  <sheetViews>
    <sheetView topLeftCell="A56" zoomScale="85" zoomScaleNormal="85" workbookViewId="0">
      <selection activeCell="D82" sqref="D82"/>
    </sheetView>
  </sheetViews>
  <sheetFormatPr defaultRowHeight="18.75" x14ac:dyDescent="0.3"/>
  <cols>
    <col min="1" max="1" width="20.7109375" style="1" customWidth="1"/>
    <col min="2" max="2" width="16.85546875" style="10" customWidth="1"/>
    <col min="3" max="3" width="29.85546875" style="13" bestFit="1" customWidth="1"/>
    <col min="4" max="4" width="40.140625" style="178" bestFit="1" customWidth="1"/>
    <col min="5" max="5" width="9.7109375" style="141" customWidth="1"/>
    <col min="6" max="6" width="16.5703125" style="141" customWidth="1"/>
    <col min="7" max="7" width="35" style="1" bestFit="1" customWidth="1"/>
    <col min="8" max="8" width="5.5703125" style="90" bestFit="1" customWidth="1"/>
    <col min="9" max="11" width="9.140625" style="1"/>
    <col min="12" max="12" width="57.5703125" style="1" bestFit="1" customWidth="1"/>
    <col min="13" max="16384" width="9.140625" style="1"/>
  </cols>
  <sheetData>
    <row r="1" spans="1:19" s="11" customFormat="1" ht="20.100000000000001" customHeight="1" x14ac:dyDescent="0.25">
      <c r="A1" s="11" t="s">
        <v>1203</v>
      </c>
      <c r="B1" s="17"/>
      <c r="C1" s="13"/>
      <c r="D1" s="84"/>
      <c r="E1" s="141"/>
      <c r="H1" s="88"/>
    </row>
    <row r="2" spans="1:19" s="11" customFormat="1" ht="20.100000000000001" customHeight="1" x14ac:dyDescent="0.25">
      <c r="A2" s="14">
        <v>113025</v>
      </c>
      <c r="B2" s="17"/>
      <c r="C2" s="13"/>
      <c r="D2" s="84"/>
      <c r="E2" s="141"/>
      <c r="H2" s="88"/>
    </row>
    <row r="3" spans="1:19" s="11" customFormat="1" ht="20.100000000000001" customHeight="1" x14ac:dyDescent="0.25">
      <c r="A3" s="11" t="s">
        <v>311</v>
      </c>
      <c r="B3" s="17">
        <v>43090623.469999999</v>
      </c>
      <c r="C3" s="13"/>
      <c r="D3" s="84"/>
      <c r="E3" s="141"/>
      <c r="H3" s="88"/>
      <c r="M3" s="89"/>
    </row>
    <row r="4" spans="1:19" s="11" customFormat="1" ht="20.100000000000001" customHeight="1" x14ac:dyDescent="0.25">
      <c r="A4" s="11" t="s">
        <v>6</v>
      </c>
      <c r="B4" s="17"/>
      <c r="C4" s="13"/>
      <c r="D4" s="84"/>
      <c r="E4" s="141"/>
      <c r="H4" s="88"/>
      <c r="M4" s="89"/>
    </row>
    <row r="5" spans="1:19" s="11" customFormat="1" ht="20.100000000000001" customHeight="1" x14ac:dyDescent="0.25">
      <c r="A5" s="11">
        <v>2100</v>
      </c>
      <c r="B5" s="17">
        <v>-39392327.479999997</v>
      </c>
      <c r="C5" s="13"/>
      <c r="D5" s="84"/>
      <c r="E5" s="141"/>
      <c r="H5" s="88"/>
      <c r="M5" s="89"/>
    </row>
    <row r="6" spans="1:19" s="11" customFormat="1" ht="20.100000000000001" customHeight="1" x14ac:dyDescent="0.25">
      <c r="A6" s="11" t="s">
        <v>5</v>
      </c>
      <c r="B6" s="17">
        <f>SUM(B5)</f>
        <v>-39392327.479999997</v>
      </c>
      <c r="C6" s="13"/>
      <c r="D6" s="84"/>
      <c r="E6" s="141"/>
      <c r="H6" s="88"/>
      <c r="M6" s="89"/>
      <c r="O6" s="62"/>
      <c r="P6" s="62"/>
      <c r="Q6" s="62"/>
      <c r="R6" s="62"/>
      <c r="S6" s="62"/>
    </row>
    <row r="7" spans="1:19" s="11" customFormat="1" ht="20.100000000000001" customHeight="1" x14ac:dyDescent="0.25">
      <c r="A7" s="11" t="s">
        <v>4</v>
      </c>
      <c r="B7" s="17">
        <f>B6+B3</f>
        <v>3698295.9900000021</v>
      </c>
      <c r="C7" s="13"/>
      <c r="D7" s="84"/>
      <c r="E7" s="141"/>
      <c r="H7" s="88"/>
      <c r="L7" s="11" t="s">
        <v>1437</v>
      </c>
      <c r="M7" s="88"/>
    </row>
    <row r="8" spans="1:19" s="11" customFormat="1" ht="15.95" customHeight="1" x14ac:dyDescent="0.25">
      <c r="A8" s="11" t="s">
        <v>3</v>
      </c>
      <c r="B8" s="17"/>
      <c r="C8" s="44" t="s">
        <v>628</v>
      </c>
      <c r="D8" s="175" t="s">
        <v>626</v>
      </c>
      <c r="E8" s="141"/>
      <c r="H8" s="88"/>
      <c r="L8" s="11" t="s">
        <v>1438</v>
      </c>
      <c r="M8" s="88"/>
    </row>
    <row r="9" spans="1:19" s="11" customFormat="1" ht="15.75" x14ac:dyDescent="0.25">
      <c r="A9" s="160" t="s">
        <v>3343</v>
      </c>
      <c r="B9" s="186">
        <v>-32892</v>
      </c>
      <c r="C9" s="164" t="s">
        <v>3407</v>
      </c>
      <c r="D9" s="176" t="s">
        <v>3406</v>
      </c>
      <c r="E9" s="160"/>
      <c r="F9" s="141"/>
      <c r="G9" s="55"/>
      <c r="L9" s="11" t="s">
        <v>1439</v>
      </c>
      <c r="M9" s="88"/>
    </row>
    <row r="10" spans="1:19" s="11" customFormat="1" ht="15.75" x14ac:dyDescent="0.25">
      <c r="A10" s="160" t="s">
        <v>3344</v>
      </c>
      <c r="B10" s="186">
        <v>-36875</v>
      </c>
      <c r="C10" s="164" t="s">
        <v>3408</v>
      </c>
      <c r="D10" s="176" t="s">
        <v>3406</v>
      </c>
      <c r="E10" s="160"/>
      <c r="F10" s="141"/>
      <c r="G10" s="55"/>
      <c r="L10" s="11" t="s">
        <v>1440</v>
      </c>
      <c r="M10" s="88"/>
    </row>
    <row r="11" spans="1:19" s="11" customFormat="1" ht="15.75" x14ac:dyDescent="0.25">
      <c r="A11" s="160" t="s">
        <v>3346</v>
      </c>
      <c r="B11" s="186">
        <v>-96873.2</v>
      </c>
      <c r="C11" s="164" t="s">
        <v>3410</v>
      </c>
      <c r="D11" s="176" t="s">
        <v>3367</v>
      </c>
      <c r="E11" s="160"/>
      <c r="F11" s="141"/>
      <c r="G11" s="55"/>
      <c r="L11" s="11" t="s">
        <v>1441</v>
      </c>
      <c r="M11" s="88"/>
    </row>
    <row r="12" spans="1:19" s="11" customFormat="1" ht="15.75" x14ac:dyDescent="0.25">
      <c r="A12" s="160"/>
      <c r="B12" s="186"/>
      <c r="C12" s="164"/>
      <c r="D12" s="176"/>
      <c r="E12" s="160"/>
      <c r="F12" s="141"/>
      <c r="G12" s="55"/>
      <c r="L12" s="11" t="s">
        <v>1442</v>
      </c>
      <c r="M12" s="88"/>
    </row>
    <row r="13" spans="1:19" s="11" customFormat="1" ht="15.75" x14ac:dyDescent="0.25">
      <c r="B13" s="25">
        <f>SUM(B9:B12)</f>
        <v>-166640.20000000001</v>
      </c>
      <c r="C13" s="28"/>
      <c r="D13" s="14"/>
      <c r="E13" s="141"/>
      <c r="F13" s="141"/>
      <c r="G13" s="55"/>
      <c r="L13" s="11" t="s">
        <v>1443</v>
      </c>
    </row>
    <row r="14" spans="1:19" s="11" customFormat="1" ht="16.5" customHeight="1" x14ac:dyDescent="0.25">
      <c r="A14" s="11" t="s">
        <v>2</v>
      </c>
      <c r="B14" s="25"/>
      <c r="C14" s="52" t="s">
        <v>626</v>
      </c>
      <c r="D14" s="177" t="s">
        <v>628</v>
      </c>
      <c r="E14" s="141"/>
      <c r="F14" s="141"/>
      <c r="G14" s="55"/>
      <c r="L14" s="11" t="s">
        <v>1444</v>
      </c>
    </row>
    <row r="15" spans="1:19" s="11" customFormat="1" ht="16.5" customHeight="1" x14ac:dyDescent="0.25">
      <c r="A15" s="11" t="s">
        <v>3347</v>
      </c>
      <c r="B15" s="119">
        <v>2407</v>
      </c>
      <c r="C15" s="13" t="s">
        <v>3412</v>
      </c>
      <c r="D15" s="86" t="s">
        <v>3413</v>
      </c>
      <c r="E15" s="141"/>
      <c r="F15" s="141"/>
      <c r="G15" s="55"/>
      <c r="L15" s="11" t="s">
        <v>1445</v>
      </c>
    </row>
    <row r="16" spans="1:19" s="11" customFormat="1" ht="16.5" customHeight="1" x14ac:dyDescent="0.25">
      <c r="A16" s="11" t="s">
        <v>3341</v>
      </c>
      <c r="B16" s="119">
        <v>22865</v>
      </c>
      <c r="C16" s="13">
        <v>45989</v>
      </c>
      <c r="D16" s="86" t="s">
        <v>3411</v>
      </c>
      <c r="E16" s="141"/>
      <c r="F16" s="141"/>
      <c r="G16" s="55"/>
      <c r="L16" s="11" t="s">
        <v>1446</v>
      </c>
    </row>
    <row r="17" spans="1:12" s="11" customFormat="1" ht="16.5" customHeight="1" x14ac:dyDescent="0.25">
      <c r="A17" s="11" t="s">
        <v>3368</v>
      </c>
      <c r="B17" s="119">
        <v>27235.63</v>
      </c>
      <c r="C17" s="13">
        <v>45989</v>
      </c>
      <c r="D17" s="86">
        <v>45996</v>
      </c>
      <c r="E17" s="141"/>
      <c r="F17" s="141"/>
      <c r="G17" s="55"/>
      <c r="L17" s="11" t="s">
        <v>1447</v>
      </c>
    </row>
    <row r="18" spans="1:12" s="11" customFormat="1" ht="16.5" customHeight="1" x14ac:dyDescent="0.25">
      <c r="A18" s="11" t="s">
        <v>3342</v>
      </c>
      <c r="B18" s="119">
        <v>27552.58</v>
      </c>
      <c r="C18" s="13">
        <v>45989</v>
      </c>
      <c r="D18" s="91" t="s">
        <v>3411</v>
      </c>
      <c r="E18" s="141"/>
      <c r="F18" s="141"/>
      <c r="G18" s="55"/>
      <c r="L18" s="11" t="s">
        <v>1448</v>
      </c>
    </row>
    <row r="19" spans="1:12" s="11" customFormat="1" ht="16.5" customHeight="1" x14ac:dyDescent="0.25">
      <c r="A19" s="11" t="s">
        <v>3369</v>
      </c>
      <c r="B19" s="119">
        <v>28608.05</v>
      </c>
      <c r="C19" s="13">
        <v>45989</v>
      </c>
      <c r="D19" s="86">
        <v>45996</v>
      </c>
      <c r="E19" s="141"/>
      <c r="F19" s="141"/>
      <c r="G19" s="55"/>
      <c r="L19" s="11" t="s">
        <v>1449</v>
      </c>
    </row>
    <row r="20" spans="1:12" s="11" customFormat="1" ht="16.5" customHeight="1" x14ac:dyDescent="0.25">
      <c r="A20" s="11" t="s">
        <v>3370</v>
      </c>
      <c r="B20" s="119">
        <v>28608.05</v>
      </c>
      <c r="C20" s="13">
        <v>45989</v>
      </c>
      <c r="D20" s="86">
        <v>45996</v>
      </c>
      <c r="E20" s="141"/>
      <c r="F20" s="141"/>
      <c r="G20" s="55"/>
      <c r="L20" s="11" t="s">
        <v>1450</v>
      </c>
    </row>
    <row r="21" spans="1:12" s="11" customFormat="1" ht="16.5" customHeight="1" x14ac:dyDescent="0.25">
      <c r="A21" s="11" t="s">
        <v>3371</v>
      </c>
      <c r="B21" s="119">
        <v>31911.1</v>
      </c>
      <c r="C21" s="13">
        <v>45989</v>
      </c>
      <c r="D21" s="86">
        <v>45996</v>
      </c>
      <c r="E21" s="141"/>
      <c r="F21" s="141"/>
      <c r="G21" s="55"/>
      <c r="L21" s="11" t="s">
        <v>1451</v>
      </c>
    </row>
    <row r="22" spans="1:12" s="11" customFormat="1" ht="16.5" customHeight="1" x14ac:dyDescent="0.25">
      <c r="A22" s="11" t="s">
        <v>3372</v>
      </c>
      <c r="B22" s="119">
        <v>34890.58</v>
      </c>
      <c r="C22" s="13">
        <v>45989</v>
      </c>
      <c r="D22" s="86">
        <v>45996</v>
      </c>
      <c r="E22" s="141"/>
      <c r="F22" s="141"/>
      <c r="G22" s="55"/>
      <c r="L22" s="11" t="s">
        <v>1452</v>
      </c>
    </row>
    <row r="23" spans="1:12" s="11" customFormat="1" ht="16.5" customHeight="1" x14ac:dyDescent="0.25">
      <c r="A23" s="11" t="s">
        <v>3348</v>
      </c>
      <c r="B23" s="119">
        <v>37885.65</v>
      </c>
      <c r="C23" s="13">
        <v>45989</v>
      </c>
      <c r="D23" s="86">
        <v>45993</v>
      </c>
      <c r="E23" s="141"/>
      <c r="F23" s="141"/>
      <c r="G23" s="55"/>
      <c r="L23" s="11" t="s">
        <v>1453</v>
      </c>
    </row>
    <row r="24" spans="1:12" s="11" customFormat="1" ht="16.5" customHeight="1" x14ac:dyDescent="0.25">
      <c r="A24" s="11" t="s">
        <v>3373</v>
      </c>
      <c r="B24" s="119">
        <v>39577.449999999997</v>
      </c>
      <c r="C24" s="13">
        <v>45989</v>
      </c>
      <c r="D24" s="86">
        <v>45999</v>
      </c>
      <c r="E24" s="141"/>
      <c r="F24" s="141"/>
      <c r="G24" s="55"/>
      <c r="L24" s="11" t="s">
        <v>1436</v>
      </c>
    </row>
    <row r="25" spans="1:12" s="11" customFormat="1" ht="16.5" customHeight="1" x14ac:dyDescent="0.25">
      <c r="A25" s="11" t="s">
        <v>3374</v>
      </c>
      <c r="B25" s="119">
        <v>40020.480000000003</v>
      </c>
      <c r="C25" s="13">
        <v>45989</v>
      </c>
      <c r="D25" s="86">
        <v>45999</v>
      </c>
      <c r="E25" s="141"/>
      <c r="F25" s="141"/>
      <c r="G25" s="55"/>
      <c r="L25" s="11" t="s">
        <v>1454</v>
      </c>
    </row>
    <row r="26" spans="1:12" s="11" customFormat="1" ht="16.5" customHeight="1" x14ac:dyDescent="0.25">
      <c r="A26" s="11" t="s">
        <v>3375</v>
      </c>
      <c r="B26" s="119">
        <v>40020.480000000003</v>
      </c>
      <c r="C26" s="13">
        <v>45989</v>
      </c>
      <c r="D26" s="86">
        <v>45999</v>
      </c>
      <c r="E26" s="141"/>
      <c r="F26" s="141"/>
      <c r="G26" s="55"/>
      <c r="L26" s="11" t="s">
        <v>1455</v>
      </c>
    </row>
    <row r="27" spans="1:12" s="11" customFormat="1" ht="16.5" customHeight="1" x14ac:dyDescent="0.25">
      <c r="A27" s="11" t="s">
        <v>3376</v>
      </c>
      <c r="B27" s="119">
        <v>41086.449999999997</v>
      </c>
      <c r="C27" s="13">
        <v>45989</v>
      </c>
      <c r="D27" s="86">
        <v>45999</v>
      </c>
      <c r="E27" s="141"/>
      <c r="F27" s="141"/>
      <c r="G27" s="55"/>
      <c r="L27" s="11" t="s">
        <v>1456</v>
      </c>
    </row>
    <row r="28" spans="1:12" s="11" customFormat="1" ht="16.5" customHeight="1" x14ac:dyDescent="0.25">
      <c r="A28" s="11" t="s">
        <v>3377</v>
      </c>
      <c r="B28" s="119">
        <v>41086.449999999997</v>
      </c>
      <c r="C28" s="13">
        <v>45989</v>
      </c>
      <c r="D28" s="86">
        <v>45999</v>
      </c>
      <c r="E28" s="141"/>
      <c r="F28" s="141"/>
      <c r="G28" s="55"/>
      <c r="L28" s="11" t="s">
        <v>1457</v>
      </c>
    </row>
    <row r="29" spans="1:12" s="11" customFormat="1" ht="16.5" customHeight="1" x14ac:dyDescent="0.25">
      <c r="A29" s="11" t="s">
        <v>3378</v>
      </c>
      <c r="B29" s="119">
        <v>41086.449999999997</v>
      </c>
      <c r="C29" s="13">
        <v>45989</v>
      </c>
      <c r="D29" s="86">
        <v>45999</v>
      </c>
      <c r="E29" s="141"/>
      <c r="F29" s="141"/>
      <c r="G29" s="55"/>
      <c r="L29" s="11" t="s">
        <v>2506</v>
      </c>
    </row>
    <row r="30" spans="1:12" s="11" customFormat="1" ht="16.5" customHeight="1" x14ac:dyDescent="0.25">
      <c r="A30" s="11" t="s">
        <v>3349</v>
      </c>
      <c r="B30" s="119">
        <v>42538.98</v>
      </c>
      <c r="C30" s="13">
        <v>45980</v>
      </c>
      <c r="D30" s="86">
        <v>45992</v>
      </c>
      <c r="E30" s="141"/>
      <c r="F30" s="141"/>
      <c r="G30" s="55"/>
      <c r="L30" s="11" t="s">
        <v>1458</v>
      </c>
    </row>
    <row r="31" spans="1:12" s="11" customFormat="1" ht="16.5" customHeight="1" x14ac:dyDescent="0.25">
      <c r="A31" s="11" t="s">
        <v>3350</v>
      </c>
      <c r="B31" s="119">
        <v>45193.73</v>
      </c>
      <c r="C31" s="13">
        <v>45985</v>
      </c>
      <c r="D31" s="86">
        <v>45993</v>
      </c>
      <c r="E31" s="141"/>
      <c r="F31" s="141"/>
      <c r="G31" s="55"/>
      <c r="L31" s="11" t="s">
        <v>3337</v>
      </c>
    </row>
    <row r="32" spans="1:12" s="11" customFormat="1" ht="16.5" customHeight="1" x14ac:dyDescent="0.25">
      <c r="A32" s="11" t="s">
        <v>3351</v>
      </c>
      <c r="B32" s="119">
        <v>45193.73</v>
      </c>
      <c r="C32" s="13">
        <v>45986</v>
      </c>
      <c r="D32" s="86">
        <v>45993</v>
      </c>
      <c r="E32" s="141"/>
      <c r="F32" s="141"/>
      <c r="G32" s="55"/>
      <c r="L32" s="11" t="s">
        <v>1368</v>
      </c>
    </row>
    <row r="33" spans="1:13" s="11" customFormat="1" ht="16.5" customHeight="1" x14ac:dyDescent="0.25">
      <c r="A33" s="11" t="s">
        <v>3352</v>
      </c>
      <c r="B33" s="119">
        <v>45193.73</v>
      </c>
      <c r="C33" s="13">
        <v>45986</v>
      </c>
      <c r="D33" s="86">
        <v>45993</v>
      </c>
      <c r="E33" s="141"/>
      <c r="F33" s="141"/>
      <c r="G33" s="55"/>
      <c r="L33" s="11" t="s">
        <v>1459</v>
      </c>
    </row>
    <row r="34" spans="1:13" s="11" customFormat="1" ht="16.5" customHeight="1" x14ac:dyDescent="0.25">
      <c r="A34" s="11" t="s">
        <v>3353</v>
      </c>
      <c r="B34" s="119">
        <v>45193.73</v>
      </c>
      <c r="C34" s="13">
        <v>45986</v>
      </c>
      <c r="D34" s="86">
        <v>45993</v>
      </c>
      <c r="E34" s="141"/>
      <c r="F34" s="141"/>
      <c r="G34" s="55"/>
      <c r="L34" s="11" t="s">
        <v>1369</v>
      </c>
      <c r="M34" s="88"/>
    </row>
    <row r="35" spans="1:13" s="11" customFormat="1" ht="16.5" customHeight="1" x14ac:dyDescent="0.25">
      <c r="A35" s="11" t="s">
        <v>3354</v>
      </c>
      <c r="B35" s="119">
        <v>46015.85</v>
      </c>
      <c r="C35" s="13">
        <v>45989</v>
      </c>
      <c r="D35" s="86">
        <v>45992</v>
      </c>
      <c r="E35" s="141"/>
      <c r="F35" s="141"/>
      <c r="G35" s="55"/>
      <c r="L35" s="11" t="s">
        <v>1460</v>
      </c>
    </row>
    <row r="36" spans="1:13" s="11" customFormat="1" ht="16.5" customHeight="1" x14ac:dyDescent="0.25">
      <c r="A36" s="11" t="s">
        <v>3379</v>
      </c>
      <c r="B36" s="119">
        <v>48231.33</v>
      </c>
      <c r="C36" s="13">
        <v>45989</v>
      </c>
      <c r="D36" s="86">
        <v>45999</v>
      </c>
      <c r="E36" s="141"/>
      <c r="F36" s="172"/>
      <c r="G36" s="55"/>
    </row>
    <row r="37" spans="1:13" s="11" customFormat="1" ht="16.5" customHeight="1" x14ac:dyDescent="0.25">
      <c r="A37" s="11" t="s">
        <v>3380</v>
      </c>
      <c r="B37" s="119">
        <v>48594.73</v>
      </c>
      <c r="C37" s="13">
        <v>45989</v>
      </c>
      <c r="D37" s="86">
        <v>45999</v>
      </c>
      <c r="E37" s="141"/>
      <c r="F37" s="141"/>
      <c r="G37" s="55"/>
    </row>
    <row r="38" spans="1:13" s="11" customFormat="1" ht="16.5" customHeight="1" x14ac:dyDescent="0.25">
      <c r="A38" s="11" t="s">
        <v>3381</v>
      </c>
      <c r="B38" s="119">
        <v>53153</v>
      </c>
      <c r="C38" s="172">
        <v>45989</v>
      </c>
      <c r="D38" s="183">
        <v>45999</v>
      </c>
      <c r="E38" s="141"/>
      <c r="F38" s="141"/>
      <c r="G38" s="55"/>
      <c r="M38" s="28"/>
    </row>
    <row r="39" spans="1:13" s="11" customFormat="1" ht="16.5" customHeight="1" x14ac:dyDescent="0.25">
      <c r="A39" s="11" t="s">
        <v>3382</v>
      </c>
      <c r="B39" s="119">
        <v>53782.080000000002</v>
      </c>
      <c r="C39" s="172">
        <v>45989</v>
      </c>
      <c r="D39" s="183">
        <v>45996</v>
      </c>
      <c r="E39" s="141"/>
      <c r="F39" s="141"/>
      <c r="G39" s="55"/>
      <c r="M39" s="28"/>
    </row>
    <row r="40" spans="1:13" s="11" customFormat="1" ht="16.5" customHeight="1" x14ac:dyDescent="0.25">
      <c r="A40" s="11" t="s">
        <v>3383</v>
      </c>
      <c r="B40" s="119">
        <v>54651.15</v>
      </c>
      <c r="C40" s="172">
        <v>45989</v>
      </c>
      <c r="D40" s="183">
        <v>45999</v>
      </c>
      <c r="E40" s="141"/>
      <c r="F40" s="141"/>
      <c r="G40" s="55"/>
      <c r="M40" s="28"/>
    </row>
    <row r="41" spans="1:13" s="11" customFormat="1" ht="16.5" customHeight="1" x14ac:dyDescent="0.25">
      <c r="A41" s="11" t="s">
        <v>3384</v>
      </c>
      <c r="B41" s="119">
        <v>54651.15</v>
      </c>
      <c r="C41" s="172">
        <v>45989</v>
      </c>
      <c r="D41" s="183">
        <v>45999</v>
      </c>
      <c r="E41" s="141"/>
      <c r="F41" s="141"/>
      <c r="G41" s="55"/>
      <c r="M41" s="28"/>
    </row>
    <row r="42" spans="1:13" s="11" customFormat="1" ht="16.5" customHeight="1" x14ac:dyDescent="0.25">
      <c r="A42" s="11" t="s">
        <v>3414</v>
      </c>
      <c r="B42" s="119">
        <v>55344.35</v>
      </c>
      <c r="C42" s="172">
        <v>45989</v>
      </c>
      <c r="D42" s="183">
        <v>45996</v>
      </c>
      <c r="E42" s="141"/>
      <c r="F42" s="141"/>
      <c r="G42" s="55"/>
      <c r="M42" s="28"/>
    </row>
    <row r="43" spans="1:13" s="11" customFormat="1" ht="16.5" customHeight="1" x14ac:dyDescent="0.25">
      <c r="A43" s="11" t="s">
        <v>3386</v>
      </c>
      <c r="B43" s="119">
        <v>55478.6</v>
      </c>
      <c r="C43" s="172">
        <v>45989</v>
      </c>
      <c r="D43" s="183">
        <v>45996</v>
      </c>
      <c r="E43" s="141"/>
      <c r="F43" s="141"/>
      <c r="G43" s="55"/>
      <c r="M43" s="28"/>
    </row>
    <row r="44" spans="1:13" s="11" customFormat="1" ht="16.5" customHeight="1" x14ac:dyDescent="0.25">
      <c r="A44" s="11" t="s">
        <v>3415</v>
      </c>
      <c r="B44" s="119">
        <v>55881.35</v>
      </c>
      <c r="C44" s="172">
        <v>45989</v>
      </c>
      <c r="D44" s="183">
        <v>46007</v>
      </c>
      <c r="E44" s="141"/>
      <c r="F44" s="141"/>
      <c r="G44" s="55"/>
      <c r="M44" s="28"/>
    </row>
    <row r="45" spans="1:13" s="11" customFormat="1" ht="16.5" customHeight="1" x14ac:dyDescent="0.25">
      <c r="A45" s="11" t="s">
        <v>3387</v>
      </c>
      <c r="B45" s="119">
        <v>59006.23</v>
      </c>
      <c r="C45" s="172">
        <v>45989</v>
      </c>
      <c r="D45" s="183">
        <v>45999</v>
      </c>
      <c r="E45" s="141"/>
      <c r="F45" s="141"/>
      <c r="G45" s="55"/>
      <c r="M45" s="28"/>
    </row>
    <row r="46" spans="1:13" s="11" customFormat="1" ht="16.5" customHeight="1" x14ac:dyDescent="0.25">
      <c r="A46" s="11" t="s">
        <v>3388</v>
      </c>
      <c r="B46" s="119">
        <v>59801.18</v>
      </c>
      <c r="C46" s="172">
        <v>45989</v>
      </c>
      <c r="D46" s="183">
        <v>45996</v>
      </c>
      <c r="E46" s="141"/>
      <c r="F46" s="141"/>
      <c r="G46" s="55"/>
      <c r="M46" s="28"/>
    </row>
    <row r="47" spans="1:13" s="11" customFormat="1" ht="16.5" customHeight="1" x14ac:dyDescent="0.25">
      <c r="A47" s="11" t="s">
        <v>3389</v>
      </c>
      <c r="B47" s="119">
        <v>59957.8</v>
      </c>
      <c r="C47" s="172">
        <v>45989</v>
      </c>
      <c r="D47" s="183">
        <v>45996</v>
      </c>
      <c r="E47" s="141"/>
      <c r="F47" s="141"/>
      <c r="G47" s="55"/>
      <c r="M47" s="28"/>
    </row>
    <row r="48" spans="1:13" s="11" customFormat="1" ht="16.5" customHeight="1" x14ac:dyDescent="0.25">
      <c r="A48" s="11" t="s">
        <v>3390</v>
      </c>
      <c r="B48" s="119">
        <v>61293.03</v>
      </c>
      <c r="C48" s="172">
        <v>45989</v>
      </c>
      <c r="D48" s="183">
        <v>45999</v>
      </c>
      <c r="E48" s="141"/>
      <c r="F48" s="141"/>
      <c r="G48" s="55"/>
      <c r="M48" s="28"/>
    </row>
    <row r="49" spans="1:13" s="11" customFormat="1" ht="16.5" customHeight="1" x14ac:dyDescent="0.25">
      <c r="A49" s="11" t="s">
        <v>3416</v>
      </c>
      <c r="B49" s="119">
        <v>63889.2</v>
      </c>
      <c r="C49" s="172">
        <v>45924</v>
      </c>
      <c r="D49" s="183">
        <v>46008</v>
      </c>
      <c r="E49" s="141"/>
      <c r="F49" s="141"/>
      <c r="G49" s="55"/>
      <c r="M49" s="28"/>
    </row>
    <row r="50" spans="1:13" s="11" customFormat="1" ht="16.5" customHeight="1" x14ac:dyDescent="0.25">
      <c r="A50" s="11" t="s">
        <v>3345</v>
      </c>
      <c r="B50" s="119">
        <v>65951.94</v>
      </c>
      <c r="C50" s="172">
        <v>45989</v>
      </c>
      <c r="D50" s="187" t="s">
        <v>3411</v>
      </c>
      <c r="E50" s="141"/>
      <c r="F50" s="141"/>
      <c r="G50" s="55"/>
      <c r="M50" s="28"/>
    </row>
    <row r="51" spans="1:13" s="11" customFormat="1" ht="16.5" customHeight="1" x14ac:dyDescent="0.25">
      <c r="A51" s="11" t="s">
        <v>3391</v>
      </c>
      <c r="B51" s="119">
        <v>66757.53</v>
      </c>
      <c r="C51" s="172">
        <v>45989</v>
      </c>
      <c r="D51" s="183">
        <v>45996</v>
      </c>
      <c r="E51" s="141"/>
      <c r="F51" s="141"/>
      <c r="G51" s="55"/>
      <c r="M51" s="28"/>
    </row>
    <row r="52" spans="1:13" s="11" customFormat="1" ht="16.5" customHeight="1" x14ac:dyDescent="0.25">
      <c r="A52" s="11" t="s">
        <v>3392</v>
      </c>
      <c r="B52" s="119">
        <v>72617.86</v>
      </c>
      <c r="C52" s="172">
        <v>45989</v>
      </c>
      <c r="D52" s="183">
        <v>45996</v>
      </c>
      <c r="E52" s="141"/>
      <c r="F52" s="141"/>
      <c r="G52" s="55"/>
      <c r="M52" s="28"/>
    </row>
    <row r="53" spans="1:13" s="11" customFormat="1" ht="16.5" customHeight="1" x14ac:dyDescent="0.25">
      <c r="A53" s="11" t="s">
        <v>3393</v>
      </c>
      <c r="B53" s="119">
        <v>72844.649999999994</v>
      </c>
      <c r="C53" s="172">
        <v>45989</v>
      </c>
      <c r="D53" s="183">
        <v>45996</v>
      </c>
      <c r="E53" s="141"/>
      <c r="F53" s="141"/>
      <c r="G53" s="55"/>
      <c r="M53" s="28"/>
    </row>
    <row r="54" spans="1:13" s="11" customFormat="1" ht="16.5" customHeight="1" x14ac:dyDescent="0.25">
      <c r="A54" s="11" t="s">
        <v>3355</v>
      </c>
      <c r="B54" s="119">
        <v>73165.08</v>
      </c>
      <c r="C54" s="172">
        <v>45989</v>
      </c>
      <c r="D54" s="183">
        <v>45992</v>
      </c>
      <c r="E54" s="141"/>
      <c r="F54" s="141"/>
      <c r="G54" s="55"/>
      <c r="M54" s="28"/>
    </row>
    <row r="55" spans="1:13" s="11" customFormat="1" ht="16.5" customHeight="1" x14ac:dyDescent="0.25">
      <c r="A55" s="11" t="s">
        <v>3356</v>
      </c>
      <c r="B55" s="119">
        <v>73165.08</v>
      </c>
      <c r="C55" s="172">
        <v>45989</v>
      </c>
      <c r="D55" s="183">
        <v>45992</v>
      </c>
      <c r="E55" s="141"/>
      <c r="F55" s="141"/>
      <c r="G55" s="55"/>
      <c r="M55" s="28"/>
    </row>
    <row r="56" spans="1:13" s="11" customFormat="1" ht="16.5" customHeight="1" x14ac:dyDescent="0.25">
      <c r="A56" s="11" t="s">
        <v>3357</v>
      </c>
      <c r="B56" s="119">
        <v>73720.08</v>
      </c>
      <c r="C56" s="172">
        <v>45989</v>
      </c>
      <c r="D56" s="183">
        <v>45992</v>
      </c>
      <c r="E56" s="141"/>
      <c r="F56" s="141"/>
      <c r="G56" s="55"/>
      <c r="M56" s="28"/>
    </row>
    <row r="57" spans="1:13" s="11" customFormat="1" ht="16.5" customHeight="1" x14ac:dyDescent="0.25">
      <c r="A57" s="11" t="s">
        <v>3358</v>
      </c>
      <c r="B57" s="119">
        <v>73720.08</v>
      </c>
      <c r="C57" s="172">
        <v>45989</v>
      </c>
      <c r="D57" s="183">
        <v>45995</v>
      </c>
      <c r="E57" s="141"/>
      <c r="F57" s="141"/>
      <c r="G57" s="55"/>
      <c r="M57" s="28"/>
    </row>
    <row r="58" spans="1:13" s="11" customFormat="1" ht="16.5" customHeight="1" x14ac:dyDescent="0.25">
      <c r="A58" s="11" t="s">
        <v>3394</v>
      </c>
      <c r="B58" s="119">
        <v>74794.41</v>
      </c>
      <c r="C58" s="172">
        <v>45989</v>
      </c>
      <c r="D58" s="183">
        <v>45996</v>
      </c>
      <c r="E58" s="141"/>
      <c r="F58" s="141"/>
      <c r="G58" s="55"/>
      <c r="M58" s="28"/>
    </row>
    <row r="59" spans="1:13" s="11" customFormat="1" ht="16.5" customHeight="1" x14ac:dyDescent="0.25">
      <c r="A59" s="11" t="s">
        <v>3395</v>
      </c>
      <c r="B59" s="119">
        <v>75123.350000000006</v>
      </c>
      <c r="C59" s="172">
        <v>45989</v>
      </c>
      <c r="D59" s="183">
        <v>45999</v>
      </c>
      <c r="E59" s="141"/>
      <c r="F59" s="141"/>
      <c r="G59" s="55"/>
      <c r="M59" s="28"/>
    </row>
    <row r="60" spans="1:13" s="11" customFormat="1" ht="16.5" customHeight="1" x14ac:dyDescent="0.25">
      <c r="A60" s="11" t="s">
        <v>3396</v>
      </c>
      <c r="B60" s="119">
        <v>75280.289999999994</v>
      </c>
      <c r="C60" s="172">
        <v>45989</v>
      </c>
      <c r="D60" s="183">
        <v>45996</v>
      </c>
      <c r="E60" s="141"/>
      <c r="F60" s="141"/>
      <c r="G60" s="55"/>
      <c r="M60" s="28"/>
    </row>
    <row r="61" spans="1:13" s="11" customFormat="1" ht="16.5" customHeight="1" x14ac:dyDescent="0.25">
      <c r="A61" s="11" t="s">
        <v>3397</v>
      </c>
      <c r="B61" s="119">
        <v>75308.5</v>
      </c>
      <c r="C61" s="172">
        <v>45989</v>
      </c>
      <c r="D61" s="183">
        <v>45996</v>
      </c>
      <c r="E61" s="141"/>
      <c r="F61" s="141"/>
      <c r="G61" s="55"/>
      <c r="M61" s="28"/>
    </row>
    <row r="62" spans="1:13" s="11" customFormat="1" ht="16.5" customHeight="1" x14ac:dyDescent="0.25">
      <c r="A62" s="11" t="s">
        <v>3359</v>
      </c>
      <c r="B62" s="119">
        <v>75472.95</v>
      </c>
      <c r="C62" s="172">
        <v>45989</v>
      </c>
      <c r="D62" s="183">
        <v>45992</v>
      </c>
      <c r="E62" s="141"/>
      <c r="F62" s="141"/>
      <c r="G62" s="55"/>
      <c r="M62" s="28"/>
    </row>
    <row r="63" spans="1:13" s="11" customFormat="1" ht="16.5" customHeight="1" x14ac:dyDescent="0.25">
      <c r="A63" s="11" t="s">
        <v>3360</v>
      </c>
      <c r="B63" s="119">
        <v>80118.2</v>
      </c>
      <c r="C63" s="172" t="s">
        <v>3367</v>
      </c>
      <c r="D63" s="183" t="s">
        <v>3409</v>
      </c>
      <c r="E63" s="141"/>
      <c r="F63" s="141"/>
      <c r="G63" s="55"/>
      <c r="M63" s="28"/>
    </row>
    <row r="64" spans="1:13" s="11" customFormat="1" ht="16.5" customHeight="1" x14ac:dyDescent="0.25">
      <c r="A64" s="11" t="s">
        <v>3398</v>
      </c>
      <c r="B64" s="119">
        <v>80579.7</v>
      </c>
      <c r="C64" s="172">
        <v>45989</v>
      </c>
      <c r="D64" s="183">
        <v>45996</v>
      </c>
      <c r="E64" s="141"/>
      <c r="F64" s="141"/>
      <c r="G64" s="55"/>
      <c r="M64" s="28"/>
    </row>
    <row r="65" spans="1:13" s="11" customFormat="1" ht="16.5" customHeight="1" x14ac:dyDescent="0.25">
      <c r="A65" s="11" t="s">
        <v>3399</v>
      </c>
      <c r="B65" s="119">
        <v>81330.48</v>
      </c>
      <c r="C65" s="172">
        <v>45989</v>
      </c>
      <c r="D65" s="183">
        <v>45996</v>
      </c>
      <c r="E65" s="141"/>
      <c r="F65" s="141"/>
      <c r="G65" s="55"/>
      <c r="M65" s="28"/>
    </row>
    <row r="66" spans="1:13" s="11" customFormat="1" ht="16.5" customHeight="1" x14ac:dyDescent="0.25">
      <c r="A66" s="11" t="s">
        <v>3366</v>
      </c>
      <c r="B66" s="119">
        <v>81834.03</v>
      </c>
      <c r="C66" s="13">
        <v>45989</v>
      </c>
      <c r="D66" s="183">
        <v>45992</v>
      </c>
      <c r="E66" s="141"/>
      <c r="F66" s="141"/>
      <c r="G66" s="55"/>
      <c r="M66" s="28"/>
    </row>
    <row r="67" spans="1:13" s="11" customFormat="1" ht="16.5" customHeight="1" x14ac:dyDescent="0.25">
      <c r="A67" s="11" t="s">
        <v>3400</v>
      </c>
      <c r="B67" s="119">
        <v>84025.3</v>
      </c>
      <c r="C67" s="172">
        <v>45989</v>
      </c>
      <c r="D67" s="183">
        <v>45999</v>
      </c>
      <c r="E67" s="141"/>
      <c r="F67" s="141"/>
      <c r="G67" s="55"/>
      <c r="M67" s="28"/>
    </row>
    <row r="68" spans="1:13" s="11" customFormat="1" ht="16.5" customHeight="1" x14ac:dyDescent="0.25">
      <c r="A68" s="11" t="s">
        <v>3401</v>
      </c>
      <c r="B68" s="119">
        <v>90279.6</v>
      </c>
      <c r="C68" s="172">
        <v>45981</v>
      </c>
      <c r="D68" s="183">
        <v>45996</v>
      </c>
      <c r="E68" s="141"/>
      <c r="F68" s="141"/>
      <c r="G68" s="55"/>
      <c r="M68" s="28"/>
    </row>
    <row r="69" spans="1:13" s="11" customFormat="1" ht="16.5" customHeight="1" x14ac:dyDescent="0.25">
      <c r="A69" s="11" t="s">
        <v>3361</v>
      </c>
      <c r="B69" s="119">
        <v>90279.6</v>
      </c>
      <c r="C69" s="172">
        <v>45981</v>
      </c>
      <c r="D69" s="183">
        <v>45993</v>
      </c>
      <c r="E69" s="141"/>
      <c r="F69" s="141"/>
      <c r="G69" s="55"/>
      <c r="M69" s="28"/>
    </row>
    <row r="70" spans="1:13" s="11" customFormat="1" ht="16.5" customHeight="1" x14ac:dyDescent="0.25">
      <c r="A70" s="11" t="s">
        <v>3362</v>
      </c>
      <c r="B70" s="119">
        <v>90837.6</v>
      </c>
      <c r="C70" s="172">
        <v>45982</v>
      </c>
      <c r="D70" s="183">
        <v>45992</v>
      </c>
      <c r="E70" s="141"/>
      <c r="F70" s="141"/>
      <c r="G70" s="55"/>
      <c r="M70" s="28"/>
    </row>
    <row r="71" spans="1:13" s="11" customFormat="1" ht="16.5" customHeight="1" x14ac:dyDescent="0.25">
      <c r="A71" s="11" t="s">
        <v>3402</v>
      </c>
      <c r="B71" s="119">
        <v>93242.03</v>
      </c>
      <c r="C71" s="172">
        <v>45989</v>
      </c>
      <c r="D71" s="183">
        <v>45999</v>
      </c>
      <c r="E71" s="141"/>
      <c r="F71" s="141"/>
      <c r="G71" s="55"/>
      <c r="M71" s="28"/>
    </row>
    <row r="72" spans="1:13" s="11" customFormat="1" ht="16.5" customHeight="1" x14ac:dyDescent="0.25">
      <c r="A72" s="11" t="s">
        <v>3403</v>
      </c>
      <c r="B72" s="119">
        <v>94938.3</v>
      </c>
      <c r="C72" s="172">
        <v>45989</v>
      </c>
      <c r="D72" s="183">
        <v>45999</v>
      </c>
      <c r="E72" s="141"/>
      <c r="F72" s="141"/>
      <c r="G72" s="55"/>
      <c r="M72" s="28"/>
    </row>
    <row r="73" spans="1:13" s="11" customFormat="1" ht="16.5" customHeight="1" x14ac:dyDescent="0.25">
      <c r="A73" s="11" t="s">
        <v>3363</v>
      </c>
      <c r="B73" s="119">
        <v>96574.68</v>
      </c>
      <c r="C73" s="172">
        <v>45986</v>
      </c>
      <c r="D73" s="183">
        <v>45992</v>
      </c>
      <c r="E73" s="141"/>
      <c r="F73" s="141"/>
      <c r="G73" s="55"/>
      <c r="M73" s="28"/>
    </row>
    <row r="74" spans="1:13" s="11" customFormat="1" ht="16.5" customHeight="1" x14ac:dyDescent="0.25">
      <c r="A74" s="11" t="s">
        <v>3404</v>
      </c>
      <c r="B74" s="119">
        <v>100218.3</v>
      </c>
      <c r="C74" s="172">
        <v>45989</v>
      </c>
      <c r="D74" s="183">
        <v>45999</v>
      </c>
      <c r="E74" s="141"/>
      <c r="F74" s="141"/>
      <c r="G74" s="55"/>
      <c r="M74" s="28"/>
    </row>
    <row r="75" spans="1:13" s="11" customFormat="1" ht="16.5" customHeight="1" x14ac:dyDescent="0.25">
      <c r="A75" s="11" t="s">
        <v>3364</v>
      </c>
      <c r="B75" s="119">
        <v>100498.3</v>
      </c>
      <c r="C75" s="172">
        <v>45989</v>
      </c>
      <c r="D75" s="183">
        <v>45992</v>
      </c>
      <c r="E75" s="141"/>
      <c r="F75" s="141"/>
      <c r="G75" s="55"/>
      <c r="M75" s="28"/>
    </row>
    <row r="76" spans="1:13" s="11" customFormat="1" ht="16.5" customHeight="1" x14ac:dyDescent="0.25">
      <c r="A76" s="11" t="s">
        <v>3365</v>
      </c>
      <c r="B76" s="119">
        <v>105223.67999999999</v>
      </c>
      <c r="C76" s="172">
        <v>45989</v>
      </c>
      <c r="D76" s="183">
        <v>45992</v>
      </c>
      <c r="E76" s="141"/>
      <c r="F76" s="141"/>
      <c r="G76" s="55"/>
      <c r="M76" s="28"/>
    </row>
    <row r="77" spans="1:13" s="11" customFormat="1" ht="16.5" customHeight="1" x14ac:dyDescent="0.25">
      <c r="A77" s="11" t="s">
        <v>3405</v>
      </c>
      <c r="B77" s="119">
        <v>109148.26</v>
      </c>
      <c r="C77" s="172">
        <v>45989</v>
      </c>
      <c r="D77" s="183">
        <v>45999</v>
      </c>
      <c r="E77" s="141"/>
      <c r="F77" s="141"/>
      <c r="G77" s="55"/>
      <c r="M77" s="28"/>
    </row>
    <row r="78" spans="1:13" s="11" customFormat="1" ht="16.5" customHeight="1" x14ac:dyDescent="0.25">
      <c r="B78" s="119"/>
      <c r="C78" s="171"/>
      <c r="D78" s="182"/>
      <c r="E78" s="141"/>
      <c r="F78" s="141"/>
      <c r="G78" s="55"/>
    </row>
    <row r="79" spans="1:13" s="11" customFormat="1" ht="15.75" x14ac:dyDescent="0.25">
      <c r="B79" s="25">
        <f>SUM(B15:B78)</f>
        <v>3864936.1900000004</v>
      </c>
      <c r="C79" s="189"/>
      <c r="D79" s="189"/>
      <c r="E79" s="141"/>
      <c r="F79" s="141"/>
      <c r="G79" s="55"/>
    </row>
    <row r="80" spans="1:13" s="11" customFormat="1" ht="15.75" x14ac:dyDescent="0.25">
      <c r="A80" s="11" t="s">
        <v>1</v>
      </c>
      <c r="B80" s="17">
        <f>B79+B13</f>
        <v>3698295.99</v>
      </c>
      <c r="E80" s="141"/>
      <c r="F80" s="141"/>
      <c r="G80" s="55"/>
    </row>
    <row r="81" spans="1:7" s="11" customFormat="1" ht="15.75" x14ac:dyDescent="0.25">
      <c r="A81" s="11" t="s">
        <v>0</v>
      </c>
      <c r="B81" s="17">
        <f>B80-B7</f>
        <v>0</v>
      </c>
      <c r="C81" s="189"/>
      <c r="D81" s="189"/>
      <c r="E81" s="141"/>
      <c r="F81" s="141"/>
      <c r="G81" s="55"/>
    </row>
    <row r="82" spans="1:7" s="11" customFormat="1" ht="15.75" x14ac:dyDescent="0.25">
      <c r="D82" s="14"/>
      <c r="E82" s="141"/>
      <c r="F82" s="141"/>
      <c r="G82" s="55"/>
    </row>
    <row r="83" spans="1:7" s="11" customFormat="1" ht="15.75" x14ac:dyDescent="0.25">
      <c r="D83" s="14"/>
      <c r="E83" s="141"/>
      <c r="F83" s="141"/>
      <c r="G83" s="55"/>
    </row>
    <row r="84" spans="1:7" s="11" customFormat="1" ht="15.75" x14ac:dyDescent="0.25">
      <c r="D84" s="14"/>
      <c r="E84" s="141"/>
      <c r="F84" s="141"/>
      <c r="G84" s="55"/>
    </row>
    <row r="85" spans="1:7" s="11" customFormat="1" ht="15.75" x14ac:dyDescent="0.25">
      <c r="D85" s="14"/>
      <c r="E85" s="141"/>
      <c r="F85" s="141"/>
      <c r="G85" s="55"/>
    </row>
    <row r="86" spans="1:7" s="11" customFormat="1" ht="15.75" x14ac:dyDescent="0.25">
      <c r="D86" s="14"/>
      <c r="E86" s="141"/>
      <c r="F86" s="141"/>
      <c r="G86" s="55"/>
    </row>
    <row r="87" spans="1:7" s="11" customFormat="1" ht="15.75" x14ac:dyDescent="0.25">
      <c r="D87" s="14"/>
      <c r="E87" s="141"/>
      <c r="F87" s="141"/>
      <c r="G87" s="55"/>
    </row>
    <row r="88" spans="1:7" s="11" customFormat="1" ht="15.75" x14ac:dyDescent="0.25">
      <c r="D88" s="14"/>
      <c r="E88" s="141"/>
      <c r="F88" s="141"/>
      <c r="G88" s="55"/>
    </row>
    <row r="89" spans="1:7" s="11" customFormat="1" ht="15.75" x14ac:dyDescent="0.25">
      <c r="D89" s="14"/>
      <c r="E89" s="141"/>
      <c r="F89" s="141"/>
      <c r="G89" s="55"/>
    </row>
    <row r="90" spans="1:7" s="11" customFormat="1" ht="15.75" x14ac:dyDescent="0.25">
      <c r="D90" s="14"/>
      <c r="E90" s="141"/>
      <c r="F90" s="141"/>
      <c r="G90" s="55"/>
    </row>
    <row r="91" spans="1:7" s="11" customFormat="1" ht="15.75" x14ac:dyDescent="0.25">
      <c r="D91" s="14"/>
      <c r="E91" s="141"/>
      <c r="F91" s="141"/>
      <c r="G91" s="55"/>
    </row>
    <row r="92" spans="1:7" s="11" customFormat="1" ht="15.75" x14ac:dyDescent="0.25">
      <c r="D92" s="14"/>
      <c r="E92" s="141"/>
      <c r="F92" s="141"/>
      <c r="G92" s="55"/>
    </row>
    <row r="93" spans="1:7" s="11" customFormat="1" ht="15.95" customHeight="1" x14ac:dyDescent="0.25">
      <c r="D93" s="14"/>
      <c r="E93" s="141"/>
      <c r="F93" s="141"/>
    </row>
    <row r="94" spans="1:7" s="11" customFormat="1" ht="15.95" customHeight="1" x14ac:dyDescent="0.25">
      <c r="D94" s="14"/>
      <c r="E94" s="141"/>
      <c r="F94" s="141"/>
    </row>
    <row r="95" spans="1:7" s="11" customFormat="1" ht="15.95" customHeight="1" x14ac:dyDescent="0.25">
      <c r="D95" s="14"/>
      <c r="E95" s="141"/>
      <c r="F95" s="141"/>
    </row>
    <row r="96" spans="1:7" s="11" customFormat="1" ht="15.95" customHeight="1" x14ac:dyDescent="0.25">
      <c r="D96" s="14"/>
      <c r="E96" s="141"/>
      <c r="F96" s="141"/>
    </row>
    <row r="97" spans="1:8" s="11" customFormat="1" ht="15.95" customHeight="1" x14ac:dyDescent="0.25">
      <c r="D97" s="14"/>
      <c r="E97" s="141"/>
      <c r="F97" s="141"/>
    </row>
    <row r="98" spans="1:8" s="11" customFormat="1" ht="15.95" customHeight="1" x14ac:dyDescent="0.25">
      <c r="B98" s="17"/>
      <c r="D98" s="14"/>
      <c r="E98" s="141"/>
      <c r="F98" s="141"/>
    </row>
    <row r="99" spans="1:8" s="11" customFormat="1" ht="15.95" customHeight="1" x14ac:dyDescent="0.25">
      <c r="A99" s="39"/>
      <c r="B99" s="93"/>
      <c r="C99" s="18"/>
      <c r="D99" s="37"/>
      <c r="E99" s="141"/>
      <c r="F99" s="141"/>
    </row>
    <row r="100" spans="1:8" s="11" customFormat="1" ht="15.95" customHeight="1" x14ac:dyDescent="0.3">
      <c r="A100" s="1"/>
      <c r="B100" s="10"/>
      <c r="C100" s="13"/>
      <c r="D100" s="84"/>
      <c r="E100" s="141"/>
      <c r="F100" s="141"/>
    </row>
    <row r="101" spans="1:8" s="11" customFormat="1" ht="15.95" customHeight="1" x14ac:dyDescent="0.3">
      <c r="A101" s="1"/>
      <c r="B101" s="10"/>
      <c r="C101" s="13"/>
      <c r="D101" s="84"/>
      <c r="E101" s="141"/>
      <c r="F101" s="141"/>
    </row>
    <row r="102" spans="1:8" s="11" customFormat="1" ht="15.95" customHeight="1" x14ac:dyDescent="0.3">
      <c r="A102" s="1"/>
      <c r="B102" s="10"/>
      <c r="C102" s="13"/>
      <c r="D102" s="84"/>
      <c r="E102" s="141"/>
      <c r="F102" s="141"/>
    </row>
    <row r="103" spans="1:8" s="11" customFormat="1" ht="15.95" customHeight="1" x14ac:dyDescent="0.25">
      <c r="D103" s="14"/>
      <c r="E103" s="141"/>
      <c r="F103" s="141"/>
    </row>
    <row r="104" spans="1:8" s="11" customFormat="1" ht="15.95" customHeight="1" x14ac:dyDescent="0.25">
      <c r="D104" s="14"/>
      <c r="E104" s="141"/>
      <c r="F104" s="141"/>
    </row>
    <row r="105" spans="1:8" s="11" customFormat="1" ht="15.95" customHeight="1" x14ac:dyDescent="0.25">
      <c r="D105" s="14"/>
      <c r="E105" s="141"/>
      <c r="F105" s="141"/>
    </row>
    <row r="106" spans="1:8" s="11" customFormat="1" ht="15.95" customHeight="1" x14ac:dyDescent="0.25">
      <c r="D106" s="14"/>
      <c r="E106" s="141"/>
      <c r="F106" s="141"/>
    </row>
    <row r="107" spans="1:8" s="11" customFormat="1" ht="15.95" customHeight="1" x14ac:dyDescent="0.25">
      <c r="D107" s="14"/>
      <c r="E107" s="141"/>
      <c r="F107" s="141"/>
    </row>
    <row r="108" spans="1:8" s="11" customFormat="1" ht="15.95" customHeight="1" x14ac:dyDescent="0.25">
      <c r="D108" s="14"/>
      <c r="E108" s="141"/>
      <c r="F108" s="141"/>
      <c r="H108" s="88"/>
    </row>
    <row r="109" spans="1:8" s="11" customFormat="1" ht="15.95" customHeight="1" x14ac:dyDescent="0.25">
      <c r="D109" s="14"/>
      <c r="E109" s="141"/>
      <c r="F109" s="141"/>
      <c r="H109" s="88"/>
    </row>
    <row r="110" spans="1:8" s="11" customFormat="1" ht="15.95" customHeight="1" x14ac:dyDescent="0.25">
      <c r="D110" s="14"/>
      <c r="E110" s="141"/>
      <c r="F110" s="141"/>
      <c r="G110" s="126"/>
      <c r="H110" s="88"/>
    </row>
    <row r="111" spans="1:8" s="11" customFormat="1" ht="15.95" customHeight="1" x14ac:dyDescent="0.25">
      <c r="D111" s="14"/>
      <c r="E111" s="141"/>
      <c r="F111" s="141"/>
      <c r="H111" s="88"/>
    </row>
    <row r="112" spans="1:8" s="11" customFormat="1" ht="20.100000000000001" customHeight="1" x14ac:dyDescent="0.25">
      <c r="D112" s="14"/>
      <c r="E112" s="141"/>
      <c r="F112" s="141"/>
      <c r="H112" s="88"/>
    </row>
    <row r="113" spans="1:19" s="11" customFormat="1" ht="20.100000000000001" customHeight="1" x14ac:dyDescent="0.25">
      <c r="D113" s="14"/>
      <c r="E113" s="141"/>
      <c r="F113" s="141"/>
      <c r="H113" s="88"/>
    </row>
    <row r="114" spans="1:19" s="11" customFormat="1" ht="20.100000000000001" customHeight="1" x14ac:dyDescent="0.25">
      <c r="D114" s="14"/>
      <c r="E114" s="141"/>
      <c r="F114" s="141"/>
      <c r="G114" s="126"/>
      <c r="H114" s="88"/>
    </row>
    <row r="115" spans="1:19" s="11" customFormat="1" ht="20.100000000000001" customHeight="1" x14ac:dyDescent="0.25">
      <c r="D115" s="14"/>
      <c r="E115" s="141"/>
      <c r="F115" s="141"/>
      <c r="H115" s="88"/>
    </row>
    <row r="116" spans="1:19" s="13" customFormat="1" ht="20.100000000000001" customHeight="1" x14ac:dyDescent="0.3">
      <c r="A116" s="1"/>
      <c r="B116" s="10"/>
      <c r="D116" s="84"/>
      <c r="E116" s="141"/>
      <c r="F116" s="141"/>
      <c r="H116" s="88"/>
      <c r="I116" s="11"/>
    </row>
    <row r="117" spans="1:19" s="13" customFormat="1" ht="20.100000000000001" customHeight="1" x14ac:dyDescent="0.3">
      <c r="A117" s="1"/>
      <c r="B117" s="10"/>
      <c r="D117" s="84"/>
      <c r="E117" s="141"/>
      <c r="F117" s="141"/>
      <c r="H117" s="88"/>
      <c r="I117" s="11"/>
    </row>
    <row r="118" spans="1:19" s="13" customFormat="1" ht="20.100000000000001" customHeight="1" x14ac:dyDescent="0.3">
      <c r="A118" s="1"/>
      <c r="B118" s="10"/>
      <c r="D118" s="84"/>
      <c r="E118" s="141"/>
      <c r="F118" s="141"/>
      <c r="H118" s="88"/>
      <c r="I118" s="11"/>
    </row>
    <row r="119" spans="1:19" s="90" customFormat="1" ht="20.100000000000001" customHeight="1" x14ac:dyDescent="0.3">
      <c r="A119" s="1"/>
      <c r="B119" s="10"/>
      <c r="C119" s="13"/>
      <c r="D119" s="178"/>
      <c r="E119" s="141"/>
      <c r="F119" s="141"/>
      <c r="G119" s="1"/>
      <c r="I119" s="1"/>
      <c r="J119" s="1"/>
      <c r="K119" s="1"/>
      <c r="M119" s="1"/>
      <c r="N119" s="1"/>
      <c r="O119" s="1"/>
      <c r="P119" s="1"/>
      <c r="Q119" s="1"/>
      <c r="R119" s="1"/>
      <c r="S119" s="1"/>
    </row>
    <row r="120" spans="1:19" s="90" customFormat="1" ht="20.100000000000001" customHeight="1" x14ac:dyDescent="0.3">
      <c r="A120" s="1"/>
      <c r="B120" s="10"/>
      <c r="C120" s="13"/>
      <c r="D120" s="178"/>
      <c r="E120" s="141"/>
      <c r="F120" s="141"/>
      <c r="G120" s="1"/>
      <c r="I120" s="1"/>
      <c r="J120" s="1"/>
      <c r="K120" s="1"/>
      <c r="M120" s="1"/>
      <c r="N120" s="1"/>
      <c r="O120" s="1"/>
      <c r="P120" s="1"/>
      <c r="Q120" s="1"/>
      <c r="R120" s="1"/>
      <c r="S120" s="1"/>
    </row>
    <row r="121" spans="1:19" s="90" customFormat="1" ht="20.100000000000001" customHeight="1" x14ac:dyDescent="0.3">
      <c r="A121" s="1"/>
      <c r="B121" s="10"/>
      <c r="C121" s="13"/>
      <c r="D121" s="178"/>
      <c r="E121" s="141"/>
      <c r="F121" s="141"/>
      <c r="G121" s="1"/>
      <c r="I121" s="1"/>
      <c r="J121" s="1"/>
      <c r="K121" s="1"/>
      <c r="L121" s="11"/>
      <c r="M121" s="1"/>
      <c r="N121" s="1"/>
      <c r="O121" s="1"/>
      <c r="P121" s="1"/>
      <c r="Q121" s="1"/>
      <c r="R121" s="1"/>
      <c r="S121" s="1"/>
    </row>
    <row r="122" spans="1:19" s="90" customFormat="1" ht="20.100000000000001" customHeight="1" x14ac:dyDescent="0.3">
      <c r="A122" s="1"/>
      <c r="B122" s="10"/>
      <c r="C122" s="13"/>
      <c r="D122" s="178"/>
      <c r="E122" s="141"/>
      <c r="F122" s="141"/>
      <c r="G122" s="11"/>
      <c r="I122" s="1"/>
      <c r="J122" s="1"/>
      <c r="K122" s="1"/>
      <c r="L122" s="11"/>
      <c r="M122" s="1"/>
      <c r="N122" s="1"/>
      <c r="O122" s="1"/>
      <c r="P122" s="1"/>
      <c r="Q122" s="1"/>
      <c r="R122" s="1"/>
      <c r="S122" s="1"/>
    </row>
    <row r="123" spans="1:19" x14ac:dyDescent="0.3">
      <c r="L123" s="11"/>
    </row>
    <row r="124" spans="1:19" x14ac:dyDescent="0.3">
      <c r="L124" s="11"/>
    </row>
    <row r="125" spans="1:19" x14ac:dyDescent="0.3">
      <c r="L125" s="11"/>
    </row>
    <row r="126" spans="1:19" x14ac:dyDescent="0.3">
      <c r="L126" s="11"/>
    </row>
    <row r="127" spans="1:19" x14ac:dyDescent="0.3">
      <c r="L127" s="11"/>
    </row>
    <row r="128" spans="1:19" x14ac:dyDescent="0.3">
      <c r="L128" s="11"/>
    </row>
    <row r="129" spans="12:12" x14ac:dyDescent="0.3">
      <c r="L129" s="11"/>
    </row>
    <row r="130" spans="12:12" x14ac:dyDescent="0.3">
      <c r="L130" s="11"/>
    </row>
  </sheetData>
  <mergeCells count="2">
    <mergeCell ref="C79:D79"/>
    <mergeCell ref="C81:D81"/>
  </mergeCells>
  <pageMargins left="0.7" right="0.7" top="0.75" bottom="0.75" header="0.3" footer="0.3"/>
  <pageSetup scale="52"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F6CD6-85CA-4BD2-8CC4-1064389DFDC3}">
  <sheetPr>
    <pageSetUpPr fitToPage="1"/>
  </sheetPr>
  <dimension ref="A1:S95"/>
  <sheetViews>
    <sheetView topLeftCell="A3" zoomScale="85" zoomScaleNormal="85" workbookViewId="0">
      <selection activeCell="G11" sqref="G11"/>
    </sheetView>
  </sheetViews>
  <sheetFormatPr defaultRowHeight="18.75" x14ac:dyDescent="0.3"/>
  <cols>
    <col min="1" max="1" width="20.7109375" style="1" customWidth="1"/>
    <col min="2" max="2" width="16.85546875" style="10" customWidth="1"/>
    <col min="3" max="3" width="24.5703125" style="13" customWidth="1"/>
    <col min="4" max="4" width="24.5703125" style="178" customWidth="1"/>
    <col min="5" max="5" width="9.7109375" style="141" customWidth="1"/>
    <col min="6" max="6" width="16.5703125" style="141" customWidth="1"/>
    <col min="7" max="7" width="35" style="1" bestFit="1" customWidth="1"/>
    <col min="8" max="8" width="5.5703125" style="90" bestFit="1" customWidth="1"/>
    <col min="9" max="11" width="9.140625" style="1"/>
    <col min="12" max="12" width="57.5703125" style="1" bestFit="1" customWidth="1"/>
    <col min="13" max="16384" width="9.140625" style="1"/>
  </cols>
  <sheetData>
    <row r="1" spans="1:19" s="11" customFormat="1" ht="20.100000000000001" customHeight="1" x14ac:dyDescent="0.25">
      <c r="A1" s="11" t="s">
        <v>1203</v>
      </c>
      <c r="B1" s="17"/>
      <c r="C1" s="13"/>
      <c r="D1" s="84"/>
      <c r="E1" s="141"/>
      <c r="H1" s="88"/>
      <c r="L1" s="11" t="s">
        <v>1437</v>
      </c>
    </row>
    <row r="2" spans="1:19" s="11" customFormat="1" ht="20.100000000000001" customHeight="1" x14ac:dyDescent="0.25">
      <c r="A2" s="14">
        <v>46022</v>
      </c>
      <c r="B2" s="17"/>
      <c r="C2" s="13"/>
      <c r="D2" s="84"/>
      <c r="E2" s="141"/>
      <c r="H2" s="88"/>
      <c r="L2" s="11" t="s">
        <v>1438</v>
      </c>
    </row>
    <row r="3" spans="1:19" s="11" customFormat="1" ht="20.100000000000001" customHeight="1" x14ac:dyDescent="0.25">
      <c r="A3" s="11" t="s">
        <v>311</v>
      </c>
      <c r="B3" s="17">
        <v>36475144.149999999</v>
      </c>
      <c r="C3" s="13"/>
      <c r="D3" s="84"/>
      <c r="E3" s="141"/>
      <c r="H3" s="88"/>
      <c r="L3" s="11" t="s">
        <v>1439</v>
      </c>
      <c r="M3" s="89"/>
    </row>
    <row r="4" spans="1:19" s="11" customFormat="1" ht="20.100000000000001" customHeight="1" x14ac:dyDescent="0.25">
      <c r="A4" s="11" t="s">
        <v>6</v>
      </c>
      <c r="B4" s="17"/>
      <c r="C4" s="13"/>
      <c r="D4" s="84"/>
      <c r="E4" s="141"/>
      <c r="H4" s="88"/>
      <c r="L4" s="11" t="s">
        <v>1440</v>
      </c>
      <c r="M4" s="89"/>
    </row>
    <row r="5" spans="1:19" s="11" customFormat="1" ht="20.100000000000001" customHeight="1" x14ac:dyDescent="0.25">
      <c r="A5" s="11">
        <v>2100</v>
      </c>
      <c r="B5" s="17">
        <v>-36364984.490000002</v>
      </c>
      <c r="C5" s="13"/>
      <c r="D5" s="84"/>
      <c r="E5" s="141"/>
      <c r="H5" s="88"/>
      <c r="L5" s="11" t="s">
        <v>1441</v>
      </c>
      <c r="M5" s="89"/>
    </row>
    <row r="6" spans="1:19" s="11" customFormat="1" ht="20.100000000000001" customHeight="1" x14ac:dyDescent="0.25">
      <c r="A6" s="11" t="s">
        <v>5</v>
      </c>
      <c r="B6" s="17">
        <f>SUM(B5)</f>
        <v>-36364984.490000002</v>
      </c>
      <c r="C6" s="13"/>
      <c r="D6" s="84"/>
      <c r="E6" s="141"/>
      <c r="H6" s="88"/>
      <c r="L6" s="11" t="s">
        <v>1442</v>
      </c>
      <c r="M6" s="89"/>
      <c r="O6" s="62"/>
      <c r="P6" s="62"/>
      <c r="Q6" s="62"/>
      <c r="R6" s="62"/>
      <c r="S6" s="62"/>
    </row>
    <row r="7" spans="1:19" s="11" customFormat="1" ht="20.100000000000001" customHeight="1" x14ac:dyDescent="0.25">
      <c r="A7" s="11" t="s">
        <v>4</v>
      </c>
      <c r="B7" s="17">
        <f>B6+B3</f>
        <v>110159.65999999642</v>
      </c>
      <c r="C7" s="13"/>
      <c r="D7" s="84"/>
      <c r="E7" s="141"/>
      <c r="H7" s="88"/>
      <c r="L7" s="11" t="s">
        <v>1443</v>
      </c>
      <c r="M7" s="88"/>
    </row>
    <row r="8" spans="1:19" s="11" customFormat="1" ht="15.95" customHeight="1" x14ac:dyDescent="0.25">
      <c r="A8" s="11" t="s">
        <v>3</v>
      </c>
      <c r="B8" s="17"/>
      <c r="C8" s="44" t="s">
        <v>628</v>
      </c>
      <c r="D8" s="175" t="s">
        <v>626</v>
      </c>
      <c r="E8" s="141"/>
      <c r="H8" s="88"/>
      <c r="L8" s="11" t="s">
        <v>1444</v>
      </c>
      <c r="M8" s="88"/>
    </row>
    <row r="9" spans="1:19" s="11" customFormat="1" ht="15.75" x14ac:dyDescent="0.25">
      <c r="A9" s="160" t="s">
        <v>3417</v>
      </c>
      <c r="B9" s="186">
        <v>-27252</v>
      </c>
      <c r="C9" s="164">
        <v>46022</v>
      </c>
      <c r="D9" s="176">
        <v>46027</v>
      </c>
      <c r="E9" s="160"/>
      <c r="F9" s="141"/>
      <c r="G9" s="55"/>
      <c r="L9" s="11" t="s">
        <v>1445</v>
      </c>
      <c r="M9" s="88"/>
    </row>
    <row r="10" spans="1:19" s="11" customFormat="1" ht="15.75" x14ac:dyDescent="0.25">
      <c r="A10" s="160" t="s">
        <v>3418</v>
      </c>
      <c r="B10" s="186">
        <v>-29965</v>
      </c>
      <c r="C10" s="164">
        <v>46022</v>
      </c>
      <c r="D10" s="176">
        <v>46027</v>
      </c>
      <c r="E10" s="160"/>
      <c r="F10" s="141"/>
      <c r="G10" s="55"/>
      <c r="L10" s="11" t="s">
        <v>1446</v>
      </c>
      <c r="M10" s="88"/>
    </row>
    <row r="11" spans="1:19" s="11" customFormat="1" ht="15.75" x14ac:dyDescent="0.25">
      <c r="A11" s="160" t="s">
        <v>3419</v>
      </c>
      <c r="B11" s="186">
        <v>-31210</v>
      </c>
      <c r="C11" s="164">
        <v>46021</v>
      </c>
      <c r="D11" s="176">
        <v>46024</v>
      </c>
      <c r="E11" s="160"/>
      <c r="F11" s="141"/>
      <c r="G11" s="55"/>
      <c r="L11" s="11" t="s">
        <v>1447</v>
      </c>
      <c r="M11" s="88"/>
    </row>
    <row r="12" spans="1:19" s="11" customFormat="1" ht="15.75" x14ac:dyDescent="0.25">
      <c r="A12" s="160" t="s">
        <v>3420</v>
      </c>
      <c r="B12" s="186">
        <v>-36100</v>
      </c>
      <c r="C12" s="164">
        <v>46022</v>
      </c>
      <c r="D12" s="176">
        <v>46027</v>
      </c>
      <c r="E12" s="160"/>
      <c r="F12" s="141"/>
      <c r="G12" s="55"/>
      <c r="L12" s="11" t="s">
        <v>1448</v>
      </c>
      <c r="M12" s="88"/>
    </row>
    <row r="13" spans="1:19" s="11" customFormat="1" ht="15.75" x14ac:dyDescent="0.25">
      <c r="A13" s="160" t="s">
        <v>3421</v>
      </c>
      <c r="B13" s="186">
        <v>-36753</v>
      </c>
      <c r="C13" s="164">
        <v>46022</v>
      </c>
      <c r="D13" s="176">
        <v>46027</v>
      </c>
      <c r="E13" s="160"/>
      <c r="F13" s="141"/>
      <c r="G13" s="55"/>
      <c r="L13" s="11" t="s">
        <v>1449</v>
      </c>
      <c r="M13" s="88"/>
    </row>
    <row r="14" spans="1:19" s="11" customFormat="1" ht="15.75" x14ac:dyDescent="0.25">
      <c r="A14" s="160" t="s">
        <v>3422</v>
      </c>
      <c r="B14" s="186">
        <v>-37341</v>
      </c>
      <c r="C14" s="164">
        <v>46021</v>
      </c>
      <c r="D14" s="176">
        <v>46024</v>
      </c>
      <c r="E14" s="160"/>
      <c r="F14" s="141"/>
      <c r="G14" s="55"/>
      <c r="L14" s="11" t="s">
        <v>1450</v>
      </c>
      <c r="M14" s="88"/>
    </row>
    <row r="15" spans="1:19" s="11" customFormat="1" ht="15.75" x14ac:dyDescent="0.25">
      <c r="A15" s="160" t="s">
        <v>3423</v>
      </c>
      <c r="B15" s="186">
        <v>-37341</v>
      </c>
      <c r="C15" s="164">
        <v>46022</v>
      </c>
      <c r="D15" s="176">
        <v>46027</v>
      </c>
      <c r="E15" s="160"/>
      <c r="F15" s="141"/>
      <c r="G15" s="55"/>
      <c r="L15" s="11" t="s">
        <v>1451</v>
      </c>
      <c r="M15" s="88"/>
    </row>
    <row r="16" spans="1:19" s="11" customFormat="1" ht="15.75" x14ac:dyDescent="0.25">
      <c r="A16" s="160" t="s">
        <v>3424</v>
      </c>
      <c r="B16" s="186">
        <v>-39221</v>
      </c>
      <c r="C16" s="164">
        <v>46021</v>
      </c>
      <c r="D16" s="176">
        <v>46024</v>
      </c>
      <c r="E16" s="160"/>
      <c r="F16" s="141"/>
      <c r="G16" s="55"/>
      <c r="L16" s="11" t="s">
        <v>1452</v>
      </c>
      <c r="M16" s="88"/>
    </row>
    <row r="17" spans="1:13" s="11" customFormat="1" ht="15.75" x14ac:dyDescent="0.25">
      <c r="A17" s="160" t="s">
        <v>3425</v>
      </c>
      <c r="B17" s="186">
        <v>-39596</v>
      </c>
      <c r="C17" s="164">
        <v>46021</v>
      </c>
      <c r="D17" s="176">
        <v>46024</v>
      </c>
      <c r="E17" s="160"/>
      <c r="F17" s="141"/>
      <c r="G17" s="55"/>
      <c r="L17" s="11" t="s">
        <v>1453</v>
      </c>
      <c r="M17" s="88"/>
    </row>
    <row r="18" spans="1:13" s="11" customFormat="1" ht="15.75" x14ac:dyDescent="0.25">
      <c r="A18" s="160" t="s">
        <v>3426</v>
      </c>
      <c r="B18" s="186">
        <v>-39596</v>
      </c>
      <c r="C18" s="164">
        <v>46021</v>
      </c>
      <c r="D18" s="176">
        <v>46024</v>
      </c>
      <c r="E18" s="160"/>
      <c r="F18" s="141"/>
      <c r="G18" s="55"/>
      <c r="L18" s="11" t="s">
        <v>1436</v>
      </c>
      <c r="M18" s="88"/>
    </row>
    <row r="19" spans="1:13" s="11" customFormat="1" ht="15.75" x14ac:dyDescent="0.25">
      <c r="A19" s="160" t="s">
        <v>3427</v>
      </c>
      <c r="B19" s="186">
        <v>-39596</v>
      </c>
      <c r="C19" s="164">
        <v>46022</v>
      </c>
      <c r="D19" s="176">
        <v>46027</v>
      </c>
      <c r="E19" s="160"/>
      <c r="F19" s="141"/>
      <c r="G19" s="55"/>
      <c r="L19" s="11" t="s">
        <v>1454</v>
      </c>
      <c r="M19" s="88"/>
    </row>
    <row r="20" spans="1:13" s="11" customFormat="1" ht="15.75" x14ac:dyDescent="0.25">
      <c r="A20" s="160" t="s">
        <v>3428</v>
      </c>
      <c r="B20" s="186">
        <v>-40394</v>
      </c>
      <c r="C20" s="164">
        <v>46021</v>
      </c>
      <c r="D20" s="176">
        <v>46024</v>
      </c>
      <c r="E20" s="160"/>
      <c r="F20" s="141"/>
      <c r="G20" s="55"/>
      <c r="L20" s="11" t="s">
        <v>1455</v>
      </c>
      <c r="M20" s="88"/>
    </row>
    <row r="21" spans="1:13" s="11" customFormat="1" ht="15.75" x14ac:dyDescent="0.25">
      <c r="A21" s="160" t="s">
        <v>3429</v>
      </c>
      <c r="B21" s="186">
        <v>-40399</v>
      </c>
      <c r="C21" s="164">
        <v>46022</v>
      </c>
      <c r="D21" s="176">
        <v>46027</v>
      </c>
      <c r="E21" s="160"/>
      <c r="F21" s="141"/>
      <c r="G21" s="55"/>
      <c r="L21" s="11" t="s">
        <v>1456</v>
      </c>
      <c r="M21" s="88"/>
    </row>
    <row r="22" spans="1:13" s="11" customFormat="1" ht="15.75" x14ac:dyDescent="0.25">
      <c r="A22" s="160" t="s">
        <v>3430</v>
      </c>
      <c r="B22" s="186">
        <v>-40399</v>
      </c>
      <c r="C22" s="164">
        <v>46022</v>
      </c>
      <c r="D22" s="176">
        <v>46027</v>
      </c>
      <c r="E22" s="160"/>
      <c r="F22" s="141"/>
      <c r="G22" s="55"/>
      <c r="L22" s="11" t="s">
        <v>1457</v>
      </c>
      <c r="M22" s="88"/>
    </row>
    <row r="23" spans="1:13" s="11" customFormat="1" ht="15.75" x14ac:dyDescent="0.25">
      <c r="A23" s="160" t="s">
        <v>3431</v>
      </c>
      <c r="B23" s="186">
        <v>-44488</v>
      </c>
      <c r="C23" s="164">
        <v>46021</v>
      </c>
      <c r="D23" s="176">
        <v>46024</v>
      </c>
      <c r="E23" s="160"/>
      <c r="F23" s="141"/>
      <c r="G23" s="55"/>
      <c r="L23" s="11" t="s">
        <v>2506</v>
      </c>
      <c r="M23" s="88"/>
    </row>
    <row r="24" spans="1:13" s="11" customFormat="1" ht="15.75" x14ac:dyDescent="0.25">
      <c r="A24" s="160" t="s">
        <v>3432</v>
      </c>
      <c r="B24" s="186">
        <v>-46633</v>
      </c>
      <c r="C24" s="164">
        <v>46021</v>
      </c>
      <c r="D24" s="176">
        <v>46024</v>
      </c>
      <c r="E24" s="160"/>
      <c r="F24" s="141"/>
      <c r="G24" s="55"/>
      <c r="L24" s="11" t="s">
        <v>1458</v>
      </c>
      <c r="M24" s="88"/>
    </row>
    <row r="25" spans="1:13" s="11" customFormat="1" ht="15.75" x14ac:dyDescent="0.25">
      <c r="A25" s="160" t="s">
        <v>3433</v>
      </c>
      <c r="B25" s="186">
        <v>-46887</v>
      </c>
      <c r="C25" s="164">
        <v>46021</v>
      </c>
      <c r="D25" s="176">
        <v>46024</v>
      </c>
      <c r="E25" s="160"/>
      <c r="F25" s="141"/>
      <c r="G25" s="55"/>
      <c r="L25" s="11" t="s">
        <v>3337</v>
      </c>
      <c r="M25" s="88"/>
    </row>
    <row r="26" spans="1:13" s="11" customFormat="1" ht="15.75" x14ac:dyDescent="0.25">
      <c r="A26" s="160" t="s">
        <v>3434</v>
      </c>
      <c r="B26" s="186">
        <v>-46887</v>
      </c>
      <c r="C26" s="164">
        <v>46022</v>
      </c>
      <c r="D26" s="176">
        <v>46027</v>
      </c>
      <c r="E26" s="160"/>
      <c r="F26" s="141"/>
      <c r="G26" s="55"/>
      <c r="L26" s="11" t="s">
        <v>1368</v>
      </c>
      <c r="M26" s="88"/>
    </row>
    <row r="27" spans="1:13" s="11" customFormat="1" ht="15.75" x14ac:dyDescent="0.25">
      <c r="C27" s="164"/>
      <c r="D27" s="176"/>
      <c r="E27" s="160"/>
      <c r="F27" s="141"/>
      <c r="G27" s="55"/>
      <c r="L27" s="11" t="s">
        <v>1459</v>
      </c>
      <c r="M27" s="88"/>
    </row>
    <row r="28" spans="1:13" s="11" customFormat="1" ht="15.75" x14ac:dyDescent="0.25">
      <c r="A28" s="160"/>
      <c r="B28" s="186"/>
      <c r="C28" s="164"/>
      <c r="D28" s="176"/>
      <c r="E28" s="160"/>
      <c r="F28" s="141"/>
      <c r="G28" s="55"/>
      <c r="L28" s="11" t="s">
        <v>1369</v>
      </c>
      <c r="M28" s="88"/>
    </row>
    <row r="29" spans="1:13" s="11" customFormat="1" ht="15.75" x14ac:dyDescent="0.25">
      <c r="B29" s="25">
        <f>SUM(B9:B28)</f>
        <v>-700058</v>
      </c>
      <c r="C29" s="28"/>
      <c r="D29" s="14"/>
      <c r="E29" s="141"/>
      <c r="F29" s="141"/>
      <c r="G29" s="55"/>
      <c r="L29" s="11" t="s">
        <v>1460</v>
      </c>
    </row>
    <row r="30" spans="1:13" s="11" customFormat="1" ht="16.5" customHeight="1" x14ac:dyDescent="0.25">
      <c r="A30" s="11" t="s">
        <v>2</v>
      </c>
      <c r="B30" s="25"/>
      <c r="C30" s="52" t="s">
        <v>626</v>
      </c>
      <c r="D30" s="177" t="s">
        <v>628</v>
      </c>
      <c r="E30" s="141"/>
      <c r="F30" s="141"/>
      <c r="G30" s="55"/>
    </row>
    <row r="31" spans="1:13" s="11" customFormat="1" ht="16.5" customHeight="1" x14ac:dyDescent="0.25">
      <c r="A31" s="11" t="s">
        <v>3435</v>
      </c>
      <c r="B31" s="119">
        <v>27467.05</v>
      </c>
      <c r="C31" s="13">
        <v>46020</v>
      </c>
      <c r="D31" s="86">
        <v>46027</v>
      </c>
      <c r="E31" s="141"/>
      <c r="F31" s="141"/>
      <c r="G31" s="55"/>
    </row>
    <row r="32" spans="1:13" s="11" customFormat="1" ht="16.5" customHeight="1" x14ac:dyDescent="0.25">
      <c r="A32" s="11" t="s">
        <v>3436</v>
      </c>
      <c r="B32" s="119">
        <v>27924.93</v>
      </c>
      <c r="C32" s="13">
        <v>46022</v>
      </c>
      <c r="D32" s="86">
        <v>46027</v>
      </c>
      <c r="E32" s="141"/>
      <c r="F32" s="141"/>
      <c r="G32" s="55"/>
    </row>
    <row r="33" spans="1:13" s="11" customFormat="1" ht="16.5" customHeight="1" x14ac:dyDescent="0.25">
      <c r="A33" s="11" t="s">
        <v>3437</v>
      </c>
      <c r="B33" s="119">
        <v>27924.93</v>
      </c>
      <c r="C33" s="13">
        <v>46017</v>
      </c>
      <c r="D33" s="86">
        <v>46027</v>
      </c>
      <c r="E33" s="141"/>
      <c r="F33" s="141"/>
      <c r="G33" s="55"/>
    </row>
    <row r="34" spans="1:13" s="11" customFormat="1" ht="16.5" customHeight="1" x14ac:dyDescent="0.25">
      <c r="A34" s="11" t="s">
        <v>3438</v>
      </c>
      <c r="B34" s="119">
        <v>65565.23</v>
      </c>
      <c r="C34" s="13">
        <v>46022</v>
      </c>
      <c r="D34" s="86">
        <v>46027</v>
      </c>
      <c r="E34" s="141"/>
      <c r="F34" s="141"/>
      <c r="G34" s="55"/>
    </row>
    <row r="35" spans="1:13" s="11" customFormat="1" ht="16.5" customHeight="1" x14ac:dyDescent="0.25">
      <c r="A35" s="11" t="s">
        <v>3446</v>
      </c>
      <c r="B35" s="119">
        <v>65951.94</v>
      </c>
      <c r="C35" s="13">
        <v>45989</v>
      </c>
      <c r="D35" s="86">
        <v>46050</v>
      </c>
      <c r="E35" s="141"/>
      <c r="F35" s="141"/>
      <c r="G35" s="55"/>
    </row>
    <row r="36" spans="1:13" s="11" customFormat="1" ht="16.5" customHeight="1" x14ac:dyDescent="0.25">
      <c r="A36" s="11" t="s">
        <v>3439</v>
      </c>
      <c r="B36" s="119">
        <v>75889.95</v>
      </c>
      <c r="C36" s="13">
        <v>46008</v>
      </c>
      <c r="D36" s="86">
        <v>46027</v>
      </c>
      <c r="E36" s="141"/>
      <c r="F36" s="141"/>
      <c r="G36" s="55"/>
    </row>
    <row r="37" spans="1:13" s="11" customFormat="1" ht="16.5" customHeight="1" x14ac:dyDescent="0.25">
      <c r="A37" s="11" t="s">
        <v>3440</v>
      </c>
      <c r="B37" s="119">
        <v>78676.149999999994</v>
      </c>
      <c r="C37" s="13">
        <v>46021</v>
      </c>
      <c r="D37" s="86">
        <v>46027</v>
      </c>
      <c r="E37" s="141"/>
      <c r="F37" s="141"/>
      <c r="G37" s="55"/>
    </row>
    <row r="38" spans="1:13" s="11" customFormat="1" ht="16.5" customHeight="1" x14ac:dyDescent="0.25">
      <c r="A38" s="11" t="s">
        <v>3441</v>
      </c>
      <c r="B38" s="119">
        <v>83462.7</v>
      </c>
      <c r="C38" s="13">
        <v>46002</v>
      </c>
      <c r="D38" s="86">
        <v>46030</v>
      </c>
      <c r="E38" s="141"/>
      <c r="F38" s="141"/>
      <c r="G38" s="55"/>
    </row>
    <row r="39" spans="1:13" s="11" customFormat="1" ht="16.5" customHeight="1" x14ac:dyDescent="0.25">
      <c r="A39" s="11" t="s">
        <v>3442</v>
      </c>
      <c r="B39" s="119">
        <v>86720</v>
      </c>
      <c r="C39" s="13">
        <v>46020</v>
      </c>
      <c r="D39" s="86">
        <v>46027</v>
      </c>
      <c r="E39" s="141"/>
      <c r="F39" s="141"/>
      <c r="G39" s="55"/>
      <c r="M39" s="88"/>
    </row>
    <row r="40" spans="1:13" s="11" customFormat="1" ht="16.5" customHeight="1" x14ac:dyDescent="0.25">
      <c r="A40" s="11" t="s">
        <v>3443</v>
      </c>
      <c r="B40" s="119">
        <v>87275</v>
      </c>
      <c r="C40" s="13">
        <v>46013</v>
      </c>
      <c r="D40" s="86">
        <v>46027</v>
      </c>
      <c r="E40" s="141"/>
      <c r="F40" s="141"/>
      <c r="G40" s="55"/>
    </row>
    <row r="41" spans="1:13" s="11" customFormat="1" ht="16.5" customHeight="1" x14ac:dyDescent="0.25">
      <c r="A41" s="11" t="s">
        <v>3445</v>
      </c>
      <c r="B41" s="119">
        <v>91450.95</v>
      </c>
      <c r="C41" s="13">
        <v>46020</v>
      </c>
      <c r="D41" s="86">
        <v>46031</v>
      </c>
      <c r="E41" s="141"/>
      <c r="F41" s="172"/>
      <c r="G41" s="55"/>
    </row>
    <row r="42" spans="1:13" s="11" customFormat="1" ht="16.5" customHeight="1" x14ac:dyDescent="0.25">
      <c r="A42" s="11" t="s">
        <v>3444</v>
      </c>
      <c r="B42" s="119">
        <v>91908.83</v>
      </c>
      <c r="C42" s="13">
        <v>46020</v>
      </c>
      <c r="D42" s="86">
        <v>46027</v>
      </c>
      <c r="E42" s="141"/>
      <c r="F42" s="141"/>
      <c r="G42" s="55"/>
    </row>
    <row r="43" spans="1:13" s="11" customFormat="1" ht="16.5" customHeight="1" x14ac:dyDescent="0.25">
      <c r="B43" s="119"/>
      <c r="C43" s="171"/>
      <c r="D43" s="182"/>
      <c r="E43" s="141"/>
      <c r="F43" s="141"/>
      <c r="G43" s="55"/>
    </row>
    <row r="44" spans="1:13" s="11" customFormat="1" ht="15.75" x14ac:dyDescent="0.25">
      <c r="B44" s="25">
        <f>SUM(B31:B43)</f>
        <v>810217.66</v>
      </c>
      <c r="C44" s="189"/>
      <c r="D44" s="189"/>
      <c r="E44" s="141"/>
      <c r="F44" s="141"/>
      <c r="G44" s="55"/>
    </row>
    <row r="45" spans="1:13" s="11" customFormat="1" ht="15.75" x14ac:dyDescent="0.25">
      <c r="A45" s="11" t="s">
        <v>1</v>
      </c>
      <c r="B45" s="17">
        <f>B44+B29</f>
        <v>110159.66000000003</v>
      </c>
      <c r="E45" s="141"/>
      <c r="F45" s="141"/>
      <c r="G45" s="55"/>
    </row>
    <row r="46" spans="1:13" s="11" customFormat="1" ht="15.75" x14ac:dyDescent="0.25">
      <c r="A46" s="11" t="s">
        <v>0</v>
      </c>
      <c r="B46" s="17">
        <f>B45-B7</f>
        <v>3.6088749766349792E-9</v>
      </c>
      <c r="C46" s="189"/>
      <c r="D46" s="189"/>
      <c r="E46" s="141"/>
      <c r="F46" s="141"/>
      <c r="G46" s="55"/>
    </row>
    <row r="47" spans="1:13" s="11" customFormat="1" ht="15.75" x14ac:dyDescent="0.25">
      <c r="D47" s="14"/>
      <c r="E47" s="141"/>
      <c r="F47" s="141"/>
      <c r="G47" s="55"/>
    </row>
    <row r="48" spans="1:13" s="11" customFormat="1" ht="15.75" x14ac:dyDescent="0.25">
      <c r="D48" s="14"/>
      <c r="E48" s="141"/>
      <c r="F48" s="141"/>
      <c r="G48" s="55"/>
    </row>
    <row r="49" spans="1:7" s="11" customFormat="1" ht="15.75" x14ac:dyDescent="0.25">
      <c r="D49" s="14"/>
      <c r="E49" s="141"/>
      <c r="F49" s="141"/>
      <c r="G49" s="55"/>
    </row>
    <row r="50" spans="1:7" s="11" customFormat="1" ht="15.75" x14ac:dyDescent="0.25">
      <c r="D50" s="14"/>
      <c r="E50" s="141"/>
      <c r="F50" s="141"/>
      <c r="G50" s="55"/>
    </row>
    <row r="51" spans="1:7" s="11" customFormat="1" ht="15.75" x14ac:dyDescent="0.25">
      <c r="D51" s="14"/>
      <c r="E51" s="141"/>
      <c r="F51" s="141"/>
      <c r="G51" s="55"/>
    </row>
    <row r="52" spans="1:7" s="11" customFormat="1" ht="15.75" x14ac:dyDescent="0.25">
      <c r="D52" s="14"/>
      <c r="E52" s="141"/>
      <c r="F52" s="141"/>
      <c r="G52" s="55"/>
    </row>
    <row r="53" spans="1:7" s="11" customFormat="1" ht="15.75" x14ac:dyDescent="0.25">
      <c r="D53" s="14"/>
      <c r="E53" s="141"/>
      <c r="F53" s="141"/>
      <c r="G53" s="55"/>
    </row>
    <row r="54" spans="1:7" s="11" customFormat="1" ht="15.75" x14ac:dyDescent="0.25">
      <c r="D54" s="14"/>
      <c r="E54" s="141"/>
      <c r="F54" s="141"/>
      <c r="G54" s="55"/>
    </row>
    <row r="55" spans="1:7" s="11" customFormat="1" ht="15.75" x14ac:dyDescent="0.25">
      <c r="D55" s="14"/>
      <c r="E55" s="141"/>
      <c r="F55" s="141"/>
      <c r="G55" s="55"/>
    </row>
    <row r="56" spans="1:7" s="11" customFormat="1" ht="15.75" x14ac:dyDescent="0.25">
      <c r="D56" s="14"/>
      <c r="E56" s="141"/>
      <c r="F56" s="141"/>
      <c r="G56" s="55"/>
    </row>
    <row r="57" spans="1:7" s="11" customFormat="1" ht="15.75" x14ac:dyDescent="0.25">
      <c r="D57" s="14"/>
      <c r="E57" s="141"/>
      <c r="F57" s="141"/>
      <c r="G57" s="55"/>
    </row>
    <row r="58" spans="1:7" s="11" customFormat="1" ht="15.95" customHeight="1" x14ac:dyDescent="0.25">
      <c r="D58" s="14"/>
      <c r="E58" s="141"/>
      <c r="F58" s="141"/>
    </row>
    <row r="59" spans="1:7" s="11" customFormat="1" ht="15.95" customHeight="1" x14ac:dyDescent="0.25">
      <c r="D59" s="14"/>
      <c r="E59" s="141"/>
      <c r="F59" s="141"/>
    </row>
    <row r="60" spans="1:7" s="11" customFormat="1" ht="15.95" customHeight="1" x14ac:dyDescent="0.25">
      <c r="D60" s="14"/>
      <c r="E60" s="141"/>
      <c r="F60" s="141"/>
    </row>
    <row r="61" spans="1:7" s="11" customFormat="1" ht="15.95" customHeight="1" x14ac:dyDescent="0.25">
      <c r="D61" s="14"/>
      <c r="E61" s="141"/>
      <c r="F61" s="141"/>
    </row>
    <row r="62" spans="1:7" s="11" customFormat="1" ht="15.95" customHeight="1" x14ac:dyDescent="0.25">
      <c r="D62" s="14"/>
      <c r="E62" s="141"/>
      <c r="F62" s="141"/>
    </row>
    <row r="63" spans="1:7" s="11" customFormat="1" ht="15.95" customHeight="1" x14ac:dyDescent="0.25">
      <c r="B63" s="17"/>
      <c r="D63" s="14"/>
      <c r="E63" s="141"/>
      <c r="F63" s="141"/>
    </row>
    <row r="64" spans="1:7" s="11" customFormat="1" ht="15.95" customHeight="1" x14ac:dyDescent="0.25">
      <c r="A64" s="39"/>
      <c r="B64" s="93"/>
      <c r="C64" s="18"/>
      <c r="D64" s="37"/>
      <c r="E64" s="141"/>
      <c r="F64" s="141"/>
    </row>
    <row r="65" spans="1:8" s="11" customFormat="1" ht="15.95" customHeight="1" x14ac:dyDescent="0.3">
      <c r="A65" s="1"/>
      <c r="B65" s="10"/>
      <c r="C65" s="13"/>
      <c r="D65" s="84"/>
      <c r="E65" s="141"/>
      <c r="F65" s="141"/>
    </row>
    <row r="66" spans="1:8" s="11" customFormat="1" ht="15.95" customHeight="1" x14ac:dyDescent="0.3">
      <c r="A66" s="1"/>
      <c r="B66" s="10"/>
      <c r="C66" s="13"/>
      <c r="D66" s="84"/>
      <c r="E66" s="141"/>
      <c r="F66" s="141"/>
    </row>
    <row r="67" spans="1:8" s="11" customFormat="1" ht="15.95" customHeight="1" x14ac:dyDescent="0.3">
      <c r="A67" s="1"/>
      <c r="B67" s="10"/>
      <c r="C67" s="13"/>
      <c r="D67" s="84"/>
      <c r="E67" s="141"/>
      <c r="F67" s="141"/>
    </row>
    <row r="68" spans="1:8" s="11" customFormat="1" ht="15.95" customHeight="1" x14ac:dyDescent="0.25">
      <c r="D68" s="14"/>
      <c r="E68" s="141"/>
      <c r="F68" s="141"/>
    </row>
    <row r="69" spans="1:8" s="11" customFormat="1" ht="15.95" customHeight="1" x14ac:dyDescent="0.25">
      <c r="D69" s="14"/>
      <c r="E69" s="141"/>
      <c r="F69" s="141"/>
    </row>
    <row r="70" spans="1:8" s="11" customFormat="1" ht="15.95" customHeight="1" x14ac:dyDescent="0.25">
      <c r="D70" s="14"/>
      <c r="E70" s="141"/>
      <c r="F70" s="141"/>
    </row>
    <row r="71" spans="1:8" s="11" customFormat="1" ht="15.95" customHeight="1" x14ac:dyDescent="0.25">
      <c r="D71" s="14"/>
      <c r="E71" s="141"/>
      <c r="F71" s="141"/>
    </row>
    <row r="72" spans="1:8" s="11" customFormat="1" ht="15.95" customHeight="1" x14ac:dyDescent="0.25">
      <c r="D72" s="14"/>
      <c r="E72" s="141"/>
      <c r="F72" s="141"/>
    </row>
    <row r="73" spans="1:8" s="11" customFormat="1" ht="15.95" customHeight="1" x14ac:dyDescent="0.25">
      <c r="D73" s="14"/>
      <c r="E73" s="141"/>
      <c r="F73" s="141"/>
      <c r="H73" s="88"/>
    </row>
    <row r="74" spans="1:8" s="11" customFormat="1" ht="15.95" customHeight="1" x14ac:dyDescent="0.25">
      <c r="D74" s="14"/>
      <c r="E74" s="141"/>
      <c r="F74" s="141"/>
      <c r="H74" s="88"/>
    </row>
    <row r="75" spans="1:8" s="11" customFormat="1" ht="15.95" customHeight="1" x14ac:dyDescent="0.25">
      <c r="D75" s="14"/>
      <c r="E75" s="141"/>
      <c r="F75" s="141"/>
      <c r="G75" s="126"/>
      <c r="H75" s="88"/>
    </row>
    <row r="76" spans="1:8" s="11" customFormat="1" ht="15.95" customHeight="1" x14ac:dyDescent="0.25">
      <c r="D76" s="14"/>
      <c r="E76" s="141"/>
      <c r="F76" s="141"/>
      <c r="H76" s="88"/>
    </row>
    <row r="77" spans="1:8" s="11" customFormat="1" ht="20.100000000000001" customHeight="1" x14ac:dyDescent="0.25">
      <c r="D77" s="14"/>
      <c r="E77" s="141"/>
      <c r="F77" s="141"/>
      <c r="H77" s="88"/>
    </row>
    <row r="78" spans="1:8" s="11" customFormat="1" ht="20.100000000000001" customHeight="1" x14ac:dyDescent="0.25">
      <c r="D78" s="14"/>
      <c r="E78" s="141"/>
      <c r="F78" s="141"/>
      <c r="H78" s="88"/>
    </row>
    <row r="79" spans="1:8" s="11" customFormat="1" ht="20.100000000000001" customHeight="1" x14ac:dyDescent="0.25">
      <c r="D79" s="14"/>
      <c r="E79" s="141"/>
      <c r="F79" s="141"/>
      <c r="G79" s="126"/>
      <c r="H79" s="88"/>
    </row>
    <row r="80" spans="1:8" s="11" customFormat="1" ht="20.100000000000001" customHeight="1" x14ac:dyDescent="0.25">
      <c r="D80" s="14"/>
      <c r="E80" s="141"/>
      <c r="F80" s="141"/>
      <c r="H80" s="88"/>
    </row>
    <row r="81" spans="1:19" s="13" customFormat="1" ht="20.100000000000001" customHeight="1" x14ac:dyDescent="0.3">
      <c r="A81" s="1"/>
      <c r="B81" s="10"/>
      <c r="D81" s="84"/>
      <c r="E81" s="141"/>
      <c r="F81" s="141"/>
      <c r="H81" s="88"/>
      <c r="I81" s="11"/>
    </row>
    <row r="82" spans="1:19" s="13" customFormat="1" ht="20.100000000000001" customHeight="1" x14ac:dyDescent="0.3">
      <c r="A82" s="1"/>
      <c r="B82" s="10"/>
      <c r="D82" s="84"/>
      <c r="E82" s="141"/>
      <c r="F82" s="141"/>
      <c r="H82" s="88"/>
      <c r="I82" s="11"/>
    </row>
    <row r="83" spans="1:19" s="13" customFormat="1" ht="20.100000000000001" customHeight="1" x14ac:dyDescent="0.3">
      <c r="A83" s="1"/>
      <c r="B83" s="10"/>
      <c r="D83" s="84"/>
      <c r="E83" s="141"/>
      <c r="F83" s="141"/>
      <c r="H83" s="88"/>
      <c r="I83" s="11"/>
    </row>
    <row r="84" spans="1:19" s="90" customFormat="1" ht="20.100000000000001" customHeight="1" x14ac:dyDescent="0.3">
      <c r="A84" s="1"/>
      <c r="B84" s="10"/>
      <c r="C84" s="13"/>
      <c r="D84" s="178"/>
      <c r="E84" s="141"/>
      <c r="F84" s="141"/>
      <c r="G84" s="1"/>
      <c r="I84" s="1"/>
      <c r="J84" s="1"/>
      <c r="K84" s="1"/>
      <c r="M84" s="1"/>
      <c r="N84" s="1"/>
      <c r="O84" s="1"/>
      <c r="P84" s="1"/>
      <c r="Q84" s="1"/>
      <c r="R84" s="1"/>
      <c r="S84" s="1"/>
    </row>
    <row r="85" spans="1:19" s="90" customFormat="1" ht="20.100000000000001" customHeight="1" x14ac:dyDescent="0.3">
      <c r="A85" s="1"/>
      <c r="B85" s="10"/>
      <c r="C85" s="13"/>
      <c r="D85" s="178"/>
      <c r="E85" s="141"/>
      <c r="F85" s="141"/>
      <c r="G85" s="1"/>
      <c r="I85" s="1"/>
      <c r="J85" s="1"/>
      <c r="K85" s="1"/>
      <c r="M85" s="1"/>
      <c r="N85" s="1"/>
      <c r="O85" s="1"/>
      <c r="P85" s="1"/>
      <c r="Q85" s="1"/>
      <c r="R85" s="1"/>
      <c r="S85" s="1"/>
    </row>
    <row r="86" spans="1:19" s="90" customFormat="1" ht="20.100000000000001" customHeight="1" x14ac:dyDescent="0.3">
      <c r="A86" s="1"/>
      <c r="B86" s="10"/>
      <c r="C86" s="13"/>
      <c r="D86" s="178"/>
      <c r="E86" s="141"/>
      <c r="F86" s="141"/>
      <c r="G86" s="1"/>
      <c r="I86" s="1"/>
      <c r="J86" s="1"/>
      <c r="K86" s="1"/>
      <c r="L86" s="11"/>
      <c r="M86" s="1"/>
      <c r="N86" s="1"/>
      <c r="O86" s="1"/>
      <c r="P86" s="1"/>
      <c r="Q86" s="1"/>
      <c r="R86" s="1"/>
      <c r="S86" s="1"/>
    </row>
    <row r="87" spans="1:19" s="90" customFormat="1" ht="20.100000000000001" customHeight="1" x14ac:dyDescent="0.3">
      <c r="A87" s="1"/>
      <c r="B87" s="10"/>
      <c r="C87" s="13"/>
      <c r="D87" s="178"/>
      <c r="E87" s="141"/>
      <c r="F87" s="141"/>
      <c r="G87" s="11"/>
      <c r="I87" s="1"/>
      <c r="J87" s="1"/>
      <c r="K87" s="1"/>
      <c r="L87" s="11"/>
      <c r="M87" s="1"/>
      <c r="N87" s="1"/>
      <c r="O87" s="1"/>
      <c r="P87" s="1"/>
      <c r="Q87" s="1"/>
      <c r="R87" s="1"/>
      <c r="S87" s="1"/>
    </row>
    <row r="88" spans="1:19" x14ac:dyDescent="0.3">
      <c r="L88" s="11"/>
    </row>
    <row r="89" spans="1:19" x14ac:dyDescent="0.3">
      <c r="L89" s="11"/>
    </row>
    <row r="90" spans="1:19" x14ac:dyDescent="0.3">
      <c r="L90" s="11"/>
    </row>
    <row r="91" spans="1:19" x14ac:dyDescent="0.3">
      <c r="L91" s="11"/>
    </row>
    <row r="92" spans="1:19" x14ac:dyDescent="0.3">
      <c r="L92" s="11"/>
    </row>
    <row r="93" spans="1:19" x14ac:dyDescent="0.3">
      <c r="L93" s="11"/>
    </row>
    <row r="94" spans="1:19" x14ac:dyDescent="0.3">
      <c r="L94" s="11"/>
    </row>
    <row r="95" spans="1:19" x14ac:dyDescent="0.3">
      <c r="L95" s="11"/>
    </row>
  </sheetData>
  <mergeCells count="2">
    <mergeCell ref="C44:D44"/>
    <mergeCell ref="C46:D46"/>
  </mergeCells>
  <pageMargins left="0.7" right="0.7" top="0.75" bottom="0.75" header="0.3" footer="0.3"/>
  <pageSetup scale="80"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709D0-2630-4493-AB42-7A658500AF55}">
  <sheetPr>
    <pageSetUpPr fitToPage="1"/>
  </sheetPr>
  <dimension ref="A1:S94"/>
  <sheetViews>
    <sheetView topLeftCell="A13" zoomScale="85" zoomScaleNormal="85" workbookViewId="0">
      <selection activeCell="C42" sqref="C42"/>
    </sheetView>
  </sheetViews>
  <sheetFormatPr defaultRowHeight="18.75" x14ac:dyDescent="0.3"/>
  <cols>
    <col min="1" max="1" width="20.7109375" style="1" customWidth="1"/>
    <col min="2" max="2" width="16.85546875" style="10" customWidth="1"/>
    <col min="3" max="3" width="24.5703125" style="13" customWidth="1"/>
    <col min="4" max="4" width="24.5703125" style="178" customWidth="1"/>
    <col min="5" max="5" width="9.7109375" style="141" customWidth="1"/>
    <col min="6" max="6" width="16.5703125" style="141" customWidth="1"/>
    <col min="7" max="7" width="35" style="1" bestFit="1" customWidth="1"/>
    <col min="8" max="8" width="5.5703125" style="90" bestFit="1" customWidth="1"/>
    <col min="9" max="11" width="9.140625" style="1"/>
    <col min="12" max="12" width="57.5703125" style="1" bestFit="1" customWidth="1"/>
    <col min="13" max="16384" width="9.140625" style="1"/>
  </cols>
  <sheetData>
    <row r="1" spans="1:19" s="11" customFormat="1" ht="20.100000000000001" customHeight="1" x14ac:dyDescent="0.25">
      <c r="A1" s="11" t="s">
        <v>1203</v>
      </c>
      <c r="B1" s="17"/>
      <c r="C1" s="13"/>
      <c r="D1" s="84"/>
      <c r="E1" s="141"/>
      <c r="H1" s="88"/>
    </row>
    <row r="2" spans="1:19" s="11" customFormat="1" ht="20.100000000000001" customHeight="1" x14ac:dyDescent="0.25">
      <c r="A2" s="14">
        <v>46053</v>
      </c>
      <c r="B2" s="17"/>
      <c r="C2" s="13"/>
      <c r="D2" s="84"/>
      <c r="E2" s="141"/>
      <c r="H2" s="88"/>
    </row>
    <row r="3" spans="1:19" s="11" customFormat="1" ht="20.100000000000001" customHeight="1" x14ac:dyDescent="0.25">
      <c r="A3" s="11" t="s">
        <v>311</v>
      </c>
      <c r="B3" s="17">
        <v>34149407.740000002</v>
      </c>
      <c r="C3" s="13"/>
      <c r="D3" s="84"/>
      <c r="E3" s="141"/>
      <c r="H3" s="88"/>
      <c r="M3" s="89"/>
    </row>
    <row r="4" spans="1:19" s="11" customFormat="1" ht="20.100000000000001" customHeight="1" x14ac:dyDescent="0.25">
      <c r="A4" s="11" t="s">
        <v>6</v>
      </c>
      <c r="B4" s="17"/>
      <c r="C4" s="13"/>
      <c r="D4" s="84"/>
      <c r="E4" s="141"/>
      <c r="H4" s="88"/>
      <c r="M4" s="89"/>
    </row>
    <row r="5" spans="1:19" s="11" customFormat="1" ht="20.100000000000001" customHeight="1" x14ac:dyDescent="0.25">
      <c r="A5" s="11">
        <v>2100</v>
      </c>
      <c r="B5" s="17">
        <v>-33673485.43</v>
      </c>
      <c r="C5" s="13"/>
      <c r="D5" s="84"/>
      <c r="E5" s="141"/>
      <c r="H5" s="88"/>
      <c r="M5" s="89"/>
    </row>
    <row r="6" spans="1:19" s="11" customFormat="1" ht="20.100000000000001" customHeight="1" x14ac:dyDescent="0.25">
      <c r="A6" s="11" t="s">
        <v>5</v>
      </c>
      <c r="B6" s="17">
        <f>SUM(B5)</f>
        <v>-33673485.43</v>
      </c>
      <c r="C6" s="13"/>
      <c r="D6" s="84"/>
      <c r="E6" s="141"/>
      <c r="H6" s="88"/>
      <c r="M6" s="89"/>
      <c r="O6" s="62"/>
      <c r="P6" s="62"/>
      <c r="Q6" s="62"/>
      <c r="R6" s="62"/>
      <c r="S6" s="62"/>
    </row>
    <row r="7" spans="1:19" s="11" customFormat="1" ht="20.100000000000001" customHeight="1" x14ac:dyDescent="0.25">
      <c r="A7" s="11" t="s">
        <v>4</v>
      </c>
      <c r="B7" s="17">
        <f>B6+B3</f>
        <v>475922.31000000238</v>
      </c>
      <c r="C7" s="13"/>
      <c r="D7" s="84"/>
      <c r="E7" s="141"/>
      <c r="H7" s="88"/>
      <c r="M7" s="88"/>
    </row>
    <row r="8" spans="1:19" s="11" customFormat="1" ht="15.95" customHeight="1" x14ac:dyDescent="0.25">
      <c r="A8" s="11" t="s">
        <v>3</v>
      </c>
      <c r="B8" s="17"/>
      <c r="C8" s="44" t="s">
        <v>628</v>
      </c>
      <c r="D8" s="175" t="s">
        <v>626</v>
      </c>
      <c r="E8" s="141"/>
      <c r="H8" s="88"/>
      <c r="M8" s="88"/>
    </row>
    <row r="9" spans="1:19" s="11" customFormat="1" ht="15.75" x14ac:dyDescent="0.25">
      <c r="A9" s="160" t="s">
        <v>3447</v>
      </c>
      <c r="B9" s="186">
        <v>-31213</v>
      </c>
      <c r="C9" s="164">
        <v>46052</v>
      </c>
      <c r="D9" s="176">
        <v>46055</v>
      </c>
      <c r="E9" s="160"/>
      <c r="F9" s="141"/>
      <c r="G9" s="55"/>
      <c r="M9" s="88"/>
    </row>
    <row r="10" spans="1:19" s="11" customFormat="1" ht="15.75" x14ac:dyDescent="0.25">
      <c r="A10" s="160" t="s">
        <v>3448</v>
      </c>
      <c r="B10" s="186">
        <v>-36003</v>
      </c>
      <c r="C10" s="164">
        <v>46052</v>
      </c>
      <c r="D10" s="176">
        <v>46055</v>
      </c>
      <c r="E10" s="160"/>
      <c r="F10" s="141"/>
      <c r="G10" s="55"/>
      <c r="M10" s="88"/>
    </row>
    <row r="11" spans="1:19" s="11" customFormat="1" ht="15.75" x14ac:dyDescent="0.25">
      <c r="A11" s="160" t="s">
        <v>3449</v>
      </c>
      <c r="B11" s="186">
        <v>-36192</v>
      </c>
      <c r="C11" s="164">
        <v>46052</v>
      </c>
      <c r="D11" s="176">
        <v>46055</v>
      </c>
      <c r="E11" s="160"/>
      <c r="F11" s="141"/>
      <c r="G11" s="55"/>
      <c r="M11" s="88"/>
    </row>
    <row r="12" spans="1:19" s="11" customFormat="1" ht="15.75" x14ac:dyDescent="0.25">
      <c r="A12" s="160" t="s">
        <v>3450</v>
      </c>
      <c r="B12" s="186">
        <v>-37153</v>
      </c>
      <c r="C12" s="164">
        <v>46052</v>
      </c>
      <c r="D12" s="176">
        <v>46055</v>
      </c>
      <c r="E12" s="160"/>
      <c r="F12" s="141"/>
      <c r="G12" s="55"/>
      <c r="M12" s="88"/>
    </row>
    <row r="13" spans="1:19" s="11" customFormat="1" ht="15.75" x14ac:dyDescent="0.25">
      <c r="A13" s="160" t="s">
        <v>3451</v>
      </c>
      <c r="B13" s="186">
        <v>-37153</v>
      </c>
      <c r="C13" s="164">
        <v>46052</v>
      </c>
      <c r="D13" s="176">
        <v>46055</v>
      </c>
      <c r="E13" s="160"/>
      <c r="F13" s="141"/>
      <c r="G13" s="55"/>
      <c r="M13" s="88"/>
    </row>
    <row r="14" spans="1:19" s="11" customFormat="1" ht="15.75" x14ac:dyDescent="0.25">
      <c r="A14" s="160" t="s">
        <v>3452</v>
      </c>
      <c r="B14" s="186">
        <v>-37153</v>
      </c>
      <c r="C14" s="164">
        <v>46052</v>
      </c>
      <c r="D14" s="176">
        <v>46055</v>
      </c>
      <c r="E14" s="160"/>
      <c r="F14" s="141"/>
      <c r="G14" s="55"/>
      <c r="M14" s="88"/>
    </row>
    <row r="15" spans="1:19" s="11" customFormat="1" ht="15.75" x14ac:dyDescent="0.25">
      <c r="A15" s="160" t="s">
        <v>3453</v>
      </c>
      <c r="B15" s="186">
        <v>-37153</v>
      </c>
      <c r="C15" s="164">
        <v>46052</v>
      </c>
      <c r="D15" s="176">
        <v>46055</v>
      </c>
      <c r="E15" s="160"/>
      <c r="F15" s="141"/>
      <c r="G15" s="55"/>
      <c r="M15" s="88"/>
    </row>
    <row r="16" spans="1:19" s="11" customFormat="1" ht="15.75" x14ac:dyDescent="0.25">
      <c r="A16" s="160" t="s">
        <v>3426</v>
      </c>
      <c r="B16" s="186">
        <v>-39596</v>
      </c>
      <c r="C16" s="164" t="s">
        <v>3459</v>
      </c>
      <c r="D16" s="176" t="s">
        <v>3477</v>
      </c>
      <c r="E16" s="160"/>
      <c r="F16" s="141"/>
      <c r="G16" s="55"/>
      <c r="M16" s="88"/>
    </row>
    <row r="17" spans="1:13" s="11" customFormat="1" ht="15.75" x14ac:dyDescent="0.25">
      <c r="A17" s="160" t="s">
        <v>3454</v>
      </c>
      <c r="B17" s="186">
        <v>-39973</v>
      </c>
      <c r="C17" s="164">
        <v>46052</v>
      </c>
      <c r="D17" s="176">
        <v>46055</v>
      </c>
      <c r="E17" s="160"/>
      <c r="F17" s="141"/>
      <c r="G17" s="55"/>
      <c r="M17" s="88"/>
    </row>
    <row r="18" spans="1:13" s="11" customFormat="1" ht="15.75" x14ac:dyDescent="0.25">
      <c r="A18" s="160" t="s">
        <v>3455</v>
      </c>
      <c r="B18" s="186">
        <v>-41624</v>
      </c>
      <c r="C18" s="164">
        <v>46052</v>
      </c>
      <c r="D18" s="176">
        <v>46055</v>
      </c>
      <c r="E18" s="160"/>
      <c r="F18" s="141"/>
      <c r="G18" s="55"/>
      <c r="M18" s="88"/>
    </row>
    <row r="19" spans="1:13" s="11" customFormat="1" ht="15.75" x14ac:dyDescent="0.25">
      <c r="A19" s="160" t="s">
        <v>3456</v>
      </c>
      <c r="B19" s="186">
        <v>-43053.98</v>
      </c>
      <c r="C19" s="164">
        <v>46052</v>
      </c>
      <c r="D19" s="176">
        <v>46055</v>
      </c>
      <c r="E19" s="160"/>
      <c r="F19" s="141"/>
      <c r="G19" s="55"/>
      <c r="M19" s="88"/>
    </row>
    <row r="20" spans="1:13" s="11" customFormat="1" ht="15.75" x14ac:dyDescent="0.25">
      <c r="A20" s="160" t="s">
        <v>3457</v>
      </c>
      <c r="B20" s="186">
        <v>-44481</v>
      </c>
      <c r="C20" s="164">
        <v>46052</v>
      </c>
      <c r="D20" s="176">
        <v>46055</v>
      </c>
      <c r="E20" s="160"/>
      <c r="F20" s="141"/>
      <c r="G20" s="55"/>
      <c r="M20" s="88"/>
    </row>
    <row r="21" spans="1:13" s="11" customFormat="1" ht="15.75" x14ac:dyDescent="0.25">
      <c r="A21" s="160" t="s">
        <v>3458</v>
      </c>
      <c r="B21" s="186">
        <v>-50929</v>
      </c>
      <c r="C21" s="164">
        <v>46052</v>
      </c>
      <c r="D21" s="176">
        <v>46055</v>
      </c>
      <c r="E21" s="160"/>
      <c r="F21" s="141"/>
      <c r="G21" s="55"/>
      <c r="M21" s="88"/>
    </row>
    <row r="22" spans="1:13" s="11" customFormat="1" ht="15.75" x14ac:dyDescent="0.25">
      <c r="A22" s="160"/>
      <c r="B22" s="186"/>
      <c r="C22" s="164"/>
      <c r="D22" s="176"/>
      <c r="E22" s="160"/>
      <c r="F22" s="141"/>
      <c r="G22" s="55"/>
      <c r="M22" s="88"/>
    </row>
    <row r="23" spans="1:13" s="11" customFormat="1" ht="15.75" x14ac:dyDescent="0.25">
      <c r="B23" s="25">
        <f>SUM(B9:B22)</f>
        <v>-511676.98</v>
      </c>
      <c r="C23" s="28"/>
      <c r="D23" s="14"/>
      <c r="E23" s="141"/>
      <c r="F23" s="141"/>
      <c r="G23" s="55"/>
    </row>
    <row r="24" spans="1:13" s="11" customFormat="1" ht="16.5" customHeight="1" x14ac:dyDescent="0.25">
      <c r="A24" s="11" t="s">
        <v>2</v>
      </c>
      <c r="B24" s="25"/>
      <c r="C24" s="52" t="s">
        <v>626</v>
      </c>
      <c r="D24" s="177" t="s">
        <v>628</v>
      </c>
      <c r="E24" s="141"/>
      <c r="F24" s="141"/>
      <c r="G24" s="55"/>
    </row>
    <row r="25" spans="1:13" s="11" customFormat="1" ht="16.5" customHeight="1" x14ac:dyDescent="0.25">
      <c r="A25" s="11" t="s">
        <v>3461</v>
      </c>
      <c r="B25" s="119">
        <v>28475.3</v>
      </c>
      <c r="C25" s="13">
        <v>46052</v>
      </c>
      <c r="D25" s="86">
        <v>46055</v>
      </c>
      <c r="E25" s="141"/>
      <c r="F25" s="141"/>
      <c r="G25" s="55"/>
    </row>
    <row r="26" spans="1:13" s="11" customFormat="1" ht="16.5" customHeight="1" x14ac:dyDescent="0.25">
      <c r="A26" s="11" t="s">
        <v>3462</v>
      </c>
      <c r="B26" s="119">
        <v>28475.3</v>
      </c>
      <c r="C26" s="13">
        <v>46052</v>
      </c>
      <c r="D26" s="86">
        <v>46055</v>
      </c>
      <c r="E26" s="141"/>
      <c r="F26" s="141"/>
      <c r="G26" s="55"/>
    </row>
    <row r="27" spans="1:13" s="11" customFormat="1" ht="16.5" customHeight="1" x14ac:dyDescent="0.25">
      <c r="A27" s="11" t="s">
        <v>3463</v>
      </c>
      <c r="B27" s="119">
        <v>28475.3</v>
      </c>
      <c r="C27" s="13">
        <v>46052</v>
      </c>
      <c r="D27" s="86">
        <v>46056</v>
      </c>
      <c r="E27" s="141"/>
      <c r="F27" s="141"/>
      <c r="G27" s="55"/>
      <c r="L27" s="11" t="s">
        <v>1437</v>
      </c>
    </row>
    <row r="28" spans="1:13" s="11" customFormat="1" ht="16.5" customHeight="1" x14ac:dyDescent="0.25">
      <c r="A28" s="11" t="s">
        <v>3464</v>
      </c>
      <c r="B28" s="119">
        <v>28475.3</v>
      </c>
      <c r="C28" s="13">
        <v>46052</v>
      </c>
      <c r="D28" s="86">
        <v>46055</v>
      </c>
      <c r="E28" s="141"/>
      <c r="F28" s="141"/>
      <c r="G28" s="55"/>
      <c r="L28" s="11" t="s">
        <v>1438</v>
      </c>
    </row>
    <row r="29" spans="1:13" s="11" customFormat="1" ht="16.5" customHeight="1" x14ac:dyDescent="0.25">
      <c r="A29" s="11" t="s">
        <v>3465</v>
      </c>
      <c r="B29" s="119">
        <v>28475.3</v>
      </c>
      <c r="C29" s="13">
        <v>46052</v>
      </c>
      <c r="D29" s="86">
        <v>46055</v>
      </c>
      <c r="E29" s="141"/>
      <c r="F29" s="141"/>
      <c r="G29" s="55"/>
      <c r="L29" s="11" t="s">
        <v>1439</v>
      </c>
    </row>
    <row r="30" spans="1:13" s="11" customFormat="1" ht="16.5" customHeight="1" x14ac:dyDescent="0.25">
      <c r="A30" s="11" t="s">
        <v>3460</v>
      </c>
      <c r="B30" s="119">
        <v>37133</v>
      </c>
      <c r="C30" s="13" t="s">
        <v>3477</v>
      </c>
      <c r="D30" s="86" t="s">
        <v>3459</v>
      </c>
      <c r="E30" s="141"/>
      <c r="F30" s="141"/>
      <c r="G30" s="55"/>
      <c r="L30" s="11" t="s">
        <v>1440</v>
      </c>
    </row>
    <row r="31" spans="1:13" s="11" customFormat="1" ht="16.5" customHeight="1" x14ac:dyDescent="0.25">
      <c r="A31" s="11" t="s">
        <v>3466</v>
      </c>
      <c r="B31" s="119">
        <v>47256.45</v>
      </c>
      <c r="C31" s="13">
        <v>46048</v>
      </c>
      <c r="D31" s="86">
        <v>46055</v>
      </c>
      <c r="E31" s="141"/>
      <c r="F31" s="141"/>
      <c r="G31" s="55"/>
      <c r="L31" s="11" t="s">
        <v>1441</v>
      </c>
    </row>
    <row r="32" spans="1:13" s="11" customFormat="1" ht="16.5" customHeight="1" x14ac:dyDescent="0.25">
      <c r="A32" s="11" t="s">
        <v>3467</v>
      </c>
      <c r="B32" s="119">
        <v>52874.85</v>
      </c>
      <c r="C32" s="13">
        <v>46052</v>
      </c>
      <c r="D32" s="86">
        <v>46055</v>
      </c>
      <c r="E32" s="141"/>
      <c r="F32" s="141"/>
      <c r="G32" s="55"/>
      <c r="L32" s="11" t="s">
        <v>1442</v>
      </c>
    </row>
    <row r="33" spans="1:13" s="11" customFormat="1" ht="16.5" customHeight="1" x14ac:dyDescent="0.25">
      <c r="A33" s="11" t="s">
        <v>3468</v>
      </c>
      <c r="B33" s="119">
        <v>65107.35</v>
      </c>
      <c r="C33" s="13">
        <v>46052</v>
      </c>
      <c r="D33" s="86">
        <v>46055</v>
      </c>
      <c r="E33" s="141"/>
      <c r="F33" s="141"/>
      <c r="G33" s="55"/>
      <c r="L33" s="11" t="s">
        <v>1443</v>
      </c>
    </row>
    <row r="34" spans="1:13" s="11" customFormat="1" ht="16.5" customHeight="1" x14ac:dyDescent="0.25">
      <c r="A34" s="11" t="s">
        <v>3469</v>
      </c>
      <c r="B34" s="119">
        <v>65107.35</v>
      </c>
      <c r="C34" s="13">
        <v>46052</v>
      </c>
      <c r="D34" s="86">
        <v>46055</v>
      </c>
      <c r="E34" s="141"/>
      <c r="F34" s="141"/>
      <c r="G34" s="55"/>
      <c r="L34" s="11" t="s">
        <v>1444</v>
      </c>
    </row>
    <row r="35" spans="1:13" s="11" customFormat="1" ht="16.5" customHeight="1" x14ac:dyDescent="0.25">
      <c r="A35" s="11" t="s">
        <v>3470</v>
      </c>
      <c r="B35" s="119">
        <v>65107.35</v>
      </c>
      <c r="C35" s="13">
        <v>46052</v>
      </c>
      <c r="D35" s="86">
        <v>46055</v>
      </c>
      <c r="E35" s="141"/>
      <c r="F35" s="141"/>
      <c r="G35" s="55"/>
      <c r="L35" s="11" t="s">
        <v>1445</v>
      </c>
    </row>
    <row r="36" spans="1:13" s="11" customFormat="1" ht="16.5" customHeight="1" x14ac:dyDescent="0.25">
      <c r="A36" s="11" t="s">
        <v>3471</v>
      </c>
      <c r="B36" s="119">
        <v>65565.23</v>
      </c>
      <c r="C36" s="13">
        <v>46052</v>
      </c>
      <c r="D36" s="86">
        <v>46055</v>
      </c>
      <c r="E36" s="141"/>
      <c r="F36" s="141"/>
      <c r="G36" s="55"/>
      <c r="L36" s="11" t="s">
        <v>1446</v>
      </c>
    </row>
    <row r="37" spans="1:13" s="11" customFormat="1" ht="16.5" customHeight="1" x14ac:dyDescent="0.25">
      <c r="A37" s="11" t="s">
        <v>3472</v>
      </c>
      <c r="B37" s="119">
        <v>79231.149999999994</v>
      </c>
      <c r="C37" s="13">
        <v>46052</v>
      </c>
      <c r="D37" s="86">
        <v>46069</v>
      </c>
      <c r="E37" s="141"/>
      <c r="F37" s="141"/>
      <c r="G37" s="55"/>
      <c r="L37" s="11" t="s">
        <v>1447</v>
      </c>
    </row>
    <row r="38" spans="1:13" s="11" customFormat="1" ht="16.5" customHeight="1" x14ac:dyDescent="0.25">
      <c r="A38" s="11" t="s">
        <v>3473</v>
      </c>
      <c r="B38" s="119">
        <v>81734.600000000006</v>
      </c>
      <c r="C38" s="13">
        <v>46045</v>
      </c>
      <c r="D38" s="86">
        <v>46057</v>
      </c>
      <c r="E38" s="141"/>
      <c r="F38" s="141"/>
      <c r="G38" s="55"/>
      <c r="L38" s="11" t="s">
        <v>1448</v>
      </c>
    </row>
    <row r="39" spans="1:13" s="11" customFormat="1" ht="16.5" customHeight="1" x14ac:dyDescent="0.25">
      <c r="A39" s="11" t="s">
        <v>3474</v>
      </c>
      <c r="B39" s="119">
        <v>84617.15</v>
      </c>
      <c r="C39" s="13">
        <v>46052</v>
      </c>
      <c r="D39" s="86">
        <v>46055</v>
      </c>
      <c r="E39" s="141"/>
      <c r="F39" s="141"/>
      <c r="G39" s="55"/>
      <c r="L39" s="11" t="s">
        <v>1449</v>
      </c>
    </row>
    <row r="40" spans="1:13" s="11" customFormat="1" ht="16.5" customHeight="1" x14ac:dyDescent="0.25">
      <c r="A40" s="11" t="s">
        <v>3475</v>
      </c>
      <c r="B40" s="119">
        <v>97816.03</v>
      </c>
      <c r="C40" s="13">
        <v>46049</v>
      </c>
      <c r="D40" s="86">
        <v>46059</v>
      </c>
      <c r="E40" s="141"/>
      <c r="F40" s="141"/>
      <c r="G40" s="55"/>
      <c r="L40" s="11" t="s">
        <v>1450</v>
      </c>
    </row>
    <row r="41" spans="1:13" s="11" customFormat="1" ht="16.5" customHeight="1" x14ac:dyDescent="0.25">
      <c r="A41" s="11" t="s">
        <v>3476</v>
      </c>
      <c r="B41" s="119">
        <v>103672.28</v>
      </c>
      <c r="C41" s="13">
        <v>46048</v>
      </c>
      <c r="D41" s="86">
        <v>46057</v>
      </c>
      <c r="E41" s="141"/>
      <c r="F41" s="141"/>
      <c r="G41" s="55"/>
      <c r="L41" s="11" t="s">
        <v>1451</v>
      </c>
      <c r="M41" s="88"/>
    </row>
    <row r="42" spans="1:13" s="11" customFormat="1" ht="16.5" customHeight="1" x14ac:dyDescent="0.25">
      <c r="B42" s="119"/>
      <c r="C42" s="171"/>
      <c r="D42" s="182"/>
      <c r="E42" s="141"/>
      <c r="F42" s="141"/>
      <c r="G42" s="55"/>
      <c r="L42" s="11" t="s">
        <v>1452</v>
      </c>
    </row>
    <row r="43" spans="1:13" s="11" customFormat="1" ht="15.75" x14ac:dyDescent="0.25">
      <c r="B43" s="25">
        <f>SUM(B25:B42)</f>
        <v>987599.29</v>
      </c>
      <c r="C43" s="189"/>
      <c r="D43" s="189"/>
      <c r="E43" s="141"/>
      <c r="F43" s="141"/>
      <c r="G43" s="55"/>
      <c r="L43" s="11" t="s">
        <v>1453</v>
      </c>
    </row>
    <row r="44" spans="1:13" s="11" customFormat="1" ht="15.75" x14ac:dyDescent="0.25">
      <c r="A44" s="11" t="s">
        <v>1</v>
      </c>
      <c r="B44" s="17">
        <f>B43+B23</f>
        <v>475922.31000000006</v>
      </c>
      <c r="E44" s="141"/>
      <c r="F44" s="141"/>
      <c r="G44" s="55"/>
      <c r="L44" s="11" t="s">
        <v>1436</v>
      </c>
    </row>
    <row r="45" spans="1:13" s="11" customFormat="1" ht="15.75" x14ac:dyDescent="0.25">
      <c r="A45" s="11" t="s">
        <v>0</v>
      </c>
      <c r="B45" s="17">
        <f>B44-B7</f>
        <v>-2.3283064365386963E-9</v>
      </c>
      <c r="C45" s="189"/>
      <c r="D45" s="189"/>
      <c r="E45" s="141"/>
      <c r="F45" s="141"/>
      <c r="G45" s="55"/>
      <c r="L45" s="11" t="s">
        <v>1454</v>
      </c>
    </row>
    <row r="46" spans="1:13" s="11" customFormat="1" ht="15.75" x14ac:dyDescent="0.25">
      <c r="D46" s="14"/>
      <c r="E46" s="141"/>
      <c r="F46" s="141"/>
      <c r="G46" s="55"/>
      <c r="L46" s="11" t="s">
        <v>1455</v>
      </c>
    </row>
    <row r="47" spans="1:13" s="11" customFormat="1" ht="15.75" x14ac:dyDescent="0.25">
      <c r="D47" s="14"/>
      <c r="E47" s="141"/>
      <c r="F47" s="141"/>
      <c r="G47" s="55"/>
      <c r="L47" s="11" t="s">
        <v>1456</v>
      </c>
    </row>
    <row r="48" spans="1:13" s="11" customFormat="1" ht="15.75" x14ac:dyDescent="0.25">
      <c r="D48" s="14"/>
      <c r="E48" s="141"/>
      <c r="F48" s="141"/>
      <c r="G48" s="55"/>
      <c r="L48" s="11" t="s">
        <v>1457</v>
      </c>
    </row>
    <row r="49" spans="1:12" s="11" customFormat="1" ht="15.75" x14ac:dyDescent="0.25">
      <c r="D49" s="14"/>
      <c r="E49" s="141"/>
      <c r="F49" s="141"/>
      <c r="G49" s="55"/>
      <c r="L49" s="11" t="s">
        <v>2506</v>
      </c>
    </row>
    <row r="50" spans="1:12" s="11" customFormat="1" ht="15.75" x14ac:dyDescent="0.25">
      <c r="D50" s="14"/>
      <c r="E50" s="141"/>
      <c r="F50" s="141"/>
      <c r="G50" s="55"/>
      <c r="L50" s="11" t="s">
        <v>1458</v>
      </c>
    </row>
    <row r="51" spans="1:12" s="11" customFormat="1" ht="15.75" x14ac:dyDescent="0.25">
      <c r="D51" s="14"/>
      <c r="E51" s="141"/>
      <c r="F51" s="141"/>
      <c r="G51" s="55"/>
      <c r="L51" s="11" t="s">
        <v>3337</v>
      </c>
    </row>
    <row r="52" spans="1:12" s="11" customFormat="1" ht="15.75" x14ac:dyDescent="0.25">
      <c r="D52" s="14"/>
      <c r="E52" s="141"/>
      <c r="F52" s="141"/>
      <c r="G52" s="55"/>
      <c r="L52" s="11" t="s">
        <v>1368</v>
      </c>
    </row>
    <row r="53" spans="1:12" s="11" customFormat="1" ht="15.75" x14ac:dyDescent="0.25">
      <c r="D53" s="14"/>
      <c r="E53" s="141"/>
      <c r="F53" s="141"/>
      <c r="G53" s="55"/>
      <c r="L53" s="11" t="s">
        <v>1459</v>
      </c>
    </row>
    <row r="54" spans="1:12" s="11" customFormat="1" ht="15.75" x14ac:dyDescent="0.25">
      <c r="D54" s="14"/>
      <c r="E54" s="141"/>
      <c r="F54" s="141"/>
      <c r="G54" s="55"/>
      <c r="L54" s="11" t="s">
        <v>1369</v>
      </c>
    </row>
    <row r="55" spans="1:12" s="11" customFormat="1" ht="15.75" x14ac:dyDescent="0.25">
      <c r="D55" s="14"/>
      <c r="E55" s="141"/>
      <c r="F55" s="141"/>
      <c r="G55" s="55"/>
      <c r="L55" s="11" t="s">
        <v>1460</v>
      </c>
    </row>
    <row r="56" spans="1:12" s="11" customFormat="1" ht="15.75" x14ac:dyDescent="0.25">
      <c r="D56" s="14"/>
      <c r="E56" s="141"/>
      <c r="F56" s="141"/>
      <c r="G56" s="55"/>
    </row>
    <row r="57" spans="1:12" s="11" customFormat="1" ht="15.95" customHeight="1" x14ac:dyDescent="0.25">
      <c r="D57" s="14"/>
      <c r="E57" s="141"/>
      <c r="F57" s="141"/>
    </row>
    <row r="58" spans="1:12" s="11" customFormat="1" ht="15.95" customHeight="1" x14ac:dyDescent="0.25">
      <c r="D58" s="14"/>
      <c r="E58" s="141"/>
      <c r="F58" s="141"/>
    </row>
    <row r="59" spans="1:12" s="11" customFormat="1" ht="15.95" customHeight="1" x14ac:dyDescent="0.25">
      <c r="D59" s="14"/>
      <c r="E59" s="141"/>
      <c r="F59" s="141"/>
    </row>
    <row r="60" spans="1:12" s="11" customFormat="1" ht="15.95" customHeight="1" x14ac:dyDescent="0.25">
      <c r="D60" s="14"/>
      <c r="E60" s="141"/>
      <c r="F60" s="141"/>
    </row>
    <row r="61" spans="1:12" s="11" customFormat="1" ht="15.95" customHeight="1" x14ac:dyDescent="0.25">
      <c r="D61" s="14"/>
      <c r="E61" s="141"/>
      <c r="F61" s="141"/>
    </row>
    <row r="62" spans="1:12" s="11" customFormat="1" ht="15.95" customHeight="1" x14ac:dyDescent="0.25">
      <c r="B62" s="17"/>
      <c r="D62" s="14"/>
      <c r="E62" s="141"/>
      <c r="F62" s="141"/>
    </row>
    <row r="63" spans="1:12" s="11" customFormat="1" ht="15.95" customHeight="1" x14ac:dyDescent="0.25">
      <c r="A63" s="39"/>
      <c r="B63" s="93"/>
      <c r="C63" s="18"/>
      <c r="D63" s="37"/>
      <c r="E63" s="141"/>
      <c r="F63" s="141"/>
    </row>
    <row r="64" spans="1:12" s="11" customFormat="1" ht="15.95" customHeight="1" x14ac:dyDescent="0.3">
      <c r="A64" s="1"/>
      <c r="B64" s="10"/>
      <c r="C64" s="13"/>
      <c r="D64" s="84"/>
      <c r="E64" s="141"/>
      <c r="F64" s="141"/>
    </row>
    <row r="65" spans="1:9" s="11" customFormat="1" ht="15.95" customHeight="1" x14ac:dyDescent="0.3">
      <c r="A65" s="1"/>
      <c r="B65" s="10"/>
      <c r="C65" s="13"/>
      <c r="D65" s="84"/>
      <c r="E65" s="141"/>
      <c r="F65" s="141"/>
    </row>
    <row r="66" spans="1:9" s="11" customFormat="1" ht="15.95" customHeight="1" x14ac:dyDescent="0.3">
      <c r="A66" s="1"/>
      <c r="B66" s="10"/>
      <c r="C66" s="13"/>
      <c r="D66" s="84"/>
      <c r="E66" s="141"/>
      <c r="F66" s="141"/>
    </row>
    <row r="67" spans="1:9" s="11" customFormat="1" ht="15.95" customHeight="1" x14ac:dyDescent="0.25">
      <c r="D67" s="14"/>
      <c r="E67" s="141"/>
      <c r="F67" s="141"/>
    </row>
    <row r="68" spans="1:9" s="11" customFormat="1" ht="15.95" customHeight="1" x14ac:dyDescent="0.25">
      <c r="D68" s="14"/>
      <c r="E68" s="141"/>
      <c r="F68" s="141"/>
    </row>
    <row r="69" spans="1:9" s="11" customFormat="1" ht="15.95" customHeight="1" x14ac:dyDescent="0.25">
      <c r="D69" s="14"/>
      <c r="E69" s="141"/>
      <c r="F69" s="141"/>
    </row>
    <row r="70" spans="1:9" s="11" customFormat="1" ht="15.95" customHeight="1" x14ac:dyDescent="0.25">
      <c r="D70" s="14"/>
      <c r="E70" s="141"/>
      <c r="F70" s="141"/>
    </row>
    <row r="71" spans="1:9" s="11" customFormat="1" ht="15.95" customHeight="1" x14ac:dyDescent="0.25">
      <c r="D71" s="14"/>
      <c r="E71" s="141"/>
      <c r="F71" s="141"/>
    </row>
    <row r="72" spans="1:9" s="11" customFormat="1" ht="15.95" customHeight="1" x14ac:dyDescent="0.25">
      <c r="D72" s="14"/>
      <c r="E72" s="141"/>
      <c r="F72" s="141"/>
      <c r="H72" s="88"/>
    </row>
    <row r="73" spans="1:9" s="11" customFormat="1" ht="15.95" customHeight="1" x14ac:dyDescent="0.25">
      <c r="D73" s="14"/>
      <c r="E73" s="141"/>
      <c r="F73" s="141"/>
      <c r="H73" s="88"/>
    </row>
    <row r="74" spans="1:9" s="11" customFormat="1" ht="15.95" customHeight="1" x14ac:dyDescent="0.25">
      <c r="D74" s="14"/>
      <c r="E74" s="141"/>
      <c r="F74" s="141"/>
      <c r="G74" s="126"/>
      <c r="H74" s="88"/>
    </row>
    <row r="75" spans="1:9" s="11" customFormat="1" ht="15.95" customHeight="1" x14ac:dyDescent="0.25">
      <c r="D75" s="14"/>
      <c r="E75" s="141"/>
      <c r="F75" s="141"/>
      <c r="H75" s="88"/>
    </row>
    <row r="76" spans="1:9" s="11" customFormat="1" ht="20.100000000000001" customHeight="1" x14ac:dyDescent="0.25">
      <c r="D76" s="14"/>
      <c r="E76" s="141"/>
      <c r="F76" s="141"/>
      <c r="H76" s="88"/>
    </row>
    <row r="77" spans="1:9" s="11" customFormat="1" ht="20.100000000000001" customHeight="1" x14ac:dyDescent="0.25">
      <c r="D77" s="14"/>
      <c r="E77" s="141"/>
      <c r="F77" s="141"/>
      <c r="H77" s="88"/>
    </row>
    <row r="78" spans="1:9" s="11" customFormat="1" ht="20.100000000000001" customHeight="1" x14ac:dyDescent="0.25">
      <c r="D78" s="14"/>
      <c r="E78" s="141"/>
      <c r="F78" s="141"/>
      <c r="G78" s="126"/>
      <c r="H78" s="88"/>
    </row>
    <row r="79" spans="1:9" s="11" customFormat="1" ht="20.100000000000001" customHeight="1" x14ac:dyDescent="0.25">
      <c r="D79" s="14"/>
      <c r="E79" s="141"/>
      <c r="F79" s="141"/>
      <c r="H79" s="88"/>
    </row>
    <row r="80" spans="1:9" s="13" customFormat="1" ht="20.100000000000001" customHeight="1" x14ac:dyDescent="0.3">
      <c r="A80" s="1"/>
      <c r="B80" s="10"/>
      <c r="D80" s="84"/>
      <c r="E80" s="141"/>
      <c r="F80" s="141"/>
      <c r="H80" s="88"/>
      <c r="I80" s="11"/>
    </row>
    <row r="81" spans="1:19" s="13" customFormat="1" ht="20.100000000000001" customHeight="1" x14ac:dyDescent="0.3">
      <c r="A81" s="1"/>
      <c r="B81" s="10"/>
      <c r="D81" s="84"/>
      <c r="E81" s="141"/>
      <c r="F81" s="141"/>
      <c r="H81" s="88"/>
      <c r="I81" s="11"/>
    </row>
    <row r="82" spans="1:19" s="13" customFormat="1" ht="20.100000000000001" customHeight="1" x14ac:dyDescent="0.3">
      <c r="A82" s="1"/>
      <c r="B82" s="10"/>
      <c r="D82" s="84"/>
      <c r="E82" s="141"/>
      <c r="F82" s="141"/>
      <c r="H82" s="88"/>
      <c r="I82" s="11"/>
    </row>
    <row r="83" spans="1:19" s="90" customFormat="1" ht="20.100000000000001" customHeight="1" x14ac:dyDescent="0.3">
      <c r="A83" s="1"/>
      <c r="B83" s="10"/>
      <c r="C83" s="13"/>
      <c r="D83" s="178"/>
      <c r="E83" s="141"/>
      <c r="F83" s="141"/>
      <c r="G83" s="1"/>
      <c r="I83" s="1"/>
      <c r="J83" s="1"/>
      <c r="K83" s="1"/>
      <c r="M83" s="1"/>
      <c r="N83" s="1"/>
      <c r="O83" s="1"/>
      <c r="P83" s="1"/>
      <c r="Q83" s="1"/>
      <c r="R83" s="1"/>
      <c r="S83" s="1"/>
    </row>
    <row r="84" spans="1:19" s="90" customFormat="1" ht="20.100000000000001" customHeight="1" x14ac:dyDescent="0.3">
      <c r="A84" s="1"/>
      <c r="B84" s="10"/>
      <c r="C84" s="13"/>
      <c r="D84" s="178"/>
      <c r="E84" s="141"/>
      <c r="F84" s="141"/>
      <c r="G84" s="1"/>
      <c r="I84" s="1"/>
      <c r="J84" s="1"/>
      <c r="K84" s="1"/>
      <c r="M84" s="1"/>
      <c r="N84" s="1"/>
      <c r="O84" s="1"/>
      <c r="P84" s="1"/>
      <c r="Q84" s="1"/>
      <c r="R84" s="1"/>
      <c r="S84" s="1"/>
    </row>
    <row r="85" spans="1:19" s="90" customFormat="1" ht="20.100000000000001" customHeight="1" x14ac:dyDescent="0.3">
      <c r="A85" s="1"/>
      <c r="B85" s="10"/>
      <c r="C85" s="13"/>
      <c r="D85" s="178"/>
      <c r="E85" s="141"/>
      <c r="F85" s="141"/>
      <c r="G85" s="1"/>
      <c r="I85" s="1"/>
      <c r="J85" s="1"/>
      <c r="K85" s="1"/>
      <c r="L85" s="11"/>
      <c r="M85" s="1"/>
      <c r="N85" s="1"/>
      <c r="O85" s="1"/>
      <c r="P85" s="1"/>
      <c r="Q85" s="1"/>
      <c r="R85" s="1"/>
      <c r="S85" s="1"/>
    </row>
    <row r="86" spans="1:19" s="90" customFormat="1" ht="20.100000000000001" customHeight="1" x14ac:dyDescent="0.3">
      <c r="A86" s="1"/>
      <c r="B86" s="10"/>
      <c r="C86" s="13"/>
      <c r="D86" s="178"/>
      <c r="E86" s="141"/>
      <c r="F86" s="141"/>
      <c r="G86" s="11"/>
      <c r="I86" s="1"/>
      <c r="J86" s="1"/>
      <c r="K86" s="1"/>
      <c r="L86" s="11"/>
      <c r="M86" s="1"/>
      <c r="N86" s="1"/>
      <c r="O86" s="1"/>
      <c r="P86" s="1"/>
      <c r="Q86" s="1"/>
      <c r="R86" s="1"/>
      <c r="S86" s="1"/>
    </row>
    <row r="87" spans="1:19" x14ac:dyDescent="0.3">
      <c r="L87" s="11"/>
    </row>
    <row r="88" spans="1:19" x14ac:dyDescent="0.3">
      <c r="L88" s="11"/>
    </row>
    <row r="89" spans="1:19" x14ac:dyDescent="0.3">
      <c r="L89" s="11"/>
    </row>
    <row r="90" spans="1:19" x14ac:dyDescent="0.3">
      <c r="L90" s="11"/>
    </row>
    <row r="91" spans="1:19" x14ac:dyDescent="0.3">
      <c r="L91" s="11"/>
    </row>
    <row r="92" spans="1:19" x14ac:dyDescent="0.3">
      <c r="L92" s="11"/>
    </row>
    <row r="93" spans="1:19" x14ac:dyDescent="0.3">
      <c r="L93" s="11"/>
    </row>
    <row r="94" spans="1:19" x14ac:dyDescent="0.3">
      <c r="L94" s="11"/>
    </row>
  </sheetData>
  <mergeCells count="2">
    <mergeCell ref="C43:D43"/>
    <mergeCell ref="C45:D45"/>
  </mergeCells>
  <pageMargins left="0.7" right="0.7" top="0.75" bottom="0.75" header="0.3" footer="0.3"/>
  <pageSetup scale="80"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947E2-2DB1-4EA4-A311-69A854CB77E4}">
  <sheetPr>
    <pageSetUpPr fitToPage="1"/>
  </sheetPr>
  <dimension ref="A1:S132"/>
  <sheetViews>
    <sheetView topLeftCell="A43" zoomScale="85" zoomScaleNormal="85" workbookViewId="0">
      <selection activeCell="D78" sqref="D78"/>
    </sheetView>
  </sheetViews>
  <sheetFormatPr defaultRowHeight="18.75" x14ac:dyDescent="0.3"/>
  <cols>
    <col min="1" max="1" width="20.7109375" style="1" customWidth="1"/>
    <col min="2" max="2" width="16.85546875" style="10" customWidth="1"/>
    <col min="3" max="3" width="24.5703125" style="13" customWidth="1"/>
    <col min="4" max="4" width="32.5703125" style="178" bestFit="1" customWidth="1"/>
    <col min="5" max="5" width="9.7109375" style="141" customWidth="1"/>
    <col min="6" max="6" width="16.5703125" style="141" customWidth="1"/>
    <col min="7" max="7" width="35" style="1" bestFit="1" customWidth="1"/>
    <col min="8" max="8" width="5.5703125" style="90" bestFit="1" customWidth="1"/>
    <col min="9" max="11" width="9.140625" style="1"/>
    <col min="12" max="12" width="57.5703125" style="1" bestFit="1" customWidth="1"/>
    <col min="13" max="16384" width="9.140625" style="1"/>
  </cols>
  <sheetData>
    <row r="1" spans="1:19" s="11" customFormat="1" ht="20.100000000000001" customHeight="1" x14ac:dyDescent="0.25">
      <c r="A1" s="11" t="s">
        <v>1203</v>
      </c>
      <c r="B1" s="17"/>
      <c r="C1" s="13"/>
      <c r="D1" s="84"/>
      <c r="E1" s="141"/>
      <c r="H1" s="88"/>
    </row>
    <row r="2" spans="1:19" s="11" customFormat="1" ht="20.100000000000001" customHeight="1" x14ac:dyDescent="0.25">
      <c r="A2" s="14">
        <v>46081</v>
      </c>
      <c r="B2" s="17"/>
      <c r="C2" s="13"/>
      <c r="D2" s="84"/>
      <c r="E2" s="141"/>
      <c r="H2" s="88"/>
    </row>
    <row r="3" spans="1:19" s="11" customFormat="1" ht="20.100000000000001" customHeight="1" x14ac:dyDescent="0.25">
      <c r="A3" s="11" t="s">
        <v>311</v>
      </c>
      <c r="B3" s="17">
        <v>34498941.539999999</v>
      </c>
      <c r="C3" s="13"/>
      <c r="D3" s="84"/>
      <c r="E3" s="141"/>
      <c r="H3" s="88"/>
      <c r="M3" s="89"/>
    </row>
    <row r="4" spans="1:19" s="11" customFormat="1" ht="20.100000000000001" customHeight="1" x14ac:dyDescent="0.25">
      <c r="A4" s="11" t="s">
        <v>6</v>
      </c>
      <c r="B4" s="17"/>
      <c r="C4" s="13"/>
      <c r="D4" s="84"/>
      <c r="E4" s="141"/>
      <c r="H4" s="88"/>
      <c r="M4" s="89"/>
    </row>
    <row r="5" spans="1:19" s="11" customFormat="1" ht="20.100000000000001" customHeight="1" x14ac:dyDescent="0.25">
      <c r="A5" s="11">
        <v>2100</v>
      </c>
      <c r="B5" s="17">
        <v>-32751773.489999998</v>
      </c>
      <c r="C5" s="13"/>
      <c r="D5" s="84"/>
      <c r="E5" s="141"/>
      <c r="H5" s="88"/>
      <c r="M5" s="89"/>
    </row>
    <row r="6" spans="1:19" s="11" customFormat="1" ht="20.100000000000001" customHeight="1" x14ac:dyDescent="0.25">
      <c r="A6" s="11" t="s">
        <v>5</v>
      </c>
      <c r="B6" s="17">
        <f>SUM(B5)</f>
        <v>-32751773.489999998</v>
      </c>
      <c r="C6" s="13"/>
      <c r="D6" s="84"/>
      <c r="E6" s="141"/>
      <c r="H6" s="88"/>
      <c r="M6" s="89"/>
      <c r="O6" s="62"/>
      <c r="P6" s="62"/>
      <c r="Q6" s="62"/>
      <c r="R6" s="62"/>
      <c r="S6" s="62"/>
    </row>
    <row r="7" spans="1:19" s="11" customFormat="1" ht="20.100000000000001" customHeight="1" x14ac:dyDescent="0.25">
      <c r="A7" s="11" t="s">
        <v>4</v>
      </c>
      <c r="B7" s="17">
        <f>B6+B3</f>
        <v>1747168.0500000007</v>
      </c>
      <c r="C7" s="13"/>
      <c r="D7" s="84"/>
      <c r="E7" s="141"/>
      <c r="H7" s="88"/>
      <c r="M7" s="88"/>
    </row>
    <row r="8" spans="1:19" s="11" customFormat="1" ht="15.95" customHeight="1" x14ac:dyDescent="0.25">
      <c r="A8" s="11" t="s">
        <v>3</v>
      </c>
      <c r="B8" s="17"/>
      <c r="C8" s="44" t="s">
        <v>628</v>
      </c>
      <c r="D8" s="175" t="s">
        <v>626</v>
      </c>
      <c r="E8" s="141"/>
      <c r="H8" s="88"/>
      <c r="M8" s="88"/>
    </row>
    <row r="9" spans="1:19" s="11" customFormat="1" ht="15.75" x14ac:dyDescent="0.25">
      <c r="A9" s="160" t="s">
        <v>3478</v>
      </c>
      <c r="B9" s="186">
        <v>-30516</v>
      </c>
      <c r="C9" s="164">
        <v>46081</v>
      </c>
      <c r="D9" s="176">
        <v>46084</v>
      </c>
      <c r="E9" s="160"/>
      <c r="F9" s="141"/>
      <c r="G9" s="55"/>
      <c r="M9" s="88"/>
    </row>
    <row r="10" spans="1:19" s="11" customFormat="1" ht="15.75" x14ac:dyDescent="0.25">
      <c r="A10" s="160" t="s">
        <v>3479</v>
      </c>
      <c r="B10" s="186">
        <v>-35526</v>
      </c>
      <c r="C10" s="164">
        <v>46081</v>
      </c>
      <c r="D10" s="176">
        <v>46084</v>
      </c>
      <c r="E10" s="160"/>
      <c r="F10" s="141"/>
      <c r="G10" s="55"/>
      <c r="M10" s="88"/>
    </row>
    <row r="11" spans="1:19" s="11" customFormat="1" ht="15.75" x14ac:dyDescent="0.25">
      <c r="A11" s="160" t="s">
        <v>3480</v>
      </c>
      <c r="B11" s="186">
        <v>-37418</v>
      </c>
      <c r="C11" s="164">
        <v>46081</v>
      </c>
      <c r="D11" s="176">
        <v>46084</v>
      </c>
      <c r="E11" s="160"/>
      <c r="F11" s="141"/>
      <c r="G11" s="55"/>
      <c r="M11" s="88"/>
    </row>
    <row r="12" spans="1:19" s="11" customFormat="1" ht="15.75" x14ac:dyDescent="0.25">
      <c r="A12" s="160" t="s">
        <v>3481</v>
      </c>
      <c r="B12" s="186">
        <v>-40724</v>
      </c>
      <c r="C12" s="164">
        <v>46081</v>
      </c>
      <c r="D12" s="176">
        <v>46084</v>
      </c>
      <c r="E12" s="160"/>
      <c r="F12" s="141"/>
      <c r="G12" s="55"/>
      <c r="M12" s="88"/>
    </row>
    <row r="13" spans="1:19" s="11" customFormat="1" ht="15.75" x14ac:dyDescent="0.25">
      <c r="A13" s="160" t="s">
        <v>3482</v>
      </c>
      <c r="B13" s="186">
        <v>-40724</v>
      </c>
      <c r="C13" s="164">
        <v>46081</v>
      </c>
      <c r="D13" s="176">
        <v>46084</v>
      </c>
      <c r="E13" s="160"/>
      <c r="F13" s="141"/>
      <c r="G13" s="55"/>
      <c r="M13" s="88"/>
    </row>
    <row r="14" spans="1:19" s="11" customFormat="1" ht="15.75" x14ac:dyDescent="0.25">
      <c r="A14" s="160" t="s">
        <v>3483</v>
      </c>
      <c r="B14" s="186">
        <v>-40724</v>
      </c>
      <c r="C14" s="164">
        <v>46081</v>
      </c>
      <c r="D14" s="176">
        <v>46084</v>
      </c>
      <c r="E14" s="160"/>
      <c r="F14" s="141"/>
      <c r="G14" s="55"/>
      <c r="M14" s="88"/>
    </row>
    <row r="15" spans="1:19" s="11" customFormat="1" ht="15.75" x14ac:dyDescent="0.25">
      <c r="A15" s="160" t="s">
        <v>3484</v>
      </c>
      <c r="B15" s="186">
        <v>-44518</v>
      </c>
      <c r="C15" s="164">
        <v>46081</v>
      </c>
      <c r="D15" s="176">
        <v>46084</v>
      </c>
      <c r="E15" s="160"/>
      <c r="F15" s="141"/>
      <c r="G15" s="55"/>
      <c r="M15" s="88"/>
    </row>
    <row r="16" spans="1:19" s="11" customFormat="1" ht="15.75" x14ac:dyDescent="0.25">
      <c r="A16" s="160" t="s">
        <v>3485</v>
      </c>
      <c r="B16" s="186">
        <v>-45415.25</v>
      </c>
      <c r="C16" s="164">
        <v>46059</v>
      </c>
      <c r="D16" s="176">
        <v>46091</v>
      </c>
      <c r="E16" s="160"/>
      <c r="F16" s="141"/>
      <c r="G16" s="55"/>
      <c r="M16" s="88"/>
    </row>
    <row r="17" spans="1:13" s="11" customFormat="1" ht="15.75" x14ac:dyDescent="0.25">
      <c r="A17" s="160" t="s">
        <v>3486</v>
      </c>
      <c r="B17" s="186">
        <v>-45415.25</v>
      </c>
      <c r="C17" s="164">
        <v>46059</v>
      </c>
      <c r="D17" s="176">
        <v>46091</v>
      </c>
      <c r="E17" s="160"/>
      <c r="F17" s="141"/>
      <c r="G17" s="55"/>
      <c r="M17" s="88"/>
    </row>
    <row r="18" spans="1:13" s="11" customFormat="1" ht="15.75" x14ac:dyDescent="0.25">
      <c r="A18" s="160" t="s">
        <v>3487</v>
      </c>
      <c r="B18" s="186">
        <v>-45873.13</v>
      </c>
      <c r="C18" s="164">
        <v>46059</v>
      </c>
      <c r="D18" s="176">
        <v>46091</v>
      </c>
      <c r="E18" s="160"/>
      <c r="F18" s="141"/>
      <c r="G18" s="55"/>
      <c r="M18" s="88"/>
    </row>
    <row r="19" spans="1:13" s="11" customFormat="1" ht="15.75" x14ac:dyDescent="0.25">
      <c r="A19" s="160" t="s">
        <v>3488</v>
      </c>
      <c r="B19" s="186">
        <v>-45873.13</v>
      </c>
      <c r="C19" s="164">
        <v>46059</v>
      </c>
      <c r="D19" s="176">
        <v>46091</v>
      </c>
      <c r="E19" s="160"/>
      <c r="F19" s="141"/>
      <c r="G19" s="55"/>
      <c r="M19" s="88"/>
    </row>
    <row r="20" spans="1:13" s="11" customFormat="1" ht="15.75" x14ac:dyDescent="0.25">
      <c r="A20" s="160" t="s">
        <v>3489</v>
      </c>
      <c r="B20" s="186">
        <v>-45873.13</v>
      </c>
      <c r="C20" s="164">
        <v>46063</v>
      </c>
      <c r="D20" s="176">
        <v>46084</v>
      </c>
      <c r="E20" s="160"/>
      <c r="F20" s="141"/>
      <c r="G20" s="55"/>
      <c r="M20" s="88"/>
    </row>
    <row r="21" spans="1:13" s="11" customFormat="1" ht="15.75" x14ac:dyDescent="0.25">
      <c r="A21" s="160" t="s">
        <v>3490</v>
      </c>
      <c r="B21" s="186">
        <v>-46660</v>
      </c>
      <c r="C21" s="164">
        <v>46081</v>
      </c>
      <c r="D21" s="176">
        <v>46084</v>
      </c>
      <c r="E21" s="160"/>
      <c r="F21" s="141"/>
      <c r="G21" s="55"/>
      <c r="M21" s="88"/>
    </row>
    <row r="22" spans="1:13" s="11" customFormat="1" ht="15.75" x14ac:dyDescent="0.25">
      <c r="A22" s="160" t="s">
        <v>3491</v>
      </c>
      <c r="B22" s="186">
        <v>-51143.3</v>
      </c>
      <c r="C22" s="164">
        <v>46059</v>
      </c>
      <c r="D22" s="176">
        <v>46090</v>
      </c>
      <c r="E22" s="160"/>
      <c r="F22" s="141"/>
      <c r="G22" s="55"/>
      <c r="M22" s="88"/>
    </row>
    <row r="23" spans="1:13" s="11" customFormat="1" ht="15.75" x14ac:dyDescent="0.25">
      <c r="A23" s="160" t="s">
        <v>3492</v>
      </c>
      <c r="B23" s="186">
        <v>-51698.3</v>
      </c>
      <c r="C23" s="164">
        <v>46062</v>
      </c>
      <c r="D23" s="176">
        <v>46086</v>
      </c>
      <c r="E23" s="160"/>
      <c r="F23" s="141"/>
      <c r="G23" s="55"/>
      <c r="M23" s="88"/>
    </row>
    <row r="24" spans="1:13" s="11" customFormat="1" ht="15.75" x14ac:dyDescent="0.25">
      <c r="A24" s="160"/>
      <c r="B24" s="186"/>
      <c r="C24" s="164"/>
      <c r="D24" s="176"/>
      <c r="E24" s="160"/>
      <c r="F24" s="141"/>
      <c r="G24" s="55"/>
      <c r="M24" s="88"/>
    </row>
    <row r="25" spans="1:13" s="11" customFormat="1" ht="15.75" x14ac:dyDescent="0.25">
      <c r="B25" s="25">
        <f>SUM(B9:B24)</f>
        <v>-648101.49000000011</v>
      </c>
      <c r="C25" s="28"/>
      <c r="D25" s="14"/>
      <c r="E25" s="141"/>
      <c r="F25" s="141"/>
      <c r="G25" s="55"/>
    </row>
    <row r="26" spans="1:13" s="11" customFormat="1" ht="16.5" customHeight="1" x14ac:dyDescent="0.25">
      <c r="A26" s="11" t="s">
        <v>2</v>
      </c>
      <c r="B26" s="25"/>
      <c r="C26" s="52" t="s">
        <v>626</v>
      </c>
      <c r="D26" s="177" t="s">
        <v>628</v>
      </c>
      <c r="E26" s="141"/>
      <c r="F26" s="141"/>
      <c r="G26" s="55"/>
    </row>
    <row r="27" spans="1:13" s="11" customFormat="1" ht="16.5" customHeight="1" x14ac:dyDescent="0.25">
      <c r="A27" s="11" t="s">
        <v>3500</v>
      </c>
      <c r="B27" s="119">
        <v>28017.43</v>
      </c>
      <c r="C27" s="13">
        <v>46080</v>
      </c>
      <c r="D27" s="86">
        <v>46090</v>
      </c>
      <c r="E27" s="141"/>
      <c r="F27" s="141"/>
      <c r="G27" s="55"/>
    </row>
    <row r="28" spans="1:13" s="11" customFormat="1" ht="16.5" customHeight="1" x14ac:dyDescent="0.25">
      <c r="A28" s="11" t="s">
        <v>3501</v>
      </c>
      <c r="B28" s="119">
        <v>28475.3</v>
      </c>
      <c r="C28" s="13">
        <v>46080</v>
      </c>
      <c r="D28" s="86">
        <v>46090</v>
      </c>
      <c r="E28" s="141"/>
      <c r="F28" s="141"/>
      <c r="G28" s="55"/>
    </row>
    <row r="29" spans="1:13" s="11" customFormat="1" ht="16.5" customHeight="1" x14ac:dyDescent="0.25">
      <c r="A29" s="11" t="s">
        <v>3502</v>
      </c>
      <c r="B29" s="119">
        <v>28475.3</v>
      </c>
      <c r="C29" s="13">
        <v>46080</v>
      </c>
      <c r="D29" s="86">
        <v>46091</v>
      </c>
      <c r="E29" s="141"/>
      <c r="F29" s="141"/>
      <c r="G29" s="55"/>
    </row>
    <row r="30" spans="1:13" s="11" customFormat="1" ht="16.5" customHeight="1" x14ac:dyDescent="0.25">
      <c r="A30" s="11" t="s">
        <v>3503</v>
      </c>
      <c r="B30" s="119">
        <v>28843.05</v>
      </c>
      <c r="C30" s="13">
        <v>46073</v>
      </c>
      <c r="D30" s="86">
        <v>46085</v>
      </c>
      <c r="E30" s="141"/>
      <c r="F30" s="141"/>
      <c r="G30" s="55"/>
    </row>
    <row r="31" spans="1:13" s="11" customFormat="1" ht="16.5" customHeight="1" x14ac:dyDescent="0.25">
      <c r="A31" s="11" t="s">
        <v>3504</v>
      </c>
      <c r="B31" s="119">
        <v>28843.05</v>
      </c>
      <c r="C31" s="13">
        <v>46076</v>
      </c>
      <c r="D31" s="86">
        <v>46090</v>
      </c>
      <c r="E31" s="141"/>
      <c r="F31" s="141"/>
      <c r="G31" s="55"/>
    </row>
    <row r="32" spans="1:13" s="11" customFormat="1" ht="16.5" customHeight="1" x14ac:dyDescent="0.25">
      <c r="A32" s="11" t="s">
        <v>3505</v>
      </c>
      <c r="B32" s="119">
        <v>28843.05</v>
      </c>
      <c r="C32" s="13">
        <v>46076</v>
      </c>
      <c r="D32" s="86">
        <v>46085</v>
      </c>
      <c r="E32" s="141"/>
      <c r="F32" s="141"/>
      <c r="G32" s="55"/>
      <c r="L32" s="11" t="s">
        <v>1437</v>
      </c>
    </row>
    <row r="33" spans="1:12" s="11" customFormat="1" ht="16.5" customHeight="1" x14ac:dyDescent="0.25">
      <c r="A33" s="11" t="s">
        <v>3506</v>
      </c>
      <c r="B33" s="119">
        <v>28843.05</v>
      </c>
      <c r="C33" s="13">
        <v>46080</v>
      </c>
      <c r="D33" s="86">
        <v>46091</v>
      </c>
      <c r="E33" s="141"/>
      <c r="F33" s="141"/>
      <c r="G33" s="55"/>
      <c r="L33" s="11" t="s">
        <v>1438</v>
      </c>
    </row>
    <row r="34" spans="1:12" s="11" customFormat="1" ht="16.5" customHeight="1" x14ac:dyDescent="0.25">
      <c r="A34" s="11" t="s">
        <v>3507</v>
      </c>
      <c r="B34" s="119">
        <v>29208.43</v>
      </c>
      <c r="C34" s="13">
        <v>46080</v>
      </c>
      <c r="D34" s="86">
        <v>46085</v>
      </c>
      <c r="E34" s="141"/>
      <c r="F34" s="141"/>
      <c r="G34" s="55"/>
      <c r="L34" s="11" t="s">
        <v>1439</v>
      </c>
    </row>
    <row r="35" spans="1:12" s="11" customFormat="1" ht="16.5" customHeight="1" x14ac:dyDescent="0.25">
      <c r="A35" s="11" t="s">
        <v>3508</v>
      </c>
      <c r="B35" s="119">
        <v>29208.43</v>
      </c>
      <c r="C35" s="13">
        <v>46003</v>
      </c>
      <c r="D35" s="86">
        <v>46090</v>
      </c>
      <c r="E35" s="141"/>
      <c r="F35" s="141"/>
      <c r="G35" s="55"/>
      <c r="L35" s="11" t="s">
        <v>1440</v>
      </c>
    </row>
    <row r="36" spans="1:12" s="11" customFormat="1" ht="16.5" customHeight="1" x14ac:dyDescent="0.25">
      <c r="A36" s="11" t="s">
        <v>3509</v>
      </c>
      <c r="B36" s="119">
        <v>29300.93</v>
      </c>
      <c r="C36" s="13">
        <v>46073</v>
      </c>
      <c r="D36" s="86">
        <v>46090</v>
      </c>
      <c r="E36" s="141"/>
      <c r="F36" s="141"/>
      <c r="G36" s="55"/>
      <c r="L36" s="11" t="s">
        <v>1441</v>
      </c>
    </row>
    <row r="37" spans="1:12" s="11" customFormat="1" ht="16.5" customHeight="1" x14ac:dyDescent="0.25">
      <c r="A37" s="11" t="s">
        <v>3510</v>
      </c>
      <c r="B37" s="119">
        <v>29300.93</v>
      </c>
      <c r="C37" s="13">
        <v>46076</v>
      </c>
      <c r="D37" s="86">
        <v>46085</v>
      </c>
      <c r="E37" s="141"/>
      <c r="F37" s="141"/>
      <c r="G37" s="55"/>
      <c r="L37" s="11" t="s">
        <v>1442</v>
      </c>
    </row>
    <row r="38" spans="1:12" s="11" customFormat="1" ht="16.5" customHeight="1" x14ac:dyDescent="0.25">
      <c r="A38" s="11" t="s">
        <v>3511</v>
      </c>
      <c r="B38" s="119">
        <v>29300.93</v>
      </c>
      <c r="C38" s="13">
        <v>46080</v>
      </c>
      <c r="D38" s="86">
        <v>46085</v>
      </c>
      <c r="E38" s="141"/>
      <c r="F38" s="141"/>
      <c r="G38" s="55"/>
      <c r="L38" s="11" t="s">
        <v>1443</v>
      </c>
    </row>
    <row r="39" spans="1:12" s="11" customFormat="1" ht="16.5" customHeight="1" x14ac:dyDescent="0.25">
      <c r="A39" s="11" t="s">
        <v>3512</v>
      </c>
      <c r="B39" s="119">
        <v>29393.43</v>
      </c>
      <c r="C39" s="13">
        <v>46080</v>
      </c>
      <c r="D39" s="86">
        <v>46090</v>
      </c>
      <c r="E39" s="141"/>
      <c r="F39" s="141"/>
      <c r="G39" s="55"/>
      <c r="L39" s="11" t="s">
        <v>1444</v>
      </c>
    </row>
    <row r="40" spans="1:12" s="11" customFormat="1" ht="16.5" customHeight="1" x14ac:dyDescent="0.25">
      <c r="A40" s="11" t="s">
        <v>3513</v>
      </c>
      <c r="B40" s="119">
        <v>29393.43</v>
      </c>
      <c r="C40" s="13">
        <v>46080</v>
      </c>
      <c r="D40" s="86">
        <v>46090</v>
      </c>
      <c r="E40" s="141"/>
      <c r="F40" s="141"/>
      <c r="G40" s="55"/>
      <c r="L40" s="11" t="s">
        <v>1445</v>
      </c>
    </row>
    <row r="41" spans="1:12" s="11" customFormat="1" ht="16.5" customHeight="1" x14ac:dyDescent="0.25">
      <c r="A41" s="11" t="s">
        <v>3514</v>
      </c>
      <c r="B41" s="119">
        <v>29393.43</v>
      </c>
      <c r="C41" s="13">
        <v>46080</v>
      </c>
      <c r="D41" s="86">
        <v>46090</v>
      </c>
      <c r="E41" s="141"/>
      <c r="F41" s="141"/>
      <c r="G41" s="55"/>
      <c r="L41" s="11" t="s">
        <v>1446</v>
      </c>
    </row>
    <row r="42" spans="1:12" s="11" customFormat="1" ht="16.5" customHeight="1" x14ac:dyDescent="0.25">
      <c r="A42" s="11" t="s">
        <v>3515</v>
      </c>
      <c r="B42" s="119">
        <v>29559.98</v>
      </c>
      <c r="C42" s="13">
        <v>46080</v>
      </c>
      <c r="D42" s="86">
        <v>46086</v>
      </c>
      <c r="E42" s="141"/>
      <c r="F42" s="141"/>
      <c r="G42" s="55"/>
      <c r="L42" s="11" t="s">
        <v>1447</v>
      </c>
    </row>
    <row r="43" spans="1:12" s="11" customFormat="1" ht="16.5" customHeight="1" x14ac:dyDescent="0.25">
      <c r="A43" s="11" t="s">
        <v>3516</v>
      </c>
      <c r="B43" s="119">
        <v>29559.98</v>
      </c>
      <c r="C43" s="13">
        <v>46080</v>
      </c>
      <c r="D43" s="86">
        <v>46090</v>
      </c>
      <c r="E43" s="141"/>
      <c r="F43" s="141"/>
      <c r="G43" s="55"/>
      <c r="L43" s="11" t="s">
        <v>1448</v>
      </c>
    </row>
    <row r="44" spans="1:12" s="11" customFormat="1" ht="16.5" customHeight="1" x14ac:dyDescent="0.25">
      <c r="A44" s="11" t="s">
        <v>3517</v>
      </c>
      <c r="B44" s="119">
        <v>29559.98</v>
      </c>
      <c r="C44" s="13">
        <v>46080</v>
      </c>
      <c r="D44" s="86">
        <v>46090</v>
      </c>
      <c r="E44" s="141"/>
      <c r="F44" s="141"/>
      <c r="G44" s="55"/>
      <c r="L44" s="11" t="s">
        <v>1449</v>
      </c>
    </row>
    <row r="45" spans="1:12" s="11" customFormat="1" ht="16.5" customHeight="1" x14ac:dyDescent="0.25">
      <c r="A45" s="11" t="s">
        <v>3518</v>
      </c>
      <c r="B45" s="119">
        <v>29559.98</v>
      </c>
      <c r="C45" s="13">
        <v>46080</v>
      </c>
      <c r="D45" s="86">
        <v>46085</v>
      </c>
      <c r="E45" s="141"/>
      <c r="F45" s="141"/>
      <c r="G45" s="55"/>
      <c r="L45" s="11" t="s">
        <v>1450</v>
      </c>
    </row>
    <row r="46" spans="1:12" s="11" customFormat="1" ht="16.5" customHeight="1" x14ac:dyDescent="0.25">
      <c r="A46" s="11" t="s">
        <v>3519</v>
      </c>
      <c r="B46" s="119">
        <v>29559.98</v>
      </c>
      <c r="C46" s="13">
        <v>46080</v>
      </c>
      <c r="D46" s="86">
        <v>46085</v>
      </c>
      <c r="E46" s="141"/>
      <c r="F46" s="141"/>
      <c r="G46" s="55"/>
      <c r="L46" s="11" t="s">
        <v>1451</v>
      </c>
    </row>
    <row r="47" spans="1:12" s="11" customFormat="1" ht="16.5" customHeight="1" x14ac:dyDescent="0.25">
      <c r="A47" s="11" t="s">
        <v>3520</v>
      </c>
      <c r="B47" s="119">
        <v>29559.98</v>
      </c>
      <c r="C47" s="13">
        <v>46080</v>
      </c>
      <c r="D47" s="86">
        <v>46090</v>
      </c>
      <c r="E47" s="141"/>
      <c r="F47" s="141"/>
      <c r="G47" s="55"/>
      <c r="L47" s="11" t="s">
        <v>1452</v>
      </c>
    </row>
    <row r="48" spans="1:12" s="11" customFormat="1" ht="16.5" customHeight="1" x14ac:dyDescent="0.25">
      <c r="A48" s="11" t="s">
        <v>3521</v>
      </c>
      <c r="B48" s="119">
        <v>29652.48</v>
      </c>
      <c r="C48" s="13">
        <v>46079</v>
      </c>
      <c r="D48" s="86">
        <v>46091</v>
      </c>
      <c r="E48" s="141"/>
      <c r="F48" s="141"/>
      <c r="G48" s="55"/>
      <c r="L48" s="11" t="s">
        <v>1453</v>
      </c>
    </row>
    <row r="49" spans="1:12" s="11" customFormat="1" ht="16.5" customHeight="1" x14ac:dyDescent="0.25">
      <c r="A49" s="11" t="s">
        <v>3522</v>
      </c>
      <c r="B49" s="119">
        <v>29851.3</v>
      </c>
      <c r="C49" s="13">
        <v>46080</v>
      </c>
      <c r="D49" s="86">
        <v>46085</v>
      </c>
      <c r="E49" s="141"/>
      <c r="F49" s="141"/>
      <c r="G49" s="55"/>
      <c r="L49" s="11" t="s">
        <v>1436</v>
      </c>
    </row>
    <row r="50" spans="1:12" s="11" customFormat="1" ht="16.5" customHeight="1" x14ac:dyDescent="0.25">
      <c r="A50" s="11" t="s">
        <v>3523</v>
      </c>
      <c r="B50" s="119">
        <v>29851.3</v>
      </c>
      <c r="C50" s="13">
        <v>46080</v>
      </c>
      <c r="D50" s="86">
        <v>46090</v>
      </c>
      <c r="E50" s="141"/>
      <c r="F50" s="141"/>
      <c r="G50" s="55"/>
      <c r="L50" s="11" t="s">
        <v>1454</v>
      </c>
    </row>
    <row r="51" spans="1:12" s="11" customFormat="1" ht="16.5" customHeight="1" x14ac:dyDescent="0.25">
      <c r="A51" s="11" t="s">
        <v>3524</v>
      </c>
      <c r="B51" s="119">
        <v>29851.3</v>
      </c>
      <c r="C51" s="13">
        <v>46080</v>
      </c>
      <c r="D51" s="86">
        <v>46091</v>
      </c>
      <c r="E51" s="141"/>
      <c r="F51" s="141"/>
      <c r="G51" s="55"/>
      <c r="L51" s="11" t="s">
        <v>1455</v>
      </c>
    </row>
    <row r="52" spans="1:12" s="11" customFormat="1" ht="16.5" customHeight="1" x14ac:dyDescent="0.25">
      <c r="A52" s="11" t="s">
        <v>3525</v>
      </c>
      <c r="B52" s="119">
        <v>29851.3</v>
      </c>
      <c r="C52" s="13">
        <v>46080</v>
      </c>
      <c r="D52" s="86">
        <v>46091</v>
      </c>
      <c r="E52" s="141"/>
      <c r="F52" s="141"/>
      <c r="G52" s="55"/>
      <c r="L52" s="11" t="s">
        <v>1456</v>
      </c>
    </row>
    <row r="53" spans="1:12" s="11" customFormat="1" ht="16.5" customHeight="1" x14ac:dyDescent="0.25">
      <c r="A53" s="11" t="s">
        <v>3526</v>
      </c>
      <c r="B53" s="119">
        <v>29851.3</v>
      </c>
      <c r="C53" s="13">
        <v>46080</v>
      </c>
      <c r="D53" s="86">
        <v>46091</v>
      </c>
      <c r="E53" s="141"/>
      <c r="F53" s="141"/>
      <c r="G53" s="55"/>
      <c r="L53" s="11" t="s">
        <v>1457</v>
      </c>
    </row>
    <row r="54" spans="1:12" s="11" customFormat="1" ht="16.5" customHeight="1" x14ac:dyDescent="0.25">
      <c r="A54" s="11" t="s">
        <v>3527</v>
      </c>
      <c r="B54" s="119">
        <v>29851.3</v>
      </c>
      <c r="C54" s="13">
        <v>46080</v>
      </c>
      <c r="D54" s="86">
        <v>46090</v>
      </c>
      <c r="E54" s="141"/>
      <c r="F54" s="141"/>
      <c r="G54" s="55"/>
      <c r="L54" s="11" t="s">
        <v>2506</v>
      </c>
    </row>
    <row r="55" spans="1:12" s="11" customFormat="1" ht="16.5" customHeight="1" x14ac:dyDescent="0.25">
      <c r="A55" s="11" t="s">
        <v>3528</v>
      </c>
      <c r="B55" s="119">
        <v>30017.85</v>
      </c>
      <c r="C55" s="13">
        <v>46080</v>
      </c>
      <c r="D55" s="86">
        <v>46090</v>
      </c>
      <c r="E55" s="141"/>
      <c r="F55" s="141"/>
      <c r="G55" s="55"/>
      <c r="L55" s="11" t="s">
        <v>1458</v>
      </c>
    </row>
    <row r="56" spans="1:12" s="11" customFormat="1" ht="16.5" customHeight="1" x14ac:dyDescent="0.25">
      <c r="A56" s="11" t="s">
        <v>3529</v>
      </c>
      <c r="B56" s="119">
        <v>30017.85</v>
      </c>
      <c r="C56" s="13">
        <v>46080</v>
      </c>
      <c r="D56" s="86">
        <v>46090</v>
      </c>
      <c r="E56" s="141"/>
      <c r="F56" s="141"/>
      <c r="G56" s="55"/>
      <c r="L56" s="11" t="s">
        <v>3337</v>
      </c>
    </row>
    <row r="57" spans="1:12" s="11" customFormat="1" ht="16.5" customHeight="1" x14ac:dyDescent="0.25">
      <c r="A57" s="11" t="s">
        <v>3530</v>
      </c>
      <c r="B57" s="119">
        <v>30017.85</v>
      </c>
      <c r="C57" s="13">
        <v>46080</v>
      </c>
      <c r="D57" s="86">
        <v>46091</v>
      </c>
      <c r="E57" s="141"/>
      <c r="F57" s="141"/>
      <c r="G57" s="55"/>
      <c r="L57" s="11" t="s">
        <v>1368</v>
      </c>
    </row>
    <row r="58" spans="1:12" s="11" customFormat="1" ht="16.5" customHeight="1" x14ac:dyDescent="0.25">
      <c r="A58" s="11" t="s">
        <v>3531</v>
      </c>
      <c r="B58" s="119">
        <v>30017.85</v>
      </c>
      <c r="C58" s="13">
        <v>46080</v>
      </c>
      <c r="D58" s="86">
        <v>46085</v>
      </c>
      <c r="E58" s="141"/>
      <c r="F58" s="141"/>
      <c r="G58" s="55"/>
      <c r="L58" s="11" t="s">
        <v>1459</v>
      </c>
    </row>
    <row r="59" spans="1:12" s="11" customFormat="1" ht="16.5" customHeight="1" x14ac:dyDescent="0.25">
      <c r="A59" s="11" t="s">
        <v>3532</v>
      </c>
      <c r="B59" s="119">
        <v>30017.85</v>
      </c>
      <c r="C59" s="13">
        <v>46080</v>
      </c>
      <c r="D59" s="86">
        <v>46086</v>
      </c>
      <c r="E59" s="141"/>
      <c r="F59" s="141"/>
      <c r="G59" s="55"/>
      <c r="L59" s="11" t="s">
        <v>1369</v>
      </c>
    </row>
    <row r="60" spans="1:12" s="11" customFormat="1" ht="16.5" customHeight="1" x14ac:dyDescent="0.25">
      <c r="A60" s="11" t="s">
        <v>3533</v>
      </c>
      <c r="B60" s="119">
        <v>30017.85</v>
      </c>
      <c r="C60" s="13">
        <v>46080</v>
      </c>
      <c r="D60" s="86">
        <v>46086</v>
      </c>
      <c r="E60" s="141"/>
      <c r="F60" s="141"/>
      <c r="G60" s="55"/>
      <c r="L60" s="11" t="s">
        <v>1460</v>
      </c>
    </row>
    <row r="61" spans="1:12" s="11" customFormat="1" ht="16.5" customHeight="1" x14ac:dyDescent="0.25">
      <c r="A61" s="11" t="s">
        <v>3534</v>
      </c>
      <c r="B61" s="119">
        <v>30110.35</v>
      </c>
      <c r="C61" s="13">
        <v>46076</v>
      </c>
      <c r="D61" s="86">
        <v>46085</v>
      </c>
      <c r="E61" s="141"/>
      <c r="F61" s="141"/>
      <c r="G61" s="55"/>
    </row>
    <row r="62" spans="1:12" s="11" customFormat="1" ht="16.5" customHeight="1" x14ac:dyDescent="0.25">
      <c r="A62" s="11" t="s">
        <v>3535</v>
      </c>
      <c r="B62" s="119">
        <v>31030.73</v>
      </c>
      <c r="C62" s="13">
        <v>46080</v>
      </c>
      <c r="D62" s="86">
        <v>46090</v>
      </c>
      <c r="E62" s="141"/>
      <c r="F62" s="141"/>
      <c r="G62" s="55"/>
    </row>
    <row r="63" spans="1:12" s="11" customFormat="1" ht="16.5" customHeight="1" x14ac:dyDescent="0.25">
      <c r="A63" s="11" t="s">
        <v>3536</v>
      </c>
      <c r="B63" s="119">
        <v>31030.73</v>
      </c>
      <c r="C63" s="13">
        <v>46080</v>
      </c>
      <c r="D63" s="86">
        <v>46091</v>
      </c>
      <c r="E63" s="141"/>
      <c r="F63" s="141"/>
      <c r="G63" s="55"/>
    </row>
    <row r="64" spans="1:12" s="11" customFormat="1" ht="16.5" customHeight="1" x14ac:dyDescent="0.25">
      <c r="A64" s="11" t="s">
        <v>3537</v>
      </c>
      <c r="B64" s="119">
        <v>39998.050000000003</v>
      </c>
      <c r="C64" s="13">
        <v>46079</v>
      </c>
      <c r="D64" s="86">
        <v>46084</v>
      </c>
      <c r="E64" s="141"/>
      <c r="F64" s="141"/>
      <c r="G64" s="55"/>
    </row>
    <row r="65" spans="1:7" s="11" customFormat="1" ht="16.5" customHeight="1" x14ac:dyDescent="0.25">
      <c r="A65" s="11" t="s">
        <v>3538</v>
      </c>
      <c r="B65" s="119">
        <v>49483.35</v>
      </c>
      <c r="C65" s="13">
        <v>46073</v>
      </c>
      <c r="D65" s="86">
        <v>46090</v>
      </c>
      <c r="E65" s="141"/>
      <c r="F65" s="141"/>
      <c r="G65" s="55"/>
    </row>
    <row r="66" spans="1:7" s="11" customFormat="1" ht="16.5" customHeight="1" x14ac:dyDescent="0.25">
      <c r="A66" s="11" t="s">
        <v>3539</v>
      </c>
      <c r="B66" s="119">
        <v>65324.73</v>
      </c>
      <c r="C66" s="13">
        <v>46070</v>
      </c>
      <c r="D66" s="86">
        <v>46091</v>
      </c>
      <c r="E66" s="141"/>
      <c r="F66" s="141"/>
      <c r="G66" s="55"/>
    </row>
    <row r="67" spans="1:7" s="11" customFormat="1" ht="16.5" customHeight="1" x14ac:dyDescent="0.25">
      <c r="A67" s="11" t="s">
        <v>3540</v>
      </c>
      <c r="B67" s="119">
        <v>70820.98</v>
      </c>
      <c r="C67" s="13">
        <v>46080</v>
      </c>
      <c r="D67" s="86">
        <v>46084</v>
      </c>
      <c r="E67" s="141"/>
      <c r="F67" s="141"/>
      <c r="G67" s="55"/>
    </row>
    <row r="68" spans="1:7" s="11" customFormat="1" ht="16.5" customHeight="1" x14ac:dyDescent="0.25">
      <c r="A68" s="11" t="s">
        <v>3541</v>
      </c>
      <c r="B68" s="119">
        <v>77769.350000000006</v>
      </c>
      <c r="C68" s="13">
        <v>46080</v>
      </c>
      <c r="D68" s="86">
        <v>46084</v>
      </c>
      <c r="E68" s="141"/>
      <c r="F68" s="141"/>
      <c r="G68" s="55"/>
    </row>
    <row r="69" spans="1:7" s="11" customFormat="1" ht="16.5" customHeight="1" x14ac:dyDescent="0.25">
      <c r="A69" s="11" t="s">
        <v>3542</v>
      </c>
      <c r="B69" s="119">
        <v>79231.149999999994</v>
      </c>
      <c r="C69" s="13">
        <v>46070</v>
      </c>
      <c r="D69" s="65" t="s">
        <v>3545</v>
      </c>
      <c r="E69" s="141"/>
      <c r="F69" s="141"/>
      <c r="G69" s="55"/>
    </row>
    <row r="70" spans="1:7" s="11" customFormat="1" ht="16.5" customHeight="1" x14ac:dyDescent="0.25">
      <c r="A70" s="11" t="s">
        <v>3543</v>
      </c>
      <c r="B70" s="119">
        <v>84047.1</v>
      </c>
      <c r="C70" s="13">
        <v>46080</v>
      </c>
      <c r="D70" s="86">
        <v>46084</v>
      </c>
      <c r="E70" s="141"/>
      <c r="F70" s="141"/>
      <c r="G70" s="55"/>
    </row>
    <row r="71" spans="1:7" s="11" customFormat="1" ht="16.5" customHeight="1" x14ac:dyDescent="0.25">
      <c r="A71" s="11" t="s">
        <v>3493</v>
      </c>
      <c r="B71" s="119">
        <v>86226.83</v>
      </c>
      <c r="C71" s="13">
        <v>46070</v>
      </c>
      <c r="D71" s="65" t="s">
        <v>3547</v>
      </c>
      <c r="E71" s="141"/>
      <c r="F71" s="141"/>
      <c r="G71" s="55"/>
    </row>
    <row r="72" spans="1:7" s="11" customFormat="1" ht="16.5" customHeight="1" x14ac:dyDescent="0.25">
      <c r="A72" s="11" t="s">
        <v>3494</v>
      </c>
      <c r="B72" s="119">
        <v>88534.7</v>
      </c>
      <c r="C72" s="13">
        <v>46080</v>
      </c>
      <c r="D72" s="65" t="s">
        <v>3548</v>
      </c>
      <c r="E72" s="141"/>
      <c r="F72" s="141"/>
      <c r="G72" s="55"/>
    </row>
    <row r="73" spans="1:7" s="11" customFormat="1" ht="16.5" customHeight="1" x14ac:dyDescent="0.25">
      <c r="A73" s="11" t="s">
        <v>3495</v>
      </c>
      <c r="B73" s="119">
        <v>88534.7</v>
      </c>
      <c r="C73" s="13">
        <v>46080</v>
      </c>
      <c r="D73" s="65" t="s">
        <v>3546</v>
      </c>
      <c r="E73" s="141"/>
      <c r="F73" s="141"/>
      <c r="G73" s="55"/>
    </row>
    <row r="74" spans="1:7" s="11" customFormat="1" ht="16.5" customHeight="1" x14ac:dyDescent="0.25">
      <c r="A74" s="11" t="s">
        <v>3496</v>
      </c>
      <c r="B74" s="119">
        <v>88534.7</v>
      </c>
      <c r="C74" s="13">
        <v>46080</v>
      </c>
      <c r="D74" s="65" t="s">
        <v>3548</v>
      </c>
      <c r="E74" s="141"/>
      <c r="F74" s="141"/>
      <c r="G74" s="55"/>
    </row>
    <row r="75" spans="1:7" s="11" customFormat="1" ht="16.5" customHeight="1" x14ac:dyDescent="0.25">
      <c r="A75" s="11" t="s">
        <v>3497</v>
      </c>
      <c r="B75" s="119">
        <v>89089.7</v>
      </c>
      <c r="C75" s="13">
        <v>46080</v>
      </c>
      <c r="D75" s="65" t="s">
        <v>3548</v>
      </c>
      <c r="E75" s="141"/>
      <c r="F75" s="141"/>
      <c r="G75" s="55"/>
    </row>
    <row r="76" spans="1:7" s="11" customFormat="1" ht="16.5" customHeight="1" x14ac:dyDescent="0.25">
      <c r="A76" s="11" t="s">
        <v>3498</v>
      </c>
      <c r="B76" s="119">
        <v>89089.7</v>
      </c>
      <c r="C76" s="13">
        <v>46079</v>
      </c>
      <c r="D76" s="65" t="s">
        <v>3546</v>
      </c>
      <c r="E76" s="141"/>
      <c r="F76" s="141"/>
      <c r="G76" s="55"/>
    </row>
    <row r="77" spans="1:7" s="11" customFormat="1" ht="16.5" customHeight="1" x14ac:dyDescent="0.25">
      <c r="A77" s="11" t="s">
        <v>3499</v>
      </c>
      <c r="B77" s="119">
        <v>89089.7</v>
      </c>
      <c r="C77" s="13">
        <v>46080</v>
      </c>
      <c r="D77" s="65" t="s">
        <v>3546</v>
      </c>
      <c r="E77" s="141"/>
      <c r="F77" s="141"/>
      <c r="G77" s="55"/>
    </row>
    <row r="78" spans="1:7" s="11" customFormat="1" ht="16.5" customHeight="1" x14ac:dyDescent="0.25">
      <c r="A78" s="11" t="s">
        <v>3549</v>
      </c>
      <c r="B78" s="119">
        <v>107850.28</v>
      </c>
      <c r="C78" s="13">
        <v>46079</v>
      </c>
      <c r="D78" s="86">
        <v>46084</v>
      </c>
      <c r="E78" s="141"/>
      <c r="F78" s="141"/>
      <c r="G78" s="55"/>
    </row>
    <row r="79" spans="1:7" s="11" customFormat="1" ht="16.5" customHeight="1" x14ac:dyDescent="0.25">
      <c r="A79" s="11" t="s">
        <v>3544</v>
      </c>
      <c r="B79" s="119">
        <v>108405.28</v>
      </c>
      <c r="C79" s="13">
        <v>46079</v>
      </c>
      <c r="D79" s="86">
        <v>46087</v>
      </c>
      <c r="E79" s="141"/>
      <c r="F79" s="141"/>
      <c r="G79" s="55"/>
    </row>
    <row r="80" spans="1:7" s="11" customFormat="1" ht="16.5" customHeight="1" x14ac:dyDescent="0.25">
      <c r="B80" s="119"/>
      <c r="C80" s="171"/>
      <c r="D80" s="182"/>
      <c r="E80" s="141"/>
      <c r="F80" s="141"/>
      <c r="G80" s="55"/>
    </row>
    <row r="81" spans="1:7" s="11" customFormat="1" ht="15.75" x14ac:dyDescent="0.25">
      <c r="B81" s="25">
        <f>SUM(B27:B80)</f>
        <v>2395269.5399999996</v>
      </c>
      <c r="C81" s="189"/>
      <c r="D81" s="189"/>
      <c r="E81" s="141"/>
      <c r="F81" s="141"/>
      <c r="G81" s="55"/>
    </row>
    <row r="82" spans="1:7" s="11" customFormat="1" ht="15.75" x14ac:dyDescent="0.25">
      <c r="A82" s="11" t="s">
        <v>1</v>
      </c>
      <c r="B82" s="17">
        <f>B81+B25</f>
        <v>1747168.0499999993</v>
      </c>
      <c r="E82" s="141"/>
      <c r="F82" s="141"/>
      <c r="G82" s="55"/>
    </row>
    <row r="83" spans="1:7" s="11" customFormat="1" ht="15.75" x14ac:dyDescent="0.25">
      <c r="A83" s="11" t="s">
        <v>0</v>
      </c>
      <c r="B83" s="17">
        <f>B82-B7</f>
        <v>0</v>
      </c>
      <c r="C83" s="189"/>
      <c r="D83" s="189"/>
      <c r="E83" s="141"/>
      <c r="F83" s="141"/>
      <c r="G83" s="55"/>
    </row>
    <row r="84" spans="1:7" s="11" customFormat="1" ht="15.75" x14ac:dyDescent="0.25">
      <c r="D84" s="14"/>
      <c r="E84" s="141"/>
      <c r="F84" s="141"/>
      <c r="G84" s="55"/>
    </row>
    <row r="85" spans="1:7" s="11" customFormat="1" ht="15.75" x14ac:dyDescent="0.25">
      <c r="D85" s="14"/>
      <c r="E85" s="141"/>
      <c r="F85" s="141"/>
      <c r="G85" s="55"/>
    </row>
    <row r="86" spans="1:7" s="11" customFormat="1" ht="15.75" x14ac:dyDescent="0.25">
      <c r="D86" s="14"/>
      <c r="E86" s="141"/>
      <c r="F86" s="141"/>
      <c r="G86" s="55"/>
    </row>
    <row r="87" spans="1:7" s="11" customFormat="1" ht="15.75" x14ac:dyDescent="0.25">
      <c r="D87" s="14"/>
      <c r="E87" s="141"/>
      <c r="F87" s="141"/>
      <c r="G87" s="55"/>
    </row>
    <row r="88" spans="1:7" s="11" customFormat="1" ht="15.75" x14ac:dyDescent="0.25">
      <c r="D88" s="14"/>
      <c r="E88" s="141"/>
      <c r="F88" s="141"/>
      <c r="G88" s="55"/>
    </row>
    <row r="89" spans="1:7" s="11" customFormat="1" ht="15.75" x14ac:dyDescent="0.25">
      <c r="D89" s="14"/>
      <c r="E89" s="141"/>
      <c r="F89" s="141"/>
      <c r="G89" s="55"/>
    </row>
    <row r="90" spans="1:7" s="11" customFormat="1" ht="15.75" x14ac:dyDescent="0.25">
      <c r="D90" s="14"/>
      <c r="E90" s="141"/>
      <c r="F90" s="141"/>
      <c r="G90" s="55"/>
    </row>
    <row r="91" spans="1:7" s="11" customFormat="1" ht="15.75" x14ac:dyDescent="0.25">
      <c r="D91" s="14"/>
      <c r="E91" s="141"/>
      <c r="F91" s="141"/>
      <c r="G91" s="55"/>
    </row>
    <row r="92" spans="1:7" s="11" customFormat="1" ht="15.75" x14ac:dyDescent="0.25">
      <c r="D92" s="14"/>
      <c r="E92" s="141"/>
      <c r="F92" s="141"/>
      <c r="G92" s="55"/>
    </row>
    <row r="93" spans="1:7" s="11" customFormat="1" ht="15.75" x14ac:dyDescent="0.25">
      <c r="D93" s="14"/>
      <c r="E93" s="141"/>
      <c r="F93" s="141"/>
      <c r="G93" s="55"/>
    </row>
    <row r="94" spans="1:7" s="11" customFormat="1" ht="15.75" x14ac:dyDescent="0.25">
      <c r="D94" s="14"/>
      <c r="E94" s="141"/>
      <c r="F94" s="141"/>
      <c r="G94" s="55"/>
    </row>
    <row r="95" spans="1:7" s="11" customFormat="1" ht="15.95" customHeight="1" x14ac:dyDescent="0.25">
      <c r="D95" s="14"/>
      <c r="E95" s="141"/>
      <c r="F95" s="141"/>
    </row>
    <row r="96" spans="1:7" s="11" customFormat="1" ht="15.95" customHeight="1" x14ac:dyDescent="0.25">
      <c r="D96" s="14"/>
      <c r="E96" s="141"/>
      <c r="F96" s="141"/>
    </row>
    <row r="97" spans="1:8" s="11" customFormat="1" ht="15.95" customHeight="1" x14ac:dyDescent="0.25">
      <c r="D97" s="14"/>
      <c r="E97" s="141"/>
      <c r="F97" s="141"/>
    </row>
    <row r="98" spans="1:8" s="11" customFormat="1" ht="15.95" customHeight="1" x14ac:dyDescent="0.25">
      <c r="D98" s="14"/>
      <c r="E98" s="141"/>
      <c r="F98" s="141"/>
    </row>
    <row r="99" spans="1:8" s="11" customFormat="1" ht="15.95" customHeight="1" x14ac:dyDescent="0.25">
      <c r="D99" s="14"/>
      <c r="E99" s="141"/>
      <c r="F99" s="141"/>
    </row>
    <row r="100" spans="1:8" s="11" customFormat="1" ht="15.95" customHeight="1" x14ac:dyDescent="0.25">
      <c r="B100" s="17"/>
      <c r="D100" s="14"/>
      <c r="E100" s="141"/>
      <c r="F100" s="141"/>
    </row>
    <row r="101" spans="1:8" s="11" customFormat="1" ht="15.95" customHeight="1" x14ac:dyDescent="0.25">
      <c r="A101" s="39"/>
      <c r="B101" s="93"/>
      <c r="C101" s="18"/>
      <c r="D101" s="37"/>
      <c r="E101" s="141"/>
      <c r="F101" s="141"/>
    </row>
    <row r="102" spans="1:8" s="11" customFormat="1" ht="15.95" customHeight="1" x14ac:dyDescent="0.3">
      <c r="A102" s="1"/>
      <c r="B102" s="10"/>
      <c r="C102" s="13"/>
      <c r="D102" s="84"/>
      <c r="E102" s="141"/>
      <c r="F102" s="141"/>
    </row>
    <row r="103" spans="1:8" s="11" customFormat="1" ht="15.95" customHeight="1" x14ac:dyDescent="0.3">
      <c r="A103" s="1"/>
      <c r="B103" s="10"/>
      <c r="C103" s="13"/>
      <c r="D103" s="84"/>
      <c r="E103" s="141"/>
      <c r="F103" s="141"/>
    </row>
    <row r="104" spans="1:8" s="11" customFormat="1" ht="15.95" customHeight="1" x14ac:dyDescent="0.3">
      <c r="A104" s="1"/>
      <c r="B104" s="10"/>
      <c r="C104" s="13"/>
      <c r="D104" s="84"/>
      <c r="E104" s="141"/>
      <c r="F104" s="141"/>
    </row>
    <row r="105" spans="1:8" s="11" customFormat="1" ht="15.95" customHeight="1" x14ac:dyDescent="0.25">
      <c r="D105" s="14"/>
      <c r="E105" s="141"/>
      <c r="F105" s="141"/>
    </row>
    <row r="106" spans="1:8" s="11" customFormat="1" ht="15.95" customHeight="1" x14ac:dyDescent="0.25">
      <c r="D106" s="14"/>
      <c r="E106" s="141"/>
      <c r="F106" s="141"/>
    </row>
    <row r="107" spans="1:8" s="11" customFormat="1" ht="15.95" customHeight="1" x14ac:dyDescent="0.25">
      <c r="D107" s="14"/>
      <c r="E107" s="141"/>
      <c r="F107" s="141"/>
    </row>
    <row r="108" spans="1:8" s="11" customFormat="1" ht="15.95" customHeight="1" x14ac:dyDescent="0.25">
      <c r="D108" s="14"/>
      <c r="E108" s="141"/>
      <c r="F108" s="141"/>
    </row>
    <row r="109" spans="1:8" s="11" customFormat="1" ht="15.95" customHeight="1" x14ac:dyDescent="0.25">
      <c r="D109" s="14"/>
      <c r="E109" s="141"/>
      <c r="F109" s="141"/>
    </row>
    <row r="110" spans="1:8" s="11" customFormat="1" ht="15.95" customHeight="1" x14ac:dyDescent="0.25">
      <c r="D110" s="14"/>
      <c r="E110" s="141"/>
      <c r="F110" s="141"/>
      <c r="H110" s="88"/>
    </row>
    <row r="111" spans="1:8" s="11" customFormat="1" ht="15.95" customHeight="1" x14ac:dyDescent="0.25">
      <c r="D111" s="14"/>
      <c r="E111" s="141"/>
      <c r="F111" s="141"/>
      <c r="H111" s="88"/>
    </row>
    <row r="112" spans="1:8" s="11" customFormat="1" ht="15.95" customHeight="1" x14ac:dyDescent="0.25">
      <c r="D112" s="14"/>
      <c r="E112" s="141"/>
      <c r="F112" s="141"/>
      <c r="G112" s="126"/>
      <c r="H112" s="88"/>
    </row>
    <row r="113" spans="1:19" s="11" customFormat="1" ht="15.95" customHeight="1" x14ac:dyDescent="0.25">
      <c r="D113" s="14"/>
      <c r="E113" s="141"/>
      <c r="F113" s="141"/>
      <c r="H113" s="88"/>
    </row>
    <row r="114" spans="1:19" s="11" customFormat="1" ht="20.100000000000001" customHeight="1" x14ac:dyDescent="0.25">
      <c r="D114" s="14"/>
      <c r="E114" s="141"/>
      <c r="F114" s="141"/>
      <c r="H114" s="88"/>
    </row>
    <row r="115" spans="1:19" s="11" customFormat="1" ht="20.100000000000001" customHeight="1" x14ac:dyDescent="0.25">
      <c r="D115" s="14"/>
      <c r="E115" s="141"/>
      <c r="F115" s="141"/>
      <c r="H115" s="88"/>
    </row>
    <row r="116" spans="1:19" s="11" customFormat="1" ht="20.100000000000001" customHeight="1" x14ac:dyDescent="0.25">
      <c r="D116" s="14"/>
      <c r="E116" s="141"/>
      <c r="F116" s="141"/>
      <c r="G116" s="126"/>
      <c r="H116" s="88"/>
    </row>
    <row r="117" spans="1:19" s="11" customFormat="1" ht="20.100000000000001" customHeight="1" x14ac:dyDescent="0.25">
      <c r="D117" s="14"/>
      <c r="E117" s="141"/>
      <c r="F117" s="141"/>
      <c r="H117" s="88"/>
    </row>
    <row r="118" spans="1:19" s="13" customFormat="1" ht="20.100000000000001" customHeight="1" x14ac:dyDescent="0.3">
      <c r="A118" s="1"/>
      <c r="B118" s="10"/>
      <c r="D118" s="84"/>
      <c r="E118" s="141"/>
      <c r="F118" s="141"/>
      <c r="H118" s="88"/>
      <c r="I118" s="11"/>
    </row>
    <row r="119" spans="1:19" s="13" customFormat="1" ht="20.100000000000001" customHeight="1" x14ac:dyDescent="0.3">
      <c r="A119" s="1"/>
      <c r="B119" s="10"/>
      <c r="D119" s="84"/>
      <c r="E119" s="141"/>
      <c r="F119" s="141"/>
      <c r="H119" s="88"/>
      <c r="I119" s="11"/>
    </row>
    <row r="120" spans="1:19" s="13" customFormat="1" ht="20.100000000000001" customHeight="1" x14ac:dyDescent="0.3">
      <c r="A120" s="1"/>
      <c r="B120" s="10"/>
      <c r="D120" s="84"/>
      <c r="E120" s="141"/>
      <c r="F120" s="141"/>
      <c r="H120" s="88"/>
      <c r="I120" s="11"/>
    </row>
    <row r="121" spans="1:19" s="90" customFormat="1" ht="20.100000000000001" customHeight="1" x14ac:dyDescent="0.3">
      <c r="A121" s="1"/>
      <c r="B121" s="10"/>
      <c r="C121" s="13"/>
      <c r="D121" s="178"/>
      <c r="E121" s="141"/>
      <c r="F121" s="141"/>
      <c r="G121" s="1"/>
      <c r="I121" s="1"/>
      <c r="J121" s="1"/>
      <c r="K121" s="1"/>
      <c r="M121" s="1"/>
      <c r="N121" s="1"/>
      <c r="O121" s="1"/>
      <c r="P121" s="1"/>
      <c r="Q121" s="1"/>
      <c r="R121" s="1"/>
      <c r="S121" s="1"/>
    </row>
    <row r="122" spans="1:19" s="90" customFormat="1" ht="20.100000000000001" customHeight="1" x14ac:dyDescent="0.3">
      <c r="A122" s="1"/>
      <c r="B122" s="10"/>
      <c r="C122" s="13"/>
      <c r="D122" s="178"/>
      <c r="E122" s="141"/>
      <c r="F122" s="141"/>
      <c r="G122" s="1"/>
      <c r="I122" s="1"/>
      <c r="J122" s="1"/>
      <c r="K122" s="1"/>
      <c r="M122" s="1"/>
      <c r="N122" s="1"/>
      <c r="O122" s="1"/>
      <c r="P122" s="1"/>
      <c r="Q122" s="1"/>
      <c r="R122" s="1"/>
      <c r="S122" s="1"/>
    </row>
    <row r="123" spans="1:19" s="90" customFormat="1" ht="20.100000000000001" customHeight="1" x14ac:dyDescent="0.3">
      <c r="A123" s="1"/>
      <c r="B123" s="10"/>
      <c r="C123" s="13"/>
      <c r="D123" s="178"/>
      <c r="E123" s="141"/>
      <c r="F123" s="141"/>
      <c r="G123" s="1"/>
      <c r="I123" s="1"/>
      <c r="J123" s="1"/>
      <c r="K123" s="1"/>
      <c r="L123" s="11"/>
      <c r="M123" s="1"/>
      <c r="N123" s="1"/>
      <c r="O123" s="1"/>
      <c r="P123" s="1"/>
      <c r="Q123" s="1"/>
      <c r="R123" s="1"/>
      <c r="S123" s="1"/>
    </row>
    <row r="124" spans="1:19" s="90" customFormat="1" ht="20.100000000000001" customHeight="1" x14ac:dyDescent="0.3">
      <c r="A124" s="1"/>
      <c r="B124" s="10"/>
      <c r="C124" s="13"/>
      <c r="D124" s="178"/>
      <c r="E124" s="141"/>
      <c r="F124" s="141"/>
      <c r="G124" s="11"/>
      <c r="I124" s="1"/>
      <c r="J124" s="1"/>
      <c r="K124" s="1"/>
      <c r="L124" s="11"/>
      <c r="M124" s="1"/>
      <c r="N124" s="1"/>
      <c r="O124" s="1"/>
      <c r="P124" s="1"/>
      <c r="Q124" s="1"/>
      <c r="R124" s="1"/>
      <c r="S124" s="1"/>
    </row>
    <row r="125" spans="1:19" x14ac:dyDescent="0.3">
      <c r="L125" s="11"/>
    </row>
    <row r="126" spans="1:19" x14ac:dyDescent="0.3">
      <c r="L126" s="11"/>
    </row>
    <row r="127" spans="1:19" x14ac:dyDescent="0.3">
      <c r="L127" s="11"/>
    </row>
    <row r="128" spans="1:19" x14ac:dyDescent="0.3">
      <c r="L128" s="11"/>
    </row>
    <row r="129" spans="12:12" x14ac:dyDescent="0.3">
      <c r="L129" s="11"/>
    </row>
    <row r="130" spans="12:12" x14ac:dyDescent="0.3">
      <c r="L130" s="11"/>
    </row>
    <row r="131" spans="12:12" x14ac:dyDescent="0.3">
      <c r="L131" s="11"/>
    </row>
    <row r="132" spans="12:12" x14ac:dyDescent="0.3">
      <c r="L132" s="11"/>
    </row>
  </sheetData>
  <mergeCells count="2">
    <mergeCell ref="C81:D81"/>
    <mergeCell ref="C83:D83"/>
  </mergeCells>
  <pageMargins left="0.7" right="0.7" top="0.75" bottom="0.75" header="0.3" footer="0.3"/>
  <pageSetup scale="80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F7648-A35D-42AE-AFCB-BD31B25B087C}">
  <sheetPr>
    <pageSetUpPr fitToPage="1"/>
  </sheetPr>
  <dimension ref="A1:S140"/>
  <sheetViews>
    <sheetView zoomScale="85" zoomScaleNormal="85" workbookViewId="0">
      <selection activeCell="F23" sqref="F23"/>
    </sheetView>
  </sheetViews>
  <sheetFormatPr defaultRowHeight="18.75" x14ac:dyDescent="0.3"/>
  <cols>
    <col min="1" max="1" width="20.7109375" style="1" customWidth="1"/>
    <col min="2" max="2" width="16.85546875" style="17" customWidth="1"/>
    <col min="3" max="3" width="28.85546875" style="13" bestFit="1" customWidth="1"/>
    <col min="4" max="4" width="32.5703125" style="178" bestFit="1" customWidth="1"/>
    <col min="5" max="5" width="9.7109375" style="141" customWidth="1"/>
    <col min="6" max="6" width="16.5703125" style="141" customWidth="1"/>
    <col min="7" max="7" width="35" style="1" bestFit="1" customWidth="1"/>
    <col min="8" max="8" width="5.5703125" style="90" bestFit="1" customWidth="1"/>
    <col min="9" max="11" width="9.140625" style="1"/>
    <col min="12" max="12" width="57.5703125" style="1" bestFit="1" customWidth="1"/>
    <col min="13" max="16384" width="9.140625" style="1"/>
  </cols>
  <sheetData>
    <row r="1" spans="1:19" s="11" customFormat="1" ht="20.100000000000001" customHeight="1" x14ac:dyDescent="0.25">
      <c r="A1" s="11" t="s">
        <v>1203</v>
      </c>
      <c r="B1" s="17"/>
      <c r="C1" s="13"/>
      <c r="D1" s="84"/>
      <c r="E1" s="141"/>
      <c r="H1" s="88"/>
    </row>
    <row r="2" spans="1:19" s="11" customFormat="1" ht="20.100000000000001" customHeight="1" x14ac:dyDescent="0.25">
      <c r="A2" s="14">
        <v>46112</v>
      </c>
      <c r="B2" s="17"/>
      <c r="C2" s="13"/>
      <c r="D2" s="84"/>
      <c r="E2" s="141"/>
      <c r="H2" s="88"/>
    </row>
    <row r="3" spans="1:19" s="11" customFormat="1" ht="20.100000000000001" customHeight="1" x14ac:dyDescent="0.25">
      <c r="A3" s="11" t="s">
        <v>311</v>
      </c>
      <c r="B3" s="17">
        <v>41134465.979999997</v>
      </c>
      <c r="C3" s="13"/>
      <c r="D3" s="84"/>
      <c r="E3" s="141"/>
      <c r="H3" s="88"/>
      <c r="M3" s="89"/>
    </row>
    <row r="4" spans="1:19" s="11" customFormat="1" ht="20.100000000000001" customHeight="1" x14ac:dyDescent="0.25">
      <c r="A4" s="11" t="s">
        <v>6</v>
      </c>
      <c r="B4" s="17"/>
      <c r="C4" s="13"/>
      <c r="D4" s="84"/>
      <c r="E4" s="141"/>
      <c r="H4" s="88"/>
      <c r="M4" s="89"/>
    </row>
    <row r="5" spans="1:19" s="11" customFormat="1" ht="20.100000000000001" customHeight="1" x14ac:dyDescent="0.25">
      <c r="A5" s="11">
        <v>2100</v>
      </c>
      <c r="B5" s="17">
        <v>-37765469.939999998</v>
      </c>
      <c r="C5" s="13"/>
      <c r="D5" s="84"/>
      <c r="E5" s="141"/>
      <c r="H5" s="88"/>
      <c r="M5" s="89"/>
    </row>
    <row r="6" spans="1:19" s="11" customFormat="1" ht="20.100000000000001" customHeight="1" x14ac:dyDescent="0.25">
      <c r="A6" s="11" t="s">
        <v>5</v>
      </c>
      <c r="B6" s="17">
        <f>SUM(B5)</f>
        <v>-37765469.939999998</v>
      </c>
      <c r="C6" s="13"/>
      <c r="D6" s="84"/>
      <c r="E6" s="141"/>
      <c r="H6" s="88"/>
      <c r="M6" s="89"/>
      <c r="O6" s="62"/>
      <c r="P6" s="62"/>
      <c r="Q6" s="62"/>
      <c r="R6" s="62"/>
      <c r="S6" s="62"/>
    </row>
    <row r="7" spans="1:19" s="11" customFormat="1" ht="20.100000000000001" customHeight="1" x14ac:dyDescent="0.25">
      <c r="A7" s="11" t="s">
        <v>4</v>
      </c>
      <c r="B7" s="17">
        <f>B6+B3</f>
        <v>3368996.0399999991</v>
      </c>
      <c r="C7" s="13"/>
      <c r="D7" s="84"/>
      <c r="E7" s="141"/>
      <c r="H7" s="88"/>
      <c r="M7" s="88"/>
    </row>
    <row r="8" spans="1:19" s="11" customFormat="1" ht="15.95" customHeight="1" x14ac:dyDescent="0.25">
      <c r="A8" s="11" t="s">
        <v>3</v>
      </c>
      <c r="B8" s="17"/>
      <c r="C8" s="44" t="s">
        <v>628</v>
      </c>
      <c r="D8" s="175" t="s">
        <v>626</v>
      </c>
      <c r="E8" s="141"/>
      <c r="H8" s="88"/>
      <c r="M8" s="88"/>
    </row>
    <row r="9" spans="1:19" s="11" customFormat="1" ht="15.75" x14ac:dyDescent="0.25">
      <c r="A9" s="160" t="s">
        <v>3550</v>
      </c>
      <c r="B9" s="186">
        <v>-27217</v>
      </c>
      <c r="C9" s="164" t="s">
        <v>3634</v>
      </c>
      <c r="D9" s="176" t="s">
        <v>3630</v>
      </c>
      <c r="E9" s="160"/>
      <c r="F9" s="141"/>
      <c r="G9" s="55"/>
      <c r="M9" s="88"/>
    </row>
    <row r="10" spans="1:19" s="11" customFormat="1" ht="15.75" x14ac:dyDescent="0.25">
      <c r="A10" s="160" t="s">
        <v>3557</v>
      </c>
      <c r="B10" s="186">
        <v>-30798</v>
      </c>
      <c r="C10" s="164" t="s">
        <v>3626</v>
      </c>
      <c r="D10" s="176" t="s">
        <v>3625</v>
      </c>
      <c r="E10" s="160"/>
      <c r="F10" s="141"/>
      <c r="G10" s="55"/>
      <c r="M10" s="88"/>
    </row>
    <row r="11" spans="1:19" s="11" customFormat="1" ht="15.75" x14ac:dyDescent="0.25">
      <c r="A11" s="160" t="s">
        <v>3624</v>
      </c>
      <c r="B11" s="186">
        <v>-31210</v>
      </c>
      <c r="C11" s="164" t="s">
        <v>3631</v>
      </c>
      <c r="D11" s="176" t="s">
        <v>3625</v>
      </c>
      <c r="E11" s="160"/>
      <c r="F11" s="141"/>
      <c r="G11" s="55"/>
      <c r="M11" s="88"/>
    </row>
    <row r="12" spans="1:19" s="11" customFormat="1" ht="15.75" x14ac:dyDescent="0.25">
      <c r="A12" s="160" t="s">
        <v>3560</v>
      </c>
      <c r="B12" s="186">
        <v>-33107</v>
      </c>
      <c r="C12" s="164" t="s">
        <v>3626</v>
      </c>
      <c r="D12" s="176" t="s">
        <v>3625</v>
      </c>
      <c r="E12" s="160"/>
      <c r="F12" s="141"/>
      <c r="G12" s="55"/>
      <c r="M12" s="88"/>
    </row>
    <row r="13" spans="1:19" s="11" customFormat="1" ht="15.75" x14ac:dyDescent="0.25">
      <c r="A13" s="160" t="s">
        <v>3565</v>
      </c>
      <c r="B13" s="186">
        <v>-36509</v>
      </c>
      <c r="C13" s="164" t="s">
        <v>3626</v>
      </c>
      <c r="D13" s="176" t="s">
        <v>3625</v>
      </c>
      <c r="E13" s="160"/>
      <c r="F13" s="141"/>
      <c r="G13" s="55"/>
      <c r="M13" s="88"/>
    </row>
    <row r="14" spans="1:19" s="11" customFormat="1" ht="15.75" x14ac:dyDescent="0.25">
      <c r="A14" s="160" t="s">
        <v>3567</v>
      </c>
      <c r="B14" s="186">
        <v>-37153</v>
      </c>
      <c r="C14" s="164" t="s">
        <v>3626</v>
      </c>
      <c r="D14" s="176" t="s">
        <v>3625</v>
      </c>
      <c r="E14" s="160"/>
      <c r="F14" s="141"/>
      <c r="G14" s="55"/>
      <c r="M14" s="88"/>
    </row>
    <row r="15" spans="1:19" s="11" customFormat="1" ht="15.75" x14ac:dyDescent="0.25">
      <c r="A15" s="160" t="s">
        <v>3568</v>
      </c>
      <c r="B15" s="186">
        <v>-37153</v>
      </c>
      <c r="C15" s="164" t="s">
        <v>3626</v>
      </c>
      <c r="D15" s="176" t="s">
        <v>3625</v>
      </c>
      <c r="E15" s="160"/>
      <c r="F15" s="141"/>
      <c r="G15" s="55"/>
      <c r="M15" s="88"/>
    </row>
    <row r="16" spans="1:19" s="11" customFormat="1" ht="15.75" x14ac:dyDescent="0.25">
      <c r="A16" s="160" t="s">
        <v>3423</v>
      </c>
      <c r="B16" s="186">
        <v>-37341</v>
      </c>
      <c r="C16" s="164" t="s">
        <v>3626</v>
      </c>
      <c r="D16" s="176" t="s">
        <v>3625</v>
      </c>
      <c r="E16" s="160"/>
      <c r="F16" s="141"/>
      <c r="G16" s="55"/>
      <c r="M16" s="88"/>
    </row>
    <row r="17" spans="1:13" s="11" customFormat="1" ht="15.75" x14ac:dyDescent="0.25">
      <c r="A17" s="160" t="s">
        <v>3569</v>
      </c>
      <c r="B17" s="186">
        <v>-37817</v>
      </c>
      <c r="C17" s="164" t="s">
        <v>3635</v>
      </c>
      <c r="D17" s="176" t="s">
        <v>3630</v>
      </c>
      <c r="E17" s="160"/>
      <c r="F17" s="141"/>
      <c r="G17" s="55"/>
      <c r="M17" s="88"/>
    </row>
    <row r="18" spans="1:13" s="11" customFormat="1" ht="15.75" x14ac:dyDescent="0.25">
      <c r="A18" s="160" t="s">
        <v>3571</v>
      </c>
      <c r="B18" s="186">
        <v>-39221</v>
      </c>
      <c r="C18" s="164" t="s">
        <v>3626</v>
      </c>
      <c r="D18" s="176" t="s">
        <v>3625</v>
      </c>
      <c r="E18" s="160"/>
      <c r="F18" s="141"/>
      <c r="G18" s="55"/>
      <c r="M18" s="88"/>
    </row>
    <row r="19" spans="1:13" s="11" customFormat="1" ht="15.75" x14ac:dyDescent="0.25">
      <c r="A19" s="160" t="s">
        <v>3572</v>
      </c>
      <c r="B19" s="186">
        <v>-41624</v>
      </c>
      <c r="C19" s="164" t="s">
        <v>3626</v>
      </c>
      <c r="D19" s="176" t="s">
        <v>3625</v>
      </c>
      <c r="E19" s="160"/>
      <c r="F19" s="141"/>
      <c r="G19" s="55"/>
      <c r="M19" s="88"/>
    </row>
    <row r="20" spans="1:13" s="11" customFormat="1" ht="15.75" x14ac:dyDescent="0.25">
      <c r="A20" s="160" t="s">
        <v>3574</v>
      </c>
      <c r="B20" s="186">
        <v>-47080</v>
      </c>
      <c r="C20" s="164" t="s">
        <v>3626</v>
      </c>
      <c r="D20" s="176" t="s">
        <v>3625</v>
      </c>
      <c r="E20" s="160"/>
      <c r="F20" s="141"/>
      <c r="G20" s="55"/>
      <c r="M20" s="88"/>
    </row>
    <row r="21" spans="1:13" s="11" customFormat="1" ht="15.75" x14ac:dyDescent="0.25">
      <c r="A21" s="160" t="s">
        <v>3575</v>
      </c>
      <c r="B21" s="186">
        <v>-47108</v>
      </c>
      <c r="C21" s="164" t="s">
        <v>3633</v>
      </c>
      <c r="D21" s="176">
        <v>46094</v>
      </c>
      <c r="E21" s="160"/>
      <c r="F21" s="141"/>
      <c r="G21" s="55"/>
      <c r="M21" s="88"/>
    </row>
    <row r="22" spans="1:13" s="11" customFormat="1" ht="15.75" x14ac:dyDescent="0.25">
      <c r="A22" s="160"/>
      <c r="B22" s="186"/>
      <c r="C22" s="164"/>
      <c r="D22" s="176"/>
      <c r="E22" s="160"/>
      <c r="F22" s="141"/>
      <c r="G22" s="55"/>
      <c r="M22" s="88"/>
    </row>
    <row r="23" spans="1:13" s="11" customFormat="1" ht="15.75" x14ac:dyDescent="0.25">
      <c r="B23" s="25">
        <f>SUM(B9:B22)</f>
        <v>-483338</v>
      </c>
      <c r="C23" s="28"/>
      <c r="D23" s="14"/>
      <c r="E23" s="141"/>
      <c r="F23" s="141" t="s">
        <v>3636</v>
      </c>
      <c r="G23" s="55"/>
    </row>
    <row r="24" spans="1:13" s="11" customFormat="1" ht="16.5" customHeight="1" x14ac:dyDescent="0.25">
      <c r="A24" s="11" t="s">
        <v>2</v>
      </c>
      <c r="B24" s="25"/>
      <c r="C24" s="52" t="s">
        <v>626</v>
      </c>
      <c r="D24" s="177" t="s">
        <v>628</v>
      </c>
      <c r="E24" s="141"/>
      <c r="F24" s="141"/>
      <c r="G24" s="55"/>
    </row>
    <row r="25" spans="1:13" s="11" customFormat="1" ht="16.5" customHeight="1" x14ac:dyDescent="0.25">
      <c r="A25" s="11" t="s">
        <v>3551</v>
      </c>
      <c r="B25" s="188">
        <v>28475.3</v>
      </c>
      <c r="C25" s="13">
        <v>46106</v>
      </c>
      <c r="D25" s="86">
        <v>46115</v>
      </c>
      <c r="E25" s="141"/>
      <c r="F25" s="141"/>
      <c r="G25" s="55"/>
    </row>
    <row r="26" spans="1:13" s="11" customFormat="1" ht="16.5" customHeight="1" x14ac:dyDescent="0.25">
      <c r="A26" s="11" t="s">
        <v>3552</v>
      </c>
      <c r="B26" s="188">
        <v>28722</v>
      </c>
      <c r="C26" s="13" t="s">
        <v>3625</v>
      </c>
      <c r="D26" s="86" t="s">
        <v>3626</v>
      </c>
      <c r="E26" s="141"/>
      <c r="F26" s="141"/>
      <c r="G26" s="55"/>
    </row>
    <row r="27" spans="1:13" s="11" customFormat="1" ht="16.5" customHeight="1" x14ac:dyDescent="0.25">
      <c r="A27" s="11" t="s">
        <v>3553</v>
      </c>
      <c r="B27" s="188">
        <v>29134</v>
      </c>
      <c r="C27" s="13" t="s">
        <v>3625</v>
      </c>
      <c r="D27" s="86" t="s">
        <v>3631</v>
      </c>
      <c r="E27" s="141"/>
      <c r="F27" s="141"/>
      <c r="G27" s="55"/>
    </row>
    <row r="28" spans="1:13" s="11" customFormat="1" ht="16.5" customHeight="1" x14ac:dyDescent="0.25">
      <c r="A28" s="11" t="s">
        <v>3554</v>
      </c>
      <c r="B28" s="188">
        <v>29851.3</v>
      </c>
      <c r="C28" s="13">
        <v>46094</v>
      </c>
      <c r="D28" s="86">
        <v>46113</v>
      </c>
      <c r="E28" s="141"/>
      <c r="F28" s="141"/>
      <c r="G28" s="55"/>
    </row>
    <row r="29" spans="1:13" s="11" customFormat="1" ht="16.5" customHeight="1" x14ac:dyDescent="0.25">
      <c r="A29" s="11" t="s">
        <v>3555</v>
      </c>
      <c r="B29" s="188">
        <v>30017.85</v>
      </c>
      <c r="C29" s="13">
        <v>46094</v>
      </c>
      <c r="D29" s="86">
        <v>46113</v>
      </c>
      <c r="E29" s="141"/>
      <c r="F29" s="141"/>
      <c r="G29" s="55"/>
    </row>
    <row r="30" spans="1:13" s="11" customFormat="1" ht="16.5" customHeight="1" x14ac:dyDescent="0.25">
      <c r="A30" s="11" t="s">
        <v>3556</v>
      </c>
      <c r="B30" s="188">
        <v>30516</v>
      </c>
      <c r="C30" s="13">
        <v>46094</v>
      </c>
      <c r="D30" s="86" t="s">
        <v>3632</v>
      </c>
      <c r="E30" s="141"/>
      <c r="F30" s="141"/>
      <c r="G30" s="55"/>
      <c r="L30" s="11" t="s">
        <v>1437</v>
      </c>
    </row>
    <row r="31" spans="1:13" s="11" customFormat="1" ht="16.5" customHeight="1" x14ac:dyDescent="0.25">
      <c r="A31" s="11" t="s">
        <v>3558</v>
      </c>
      <c r="B31" s="188">
        <v>30937</v>
      </c>
      <c r="C31" s="13" t="s">
        <v>3625</v>
      </c>
      <c r="D31" s="86" t="s">
        <v>3626</v>
      </c>
      <c r="E31" s="141"/>
      <c r="F31" s="141"/>
      <c r="G31" s="55"/>
      <c r="L31" s="11" t="s">
        <v>1438</v>
      </c>
    </row>
    <row r="32" spans="1:13" s="11" customFormat="1" ht="16.5" customHeight="1" x14ac:dyDescent="0.25">
      <c r="A32" s="11" t="s">
        <v>3559</v>
      </c>
      <c r="B32" s="188">
        <v>32549.18</v>
      </c>
      <c r="C32" s="13">
        <v>46094</v>
      </c>
      <c r="D32" s="86">
        <v>46114</v>
      </c>
      <c r="E32" s="141"/>
      <c r="F32" s="141"/>
      <c r="G32" s="55"/>
      <c r="L32" s="11" t="s">
        <v>1439</v>
      </c>
    </row>
    <row r="33" spans="1:12" s="11" customFormat="1" ht="16.5" customHeight="1" x14ac:dyDescent="0.25">
      <c r="A33" s="11" t="s">
        <v>3561</v>
      </c>
      <c r="B33" s="188">
        <v>34190</v>
      </c>
      <c r="C33" s="13" t="s">
        <v>3625</v>
      </c>
      <c r="D33" s="86" t="s">
        <v>3626</v>
      </c>
      <c r="E33" s="141"/>
      <c r="F33" s="141"/>
      <c r="G33" s="55"/>
      <c r="L33" s="11" t="s">
        <v>1440</v>
      </c>
    </row>
    <row r="34" spans="1:12" s="11" customFormat="1" ht="16.5" customHeight="1" x14ac:dyDescent="0.25">
      <c r="A34" s="11" t="s">
        <v>3562</v>
      </c>
      <c r="B34" s="188">
        <v>34513</v>
      </c>
      <c r="C34" s="13" t="s">
        <v>3625</v>
      </c>
      <c r="D34" s="86" t="s">
        <v>3626</v>
      </c>
      <c r="E34" s="141"/>
      <c r="F34" s="141"/>
      <c r="G34" s="55"/>
      <c r="L34" s="11" t="s">
        <v>1441</v>
      </c>
    </row>
    <row r="35" spans="1:12" s="11" customFormat="1" ht="16.5" customHeight="1" x14ac:dyDescent="0.25">
      <c r="A35" s="11" t="s">
        <v>3563</v>
      </c>
      <c r="B35" s="188">
        <v>34513</v>
      </c>
      <c r="C35" s="13" t="s">
        <v>3625</v>
      </c>
      <c r="D35" s="86" t="s">
        <v>3626</v>
      </c>
      <c r="E35" s="141"/>
      <c r="F35" s="141"/>
      <c r="G35" s="55"/>
      <c r="L35" s="11" t="s">
        <v>1442</v>
      </c>
    </row>
    <row r="36" spans="1:12" s="11" customFormat="1" ht="16.5" customHeight="1" x14ac:dyDescent="0.25">
      <c r="A36" s="11" t="s">
        <v>3564</v>
      </c>
      <c r="B36" s="188">
        <v>34954</v>
      </c>
      <c r="C36" s="13" t="s">
        <v>3625</v>
      </c>
      <c r="D36" s="86" t="s">
        <v>3626</v>
      </c>
      <c r="E36" s="141"/>
      <c r="F36" s="141"/>
      <c r="G36" s="55"/>
      <c r="L36" s="11" t="s">
        <v>1443</v>
      </c>
    </row>
    <row r="37" spans="1:12" s="11" customFormat="1" ht="16.5" customHeight="1" x14ac:dyDescent="0.25">
      <c r="A37" s="11" t="s">
        <v>3566</v>
      </c>
      <c r="B37" s="188">
        <v>36774</v>
      </c>
      <c r="C37" s="13" t="s">
        <v>3625</v>
      </c>
      <c r="D37" s="86" t="s">
        <v>3626</v>
      </c>
      <c r="E37" s="141"/>
      <c r="F37" s="141"/>
      <c r="G37" s="55"/>
      <c r="L37" s="11" t="s">
        <v>1444</v>
      </c>
    </row>
    <row r="38" spans="1:12" s="11" customFormat="1" ht="16.5" customHeight="1" x14ac:dyDescent="0.25">
      <c r="A38" s="11" t="s">
        <v>3570</v>
      </c>
      <c r="B38" s="188">
        <v>38806</v>
      </c>
      <c r="C38" s="13" t="s">
        <v>3625</v>
      </c>
      <c r="D38" s="183" t="s">
        <v>3626</v>
      </c>
      <c r="E38" s="141"/>
      <c r="F38" s="141"/>
      <c r="G38" s="55"/>
      <c r="L38" s="11" t="s">
        <v>1445</v>
      </c>
    </row>
    <row r="39" spans="1:12" s="11" customFormat="1" ht="16.5" customHeight="1" x14ac:dyDescent="0.25">
      <c r="A39" s="11" t="s">
        <v>3573</v>
      </c>
      <c r="B39" s="188">
        <v>43264</v>
      </c>
      <c r="C39" s="13" t="s">
        <v>3625</v>
      </c>
      <c r="D39" s="183" t="s">
        <v>3626</v>
      </c>
      <c r="E39" s="141"/>
      <c r="F39" s="141"/>
      <c r="G39" s="55"/>
      <c r="L39" s="11" t="s">
        <v>1446</v>
      </c>
    </row>
    <row r="40" spans="1:12" s="11" customFormat="1" ht="16.5" customHeight="1" x14ac:dyDescent="0.25">
      <c r="A40" s="11" t="s">
        <v>3576</v>
      </c>
      <c r="B40" s="188">
        <v>47434.48</v>
      </c>
      <c r="C40" s="13">
        <v>46106</v>
      </c>
      <c r="D40" s="86">
        <v>46120</v>
      </c>
      <c r="E40" s="141"/>
      <c r="F40" s="141"/>
      <c r="G40" s="55"/>
      <c r="L40" s="11" t="s">
        <v>1447</v>
      </c>
    </row>
    <row r="41" spans="1:12" s="11" customFormat="1" ht="16.5" customHeight="1" x14ac:dyDescent="0.25">
      <c r="A41" s="11" t="s">
        <v>3577</v>
      </c>
      <c r="B41" s="188">
        <v>47434.48</v>
      </c>
      <c r="C41" s="13">
        <v>46108</v>
      </c>
      <c r="D41" s="86">
        <v>46115</v>
      </c>
      <c r="E41" s="141"/>
      <c r="F41" s="141"/>
      <c r="G41" s="55"/>
      <c r="L41" s="11" t="s">
        <v>1448</v>
      </c>
    </row>
    <row r="42" spans="1:12" s="11" customFormat="1" ht="16.5" customHeight="1" x14ac:dyDescent="0.25">
      <c r="A42" s="11" t="s">
        <v>3578</v>
      </c>
      <c r="B42" s="188">
        <v>51095.5</v>
      </c>
      <c r="C42" s="13">
        <v>46108</v>
      </c>
      <c r="D42" s="86">
        <v>46113</v>
      </c>
      <c r="E42" s="141"/>
      <c r="F42" s="141"/>
      <c r="G42" s="55"/>
      <c r="L42" s="11" t="s">
        <v>1449</v>
      </c>
    </row>
    <row r="43" spans="1:12" s="11" customFormat="1" ht="16.5" customHeight="1" x14ac:dyDescent="0.25">
      <c r="A43" s="11" t="s">
        <v>3579</v>
      </c>
      <c r="B43" s="188">
        <v>51095.5</v>
      </c>
      <c r="C43" s="13">
        <v>46108</v>
      </c>
      <c r="D43" s="86">
        <v>46113</v>
      </c>
      <c r="E43" s="141"/>
      <c r="F43" s="141"/>
      <c r="G43" s="55"/>
      <c r="L43" s="11" t="s">
        <v>1450</v>
      </c>
    </row>
    <row r="44" spans="1:12" s="11" customFormat="1" ht="16.5" customHeight="1" x14ac:dyDescent="0.25">
      <c r="A44" s="11" t="s">
        <v>3580</v>
      </c>
      <c r="B44" s="188">
        <v>57966.879999999997</v>
      </c>
      <c r="C44" s="13">
        <v>46085</v>
      </c>
      <c r="D44" s="86">
        <v>46120</v>
      </c>
      <c r="E44" s="141"/>
      <c r="F44" s="141"/>
      <c r="G44" s="55"/>
      <c r="L44" s="11" t="s">
        <v>1451</v>
      </c>
    </row>
    <row r="45" spans="1:12" s="11" customFormat="1" ht="16.5" customHeight="1" x14ac:dyDescent="0.25">
      <c r="A45" s="11" t="s">
        <v>3581</v>
      </c>
      <c r="B45" s="188">
        <v>60204.3</v>
      </c>
      <c r="C45" s="13">
        <v>46098</v>
      </c>
      <c r="D45" s="86">
        <v>46114</v>
      </c>
      <c r="E45" s="141"/>
      <c r="F45" s="141"/>
      <c r="G45" s="55"/>
      <c r="L45" s="11" t="s">
        <v>1452</v>
      </c>
    </row>
    <row r="46" spans="1:12" s="11" customFormat="1" ht="16.5" customHeight="1" x14ac:dyDescent="0.25">
      <c r="A46" s="11" t="s">
        <v>3582</v>
      </c>
      <c r="B46" s="188">
        <v>60662.18</v>
      </c>
      <c r="C46" s="13">
        <v>46106</v>
      </c>
      <c r="D46" s="86">
        <v>46119</v>
      </c>
      <c r="E46" s="141"/>
      <c r="F46" s="141"/>
      <c r="G46" s="55"/>
      <c r="L46" s="11" t="s">
        <v>1453</v>
      </c>
    </row>
    <row r="47" spans="1:12" s="11" customFormat="1" ht="16.5" customHeight="1" x14ac:dyDescent="0.25">
      <c r="A47" s="11" t="s">
        <v>3583</v>
      </c>
      <c r="B47" s="188">
        <v>60939.68</v>
      </c>
      <c r="C47" s="13">
        <v>46092</v>
      </c>
      <c r="D47" s="86">
        <v>46119</v>
      </c>
      <c r="E47" s="141"/>
      <c r="F47" s="141"/>
      <c r="G47" s="55"/>
      <c r="L47" s="11" t="s">
        <v>1436</v>
      </c>
    </row>
    <row r="48" spans="1:12" s="11" customFormat="1" ht="16.5" customHeight="1" x14ac:dyDescent="0.25">
      <c r="A48" s="11" t="s">
        <v>3584</v>
      </c>
      <c r="B48" s="188">
        <v>61073.8</v>
      </c>
      <c r="C48" s="13">
        <v>46106</v>
      </c>
      <c r="D48" s="86">
        <v>46114</v>
      </c>
      <c r="E48" s="141"/>
      <c r="F48" s="141"/>
      <c r="G48" s="55"/>
      <c r="L48" s="11" t="s">
        <v>1454</v>
      </c>
    </row>
    <row r="49" spans="1:12" s="11" customFormat="1" ht="16.5" customHeight="1" x14ac:dyDescent="0.25">
      <c r="A49" s="11" t="s">
        <v>3585</v>
      </c>
      <c r="B49" s="188">
        <v>61397.55</v>
      </c>
      <c r="C49" s="13">
        <v>46098</v>
      </c>
      <c r="D49" s="86">
        <v>46114</v>
      </c>
      <c r="E49" s="141"/>
      <c r="F49" s="141"/>
      <c r="G49" s="55"/>
      <c r="L49" s="11" t="s">
        <v>1455</v>
      </c>
    </row>
    <row r="50" spans="1:12" s="11" customFormat="1" ht="16.5" customHeight="1" x14ac:dyDescent="0.25">
      <c r="A50" s="11" t="s">
        <v>3586</v>
      </c>
      <c r="B50" s="188">
        <v>61397.55</v>
      </c>
      <c r="C50" s="13">
        <v>46099</v>
      </c>
      <c r="D50" s="86">
        <v>46122</v>
      </c>
      <c r="E50" s="141"/>
      <c r="F50" s="141"/>
      <c r="G50" s="55"/>
      <c r="L50" s="11" t="s">
        <v>1456</v>
      </c>
    </row>
    <row r="51" spans="1:12" s="11" customFormat="1" ht="16.5" customHeight="1" x14ac:dyDescent="0.25">
      <c r="A51" s="11" t="s">
        <v>3587</v>
      </c>
      <c r="B51" s="188">
        <v>62943.88</v>
      </c>
      <c r="C51" s="13">
        <v>46107</v>
      </c>
      <c r="D51" s="86">
        <v>46120</v>
      </c>
      <c r="E51" s="141"/>
      <c r="F51" s="141"/>
      <c r="G51" s="55"/>
      <c r="L51" s="11" t="s">
        <v>1457</v>
      </c>
    </row>
    <row r="52" spans="1:12" s="11" customFormat="1" ht="16.5" customHeight="1" x14ac:dyDescent="0.25">
      <c r="A52" s="11" t="s">
        <v>3588</v>
      </c>
      <c r="B52" s="188">
        <v>62943.88</v>
      </c>
      <c r="C52" s="13">
        <v>46108</v>
      </c>
      <c r="D52" s="86">
        <v>46114</v>
      </c>
      <c r="E52" s="141"/>
      <c r="F52" s="141"/>
      <c r="G52" s="55"/>
      <c r="L52" s="11" t="s">
        <v>2506</v>
      </c>
    </row>
    <row r="53" spans="1:12" s="11" customFormat="1" ht="16.5" customHeight="1" x14ac:dyDescent="0.25">
      <c r="A53" s="11" t="s">
        <v>3589</v>
      </c>
      <c r="B53" s="188">
        <v>64418.23</v>
      </c>
      <c r="C53" s="13">
        <v>46098</v>
      </c>
      <c r="D53" s="83">
        <v>46115</v>
      </c>
      <c r="E53" s="141"/>
      <c r="F53" s="141"/>
      <c r="G53" s="55"/>
      <c r="L53" s="11" t="s">
        <v>1458</v>
      </c>
    </row>
    <row r="54" spans="1:12" s="11" customFormat="1" ht="16.5" customHeight="1" x14ac:dyDescent="0.25">
      <c r="A54" s="11" t="s">
        <v>3590</v>
      </c>
      <c r="B54" s="188">
        <v>65107.35</v>
      </c>
      <c r="C54" s="13">
        <v>46105</v>
      </c>
      <c r="D54" s="86">
        <v>46115</v>
      </c>
      <c r="E54" s="141"/>
      <c r="F54" s="141"/>
      <c r="G54" s="55"/>
      <c r="L54" s="11" t="s">
        <v>3337</v>
      </c>
    </row>
    <row r="55" spans="1:12" s="11" customFormat="1" ht="16.5" customHeight="1" x14ac:dyDescent="0.25">
      <c r="A55" s="11" t="s">
        <v>3591</v>
      </c>
      <c r="B55" s="188">
        <v>65107.35</v>
      </c>
      <c r="C55" s="13">
        <v>46105</v>
      </c>
      <c r="D55" s="86">
        <v>46121</v>
      </c>
      <c r="E55" s="141"/>
      <c r="F55" s="141"/>
      <c r="G55" s="55"/>
      <c r="L55" s="11" t="s">
        <v>1368</v>
      </c>
    </row>
    <row r="56" spans="1:12" s="11" customFormat="1" ht="16.5" customHeight="1" x14ac:dyDescent="0.25">
      <c r="A56" s="11" t="s">
        <v>3592</v>
      </c>
      <c r="B56" s="188">
        <v>65107.35</v>
      </c>
      <c r="C56" s="13">
        <v>46105</v>
      </c>
      <c r="D56" s="86">
        <v>46119</v>
      </c>
      <c r="E56" s="141"/>
      <c r="F56" s="141"/>
      <c r="G56" s="55"/>
      <c r="L56" s="11" t="s">
        <v>1459</v>
      </c>
    </row>
    <row r="57" spans="1:12" s="11" customFormat="1" ht="16.5" customHeight="1" x14ac:dyDescent="0.25">
      <c r="A57" s="11" t="s">
        <v>3593</v>
      </c>
      <c r="B57" s="188">
        <v>65292.35</v>
      </c>
      <c r="C57" s="13">
        <v>46106</v>
      </c>
      <c r="D57" s="86">
        <v>46115</v>
      </c>
      <c r="E57" s="141"/>
      <c r="F57" s="141"/>
      <c r="G57" s="55"/>
      <c r="L57" s="11" t="s">
        <v>1369</v>
      </c>
    </row>
    <row r="58" spans="1:12" s="11" customFormat="1" ht="16.5" customHeight="1" x14ac:dyDescent="0.25">
      <c r="A58" s="11" t="s">
        <v>3594</v>
      </c>
      <c r="B58" s="188">
        <v>65292.35</v>
      </c>
      <c r="C58" s="13">
        <v>46105</v>
      </c>
      <c r="D58" s="86">
        <v>46119</v>
      </c>
      <c r="E58" s="141"/>
      <c r="F58" s="141"/>
      <c r="G58" s="55"/>
      <c r="L58" s="11" t="s">
        <v>1460</v>
      </c>
    </row>
    <row r="59" spans="1:12" s="11" customFormat="1" ht="16.5" customHeight="1" x14ac:dyDescent="0.25">
      <c r="A59" s="11" t="s">
        <v>3595</v>
      </c>
      <c r="B59" s="188">
        <v>65292.35</v>
      </c>
      <c r="C59" s="13">
        <v>46106</v>
      </c>
      <c r="D59" s="86">
        <v>46121</v>
      </c>
      <c r="E59" s="141"/>
      <c r="F59" s="141"/>
      <c r="G59" s="55"/>
    </row>
    <row r="60" spans="1:12" s="11" customFormat="1" ht="16.5" customHeight="1" x14ac:dyDescent="0.25">
      <c r="A60" s="11" t="s">
        <v>3596</v>
      </c>
      <c r="B60" s="188">
        <v>65565.23</v>
      </c>
      <c r="C60" s="13">
        <v>46108</v>
      </c>
      <c r="D60" s="86">
        <v>46121</v>
      </c>
      <c r="E60" s="141"/>
      <c r="F60" s="141"/>
      <c r="G60" s="55"/>
    </row>
    <row r="61" spans="1:12" s="11" customFormat="1" ht="16.5" customHeight="1" x14ac:dyDescent="0.25">
      <c r="A61" s="11" t="s">
        <v>3597</v>
      </c>
      <c r="B61" s="188">
        <v>65565.23</v>
      </c>
      <c r="C61" s="13">
        <v>46105</v>
      </c>
      <c r="D61" s="86">
        <v>46115</v>
      </c>
      <c r="E61" s="141"/>
      <c r="F61" s="141"/>
      <c r="G61" s="55"/>
    </row>
    <row r="62" spans="1:12" s="11" customFormat="1" ht="16.5" customHeight="1" x14ac:dyDescent="0.25">
      <c r="A62" s="11" t="s">
        <v>3598</v>
      </c>
      <c r="B62" s="188">
        <v>65565.23</v>
      </c>
      <c r="C62" s="13">
        <v>46105</v>
      </c>
      <c r="D62" s="86">
        <v>46115</v>
      </c>
      <c r="E62" s="141"/>
      <c r="F62" s="141"/>
      <c r="G62" s="55"/>
    </row>
    <row r="63" spans="1:12" s="11" customFormat="1" ht="16.5" customHeight="1" x14ac:dyDescent="0.25">
      <c r="A63" s="11" t="s">
        <v>3599</v>
      </c>
      <c r="B63" s="188">
        <v>65565.23</v>
      </c>
      <c r="C63" s="13">
        <v>46106</v>
      </c>
      <c r="D63" s="86">
        <v>46114</v>
      </c>
      <c r="E63" s="141"/>
      <c r="F63" s="141"/>
      <c r="G63" s="55"/>
    </row>
    <row r="64" spans="1:12" s="11" customFormat="1" ht="16.5" customHeight="1" x14ac:dyDescent="0.25">
      <c r="A64" s="11" t="s">
        <v>3600</v>
      </c>
      <c r="B64" s="188">
        <v>65565.23</v>
      </c>
      <c r="C64" s="13">
        <v>46104</v>
      </c>
      <c r="D64" s="86">
        <v>46114</v>
      </c>
      <c r="E64" s="141"/>
      <c r="F64" s="141"/>
      <c r="G64" s="55"/>
    </row>
    <row r="65" spans="1:7" s="11" customFormat="1" ht="16.5" customHeight="1" x14ac:dyDescent="0.25">
      <c r="A65" s="11" t="s">
        <v>3601</v>
      </c>
      <c r="B65" s="188">
        <v>65565.23</v>
      </c>
      <c r="C65" s="13">
        <v>46106</v>
      </c>
      <c r="D65" s="86">
        <v>46119</v>
      </c>
      <c r="E65" s="141"/>
      <c r="F65" s="141"/>
      <c r="G65" s="55"/>
    </row>
    <row r="66" spans="1:7" s="11" customFormat="1" ht="16.5" customHeight="1" x14ac:dyDescent="0.25">
      <c r="A66" s="11" t="s">
        <v>3602</v>
      </c>
      <c r="B66" s="188">
        <v>65565.23</v>
      </c>
      <c r="C66" s="13">
        <v>46105</v>
      </c>
      <c r="D66" s="86">
        <v>46115</v>
      </c>
      <c r="E66" s="141"/>
      <c r="F66" s="141"/>
      <c r="G66" s="55"/>
    </row>
    <row r="67" spans="1:7" s="11" customFormat="1" ht="16.5" customHeight="1" x14ac:dyDescent="0.25">
      <c r="A67" s="11" t="s">
        <v>3603</v>
      </c>
      <c r="B67" s="188">
        <v>65565.23</v>
      </c>
      <c r="C67" s="13">
        <v>46104</v>
      </c>
      <c r="D67" s="86">
        <v>46114</v>
      </c>
      <c r="E67" s="141"/>
      <c r="F67" s="141"/>
      <c r="G67" s="55"/>
    </row>
    <row r="68" spans="1:7" s="11" customFormat="1" ht="16.5" customHeight="1" x14ac:dyDescent="0.25">
      <c r="A68" s="11" t="s">
        <v>3604</v>
      </c>
      <c r="B68" s="188">
        <v>71914</v>
      </c>
      <c r="C68" s="13">
        <v>46105</v>
      </c>
      <c r="D68" s="86">
        <v>46119</v>
      </c>
      <c r="E68" s="141"/>
      <c r="F68" s="141"/>
      <c r="G68" s="55"/>
    </row>
    <row r="69" spans="1:7" s="11" customFormat="1" ht="16.5" customHeight="1" x14ac:dyDescent="0.25">
      <c r="A69" s="11" t="s">
        <v>3605</v>
      </c>
      <c r="B69" s="188">
        <v>72371.88</v>
      </c>
      <c r="C69" s="13">
        <v>46101</v>
      </c>
      <c r="D69" s="86">
        <v>46114</v>
      </c>
      <c r="E69" s="141"/>
      <c r="F69" s="141"/>
      <c r="G69" s="55"/>
    </row>
    <row r="70" spans="1:7" s="11" customFormat="1" ht="16.5" customHeight="1" x14ac:dyDescent="0.25">
      <c r="A70" s="11" t="s">
        <v>3606</v>
      </c>
      <c r="B70" s="188">
        <v>72371.88</v>
      </c>
      <c r="C70" s="13">
        <v>46108</v>
      </c>
      <c r="D70" s="86">
        <v>46119</v>
      </c>
      <c r="E70" s="141"/>
      <c r="F70" s="141"/>
      <c r="G70" s="55"/>
    </row>
    <row r="71" spans="1:7" s="11" customFormat="1" ht="16.5" customHeight="1" x14ac:dyDescent="0.25">
      <c r="A71" s="11" t="s">
        <v>3607</v>
      </c>
      <c r="B71" s="188">
        <v>72371.88</v>
      </c>
      <c r="C71" s="13">
        <v>46100</v>
      </c>
      <c r="D71" s="86">
        <v>46114</v>
      </c>
      <c r="E71" s="141"/>
      <c r="F71" s="141"/>
      <c r="G71" s="55"/>
    </row>
    <row r="72" spans="1:7" s="11" customFormat="1" ht="16.5" customHeight="1" x14ac:dyDescent="0.25">
      <c r="A72" s="11" t="s">
        <v>3608</v>
      </c>
      <c r="B72" s="188">
        <v>75852.98</v>
      </c>
      <c r="C72" s="13">
        <v>46112</v>
      </c>
      <c r="D72" s="86">
        <v>46113</v>
      </c>
      <c r="E72" s="141"/>
      <c r="F72" s="141"/>
      <c r="G72" s="55"/>
    </row>
    <row r="73" spans="1:7" s="11" customFormat="1" ht="16.5" customHeight="1" x14ac:dyDescent="0.25">
      <c r="A73" s="11" t="s">
        <v>3609</v>
      </c>
      <c r="B73" s="188">
        <v>76890.600000000006</v>
      </c>
      <c r="C73" s="13">
        <v>46112</v>
      </c>
      <c r="D73" s="86">
        <v>46113</v>
      </c>
      <c r="E73" s="141"/>
      <c r="F73" s="141"/>
      <c r="G73" s="55"/>
    </row>
    <row r="74" spans="1:7" s="11" customFormat="1" ht="16.5" customHeight="1" x14ac:dyDescent="0.25">
      <c r="A74" s="11" t="s">
        <v>3610</v>
      </c>
      <c r="B74" s="188">
        <v>78393.73</v>
      </c>
      <c r="C74" s="13">
        <v>46108</v>
      </c>
      <c r="D74" s="86">
        <v>46113</v>
      </c>
      <c r="E74" s="141"/>
      <c r="F74" s="141"/>
      <c r="G74" s="55"/>
    </row>
    <row r="75" spans="1:7" s="11" customFormat="1" ht="16.5" customHeight="1" x14ac:dyDescent="0.25">
      <c r="A75" s="11" t="s">
        <v>3611</v>
      </c>
      <c r="B75" s="188">
        <v>78851.600000000006</v>
      </c>
      <c r="C75" s="13">
        <v>46111</v>
      </c>
      <c r="D75" s="86">
        <v>46113</v>
      </c>
      <c r="E75" s="141"/>
      <c r="F75" s="141"/>
      <c r="G75" s="55"/>
    </row>
    <row r="76" spans="1:7" s="11" customFormat="1" ht="16.5" customHeight="1" x14ac:dyDescent="0.25">
      <c r="A76" s="11" t="s">
        <v>3612</v>
      </c>
      <c r="B76" s="188">
        <v>78851.600000000006</v>
      </c>
      <c r="C76" s="13">
        <v>46112</v>
      </c>
      <c r="D76" s="86">
        <v>46113</v>
      </c>
      <c r="E76" s="141"/>
      <c r="F76" s="141"/>
      <c r="G76" s="55"/>
    </row>
    <row r="77" spans="1:7" s="11" customFormat="1" ht="16.5" customHeight="1" x14ac:dyDescent="0.25">
      <c r="A77" s="11" t="s">
        <v>3613</v>
      </c>
      <c r="B77" s="188">
        <v>79231.149999999994</v>
      </c>
      <c r="C77" s="13">
        <v>46070</v>
      </c>
      <c r="D77" s="86">
        <v>46120</v>
      </c>
      <c r="E77" s="141"/>
      <c r="F77" s="141"/>
      <c r="G77" s="55"/>
    </row>
    <row r="78" spans="1:7" s="11" customFormat="1" ht="16.5" customHeight="1" x14ac:dyDescent="0.25">
      <c r="A78" s="11" t="s">
        <v>3614</v>
      </c>
      <c r="B78" s="188">
        <v>81119.850000000006</v>
      </c>
      <c r="C78" s="13">
        <v>46107</v>
      </c>
      <c r="D78" s="86">
        <v>46114</v>
      </c>
      <c r="E78" s="141"/>
      <c r="F78" s="141"/>
      <c r="G78" s="55"/>
    </row>
    <row r="79" spans="1:7" s="11" customFormat="1" ht="16.5" customHeight="1" x14ac:dyDescent="0.25">
      <c r="A79" s="11" t="s">
        <v>3615</v>
      </c>
      <c r="B79" s="188">
        <v>81119.850000000006</v>
      </c>
      <c r="C79" s="13">
        <v>46105</v>
      </c>
      <c r="D79" s="86">
        <v>46119</v>
      </c>
      <c r="E79" s="141"/>
      <c r="F79" s="141"/>
      <c r="G79" s="55"/>
    </row>
    <row r="80" spans="1:7" s="11" customFormat="1" ht="16.5" customHeight="1" x14ac:dyDescent="0.25">
      <c r="A80" s="11" t="s">
        <v>3616</v>
      </c>
      <c r="B80" s="188">
        <v>86930.45</v>
      </c>
      <c r="C80" s="13">
        <v>46083</v>
      </c>
      <c r="D80" s="86" t="s">
        <v>3627</v>
      </c>
      <c r="E80" s="141"/>
      <c r="F80" s="141"/>
      <c r="G80" s="55"/>
    </row>
    <row r="81" spans="1:7" s="11" customFormat="1" ht="16.5" customHeight="1" x14ac:dyDescent="0.25">
      <c r="A81" s="11" t="s">
        <v>3617</v>
      </c>
      <c r="B81" s="188">
        <v>87965.5</v>
      </c>
      <c r="C81" s="13">
        <v>46107</v>
      </c>
      <c r="D81" s="86">
        <v>46113</v>
      </c>
      <c r="E81" s="141"/>
      <c r="F81" s="141"/>
      <c r="G81" s="55"/>
    </row>
    <row r="82" spans="1:7" s="11" customFormat="1" ht="16.5" customHeight="1" x14ac:dyDescent="0.25">
      <c r="A82" s="11" t="s">
        <v>3618</v>
      </c>
      <c r="B82" s="188">
        <v>88534.7</v>
      </c>
      <c r="C82" s="13">
        <v>46080</v>
      </c>
      <c r="D82" s="86" t="s">
        <v>3627</v>
      </c>
      <c r="E82" s="141"/>
      <c r="F82" s="141"/>
      <c r="G82" s="55"/>
    </row>
    <row r="83" spans="1:7" s="11" customFormat="1" ht="16.5" customHeight="1" x14ac:dyDescent="0.25">
      <c r="A83" s="11" t="s">
        <v>3619</v>
      </c>
      <c r="B83" s="188">
        <v>88534.7</v>
      </c>
      <c r="C83" s="13">
        <v>46083</v>
      </c>
      <c r="D83" s="86" t="s">
        <v>3628</v>
      </c>
      <c r="E83" s="141"/>
      <c r="F83" s="141"/>
      <c r="G83" s="55"/>
    </row>
    <row r="84" spans="1:7" s="11" customFormat="1" ht="16.5" customHeight="1" x14ac:dyDescent="0.25">
      <c r="A84" s="11" t="s">
        <v>3620</v>
      </c>
      <c r="B84" s="188">
        <v>88534.7</v>
      </c>
      <c r="C84" s="13">
        <v>46083</v>
      </c>
      <c r="D84" s="86" t="s">
        <v>3629</v>
      </c>
      <c r="E84" s="141"/>
      <c r="F84" s="141"/>
      <c r="G84" s="55"/>
    </row>
    <row r="85" spans="1:7" s="11" customFormat="1" ht="16.5" customHeight="1" x14ac:dyDescent="0.25">
      <c r="A85" s="11" t="s">
        <v>3621</v>
      </c>
      <c r="B85" s="188">
        <v>88534.7</v>
      </c>
      <c r="C85" s="13">
        <v>46083</v>
      </c>
      <c r="D85" s="86" t="s">
        <v>3627</v>
      </c>
      <c r="E85" s="141"/>
      <c r="F85" s="141"/>
      <c r="G85" s="55"/>
    </row>
    <row r="86" spans="1:7" s="11" customFormat="1" ht="16.5" customHeight="1" x14ac:dyDescent="0.25">
      <c r="A86" s="11" t="s">
        <v>3622</v>
      </c>
      <c r="B86" s="188">
        <v>89089.7</v>
      </c>
      <c r="C86" s="13">
        <v>46080</v>
      </c>
      <c r="D86" s="86" t="s">
        <v>3627</v>
      </c>
      <c r="E86" s="141"/>
      <c r="F86" s="141"/>
      <c r="G86" s="55"/>
    </row>
    <row r="87" spans="1:7" s="11" customFormat="1" ht="16.5" customHeight="1" x14ac:dyDescent="0.25">
      <c r="A87" s="11" t="s">
        <v>3623</v>
      </c>
      <c r="B87" s="188">
        <v>90923.13</v>
      </c>
      <c r="C87" s="13">
        <v>46107</v>
      </c>
      <c r="D87" s="86">
        <v>46113</v>
      </c>
      <c r="E87" s="141"/>
      <c r="F87" s="141"/>
      <c r="G87" s="55"/>
    </row>
    <row r="88" spans="1:7" s="11" customFormat="1" ht="16.5" customHeight="1" x14ac:dyDescent="0.25">
      <c r="B88" s="188"/>
      <c r="C88" s="171"/>
      <c r="D88" s="183"/>
      <c r="E88" s="141"/>
      <c r="F88" s="141"/>
      <c r="G88" s="55"/>
    </row>
    <row r="89" spans="1:7" s="11" customFormat="1" ht="15.75" x14ac:dyDescent="0.25">
      <c r="B89" s="25">
        <f>SUM(B25:B88)</f>
        <v>3852334.0400000014</v>
      </c>
      <c r="C89" s="189"/>
      <c r="D89" s="189"/>
      <c r="E89" s="141"/>
      <c r="F89" s="141"/>
      <c r="G89" s="55"/>
    </row>
    <row r="90" spans="1:7" s="11" customFormat="1" ht="15.75" x14ac:dyDescent="0.25">
      <c r="A90" s="11" t="s">
        <v>1</v>
      </c>
      <c r="B90" s="17">
        <f>B89+B23</f>
        <v>3368996.0400000014</v>
      </c>
      <c r="E90" s="141"/>
      <c r="F90" s="141"/>
      <c r="G90" s="55"/>
    </row>
    <row r="91" spans="1:7" s="11" customFormat="1" ht="15.75" x14ac:dyDescent="0.25">
      <c r="A91" s="11" t="s">
        <v>0</v>
      </c>
      <c r="B91" s="17">
        <f>B90-B7</f>
        <v>0</v>
      </c>
      <c r="C91" s="189"/>
      <c r="D91" s="189"/>
      <c r="E91" s="141"/>
      <c r="F91" s="141"/>
      <c r="G91" s="55"/>
    </row>
    <row r="92" spans="1:7" s="11" customFormat="1" ht="15.75" x14ac:dyDescent="0.25">
      <c r="D92" s="14"/>
      <c r="E92" s="141"/>
      <c r="F92" s="141"/>
      <c r="G92" s="55"/>
    </row>
    <row r="93" spans="1:7" s="11" customFormat="1" ht="15.75" x14ac:dyDescent="0.25">
      <c r="D93" s="14"/>
      <c r="E93" s="141"/>
      <c r="F93" s="141"/>
      <c r="G93" s="55"/>
    </row>
    <row r="94" spans="1:7" s="11" customFormat="1" ht="15.75" x14ac:dyDescent="0.25">
      <c r="D94" s="14"/>
      <c r="E94" s="141"/>
      <c r="F94" s="141"/>
      <c r="G94" s="55"/>
    </row>
    <row r="95" spans="1:7" s="11" customFormat="1" ht="15.75" x14ac:dyDescent="0.25">
      <c r="D95" s="14"/>
      <c r="E95" s="141"/>
      <c r="F95" s="141"/>
      <c r="G95" s="55"/>
    </row>
    <row r="96" spans="1:7" s="11" customFormat="1" ht="15.75" x14ac:dyDescent="0.25">
      <c r="D96" s="14"/>
      <c r="E96" s="141"/>
      <c r="F96" s="141"/>
      <c r="G96" s="55"/>
    </row>
    <row r="97" spans="1:7" s="11" customFormat="1" ht="15.75" x14ac:dyDescent="0.25">
      <c r="D97" s="14"/>
      <c r="E97" s="141"/>
      <c r="F97" s="141"/>
      <c r="G97" s="55"/>
    </row>
    <row r="98" spans="1:7" s="11" customFormat="1" ht="15.75" x14ac:dyDescent="0.25">
      <c r="D98" s="14"/>
      <c r="E98" s="141"/>
      <c r="F98" s="141"/>
      <c r="G98" s="55"/>
    </row>
    <row r="99" spans="1:7" s="11" customFormat="1" ht="15.75" x14ac:dyDescent="0.25">
      <c r="D99" s="14"/>
      <c r="E99" s="141"/>
      <c r="F99" s="141"/>
      <c r="G99" s="55"/>
    </row>
    <row r="100" spans="1:7" s="11" customFormat="1" ht="15.75" x14ac:dyDescent="0.25">
      <c r="D100" s="14"/>
      <c r="E100" s="141"/>
      <c r="F100" s="141"/>
      <c r="G100" s="55"/>
    </row>
    <row r="101" spans="1:7" s="11" customFormat="1" ht="15.75" x14ac:dyDescent="0.25">
      <c r="D101" s="14"/>
      <c r="E101" s="141"/>
      <c r="F101" s="141"/>
      <c r="G101" s="55"/>
    </row>
    <row r="102" spans="1:7" s="11" customFormat="1" ht="15.75" x14ac:dyDescent="0.25">
      <c r="D102" s="14"/>
      <c r="E102" s="141"/>
      <c r="F102" s="141"/>
      <c r="G102" s="55"/>
    </row>
    <row r="103" spans="1:7" s="11" customFormat="1" ht="15.95" customHeight="1" x14ac:dyDescent="0.25">
      <c r="D103" s="14"/>
      <c r="E103" s="141"/>
      <c r="F103" s="141"/>
    </row>
    <row r="104" spans="1:7" s="11" customFormat="1" ht="15.95" customHeight="1" x14ac:dyDescent="0.25">
      <c r="D104" s="14"/>
      <c r="E104" s="141"/>
      <c r="F104" s="141"/>
    </row>
    <row r="105" spans="1:7" s="11" customFormat="1" ht="15.95" customHeight="1" x14ac:dyDescent="0.25">
      <c r="D105" s="14"/>
      <c r="E105" s="141"/>
      <c r="F105" s="141"/>
    </row>
    <row r="106" spans="1:7" s="11" customFormat="1" ht="15.95" customHeight="1" x14ac:dyDescent="0.25">
      <c r="D106" s="14"/>
      <c r="E106" s="141"/>
      <c r="F106" s="141"/>
    </row>
    <row r="107" spans="1:7" s="11" customFormat="1" ht="15.95" customHeight="1" x14ac:dyDescent="0.25">
      <c r="D107" s="14"/>
      <c r="E107" s="141"/>
      <c r="F107" s="141"/>
    </row>
    <row r="108" spans="1:7" s="11" customFormat="1" ht="15.95" customHeight="1" x14ac:dyDescent="0.25">
      <c r="B108" s="17"/>
      <c r="D108" s="14"/>
      <c r="E108" s="141"/>
      <c r="F108" s="141"/>
    </row>
    <row r="109" spans="1:7" s="11" customFormat="1" ht="15.95" customHeight="1" x14ac:dyDescent="0.25">
      <c r="A109" s="39"/>
      <c r="B109" s="93"/>
      <c r="C109" s="18"/>
      <c r="D109" s="37"/>
      <c r="E109" s="141"/>
      <c r="F109" s="141"/>
    </row>
    <row r="110" spans="1:7" s="11" customFormat="1" ht="15.95" customHeight="1" x14ac:dyDescent="0.3">
      <c r="A110" s="1"/>
      <c r="B110" s="17"/>
      <c r="C110" s="13"/>
      <c r="D110" s="84"/>
      <c r="E110" s="141"/>
      <c r="F110" s="141"/>
    </row>
    <row r="111" spans="1:7" s="11" customFormat="1" ht="15.95" customHeight="1" x14ac:dyDescent="0.3">
      <c r="A111" s="1"/>
      <c r="B111" s="17"/>
      <c r="C111" s="13"/>
      <c r="D111" s="84"/>
      <c r="E111" s="141"/>
      <c r="F111" s="141"/>
    </row>
    <row r="112" spans="1:7" s="11" customFormat="1" ht="15.95" customHeight="1" x14ac:dyDescent="0.3">
      <c r="A112" s="1"/>
      <c r="B112" s="17"/>
      <c r="C112" s="13"/>
      <c r="D112" s="84"/>
      <c r="E112" s="141"/>
      <c r="F112" s="141"/>
    </row>
    <row r="113" spans="1:9" s="11" customFormat="1" ht="15.95" customHeight="1" x14ac:dyDescent="0.25">
      <c r="D113" s="14"/>
      <c r="E113" s="141"/>
      <c r="F113" s="141"/>
    </row>
    <row r="114" spans="1:9" s="11" customFormat="1" ht="15.95" customHeight="1" x14ac:dyDescent="0.25">
      <c r="D114" s="14"/>
      <c r="E114" s="141"/>
      <c r="F114" s="141"/>
    </row>
    <row r="115" spans="1:9" s="11" customFormat="1" ht="15.95" customHeight="1" x14ac:dyDescent="0.25">
      <c r="D115" s="14"/>
      <c r="E115" s="141"/>
      <c r="F115" s="141"/>
    </row>
    <row r="116" spans="1:9" s="11" customFormat="1" ht="15.95" customHeight="1" x14ac:dyDescent="0.25">
      <c r="D116" s="14"/>
      <c r="E116" s="141"/>
      <c r="F116" s="141"/>
    </row>
    <row r="117" spans="1:9" s="11" customFormat="1" ht="15.95" customHeight="1" x14ac:dyDescent="0.25">
      <c r="D117" s="14"/>
      <c r="E117" s="141"/>
      <c r="F117" s="141"/>
    </row>
    <row r="118" spans="1:9" s="11" customFormat="1" ht="15.95" customHeight="1" x14ac:dyDescent="0.25">
      <c r="D118" s="14"/>
      <c r="E118" s="141"/>
      <c r="F118" s="141"/>
      <c r="H118" s="88"/>
    </row>
    <row r="119" spans="1:9" s="11" customFormat="1" ht="15.95" customHeight="1" x14ac:dyDescent="0.25">
      <c r="D119" s="14"/>
      <c r="E119" s="141"/>
      <c r="F119" s="141"/>
      <c r="H119" s="88"/>
    </row>
    <row r="120" spans="1:9" s="11" customFormat="1" ht="15.95" customHeight="1" x14ac:dyDescent="0.25">
      <c r="D120" s="14"/>
      <c r="E120" s="141"/>
      <c r="F120" s="141"/>
      <c r="G120" s="126"/>
      <c r="H120" s="88"/>
    </row>
    <row r="121" spans="1:9" s="11" customFormat="1" ht="15.95" customHeight="1" x14ac:dyDescent="0.25">
      <c r="D121" s="14"/>
      <c r="E121" s="141"/>
      <c r="F121" s="141"/>
      <c r="H121" s="88"/>
    </row>
    <row r="122" spans="1:9" s="11" customFormat="1" ht="20.100000000000001" customHeight="1" x14ac:dyDescent="0.25">
      <c r="D122" s="14"/>
      <c r="E122" s="141"/>
      <c r="F122" s="141"/>
      <c r="H122" s="88"/>
    </row>
    <row r="123" spans="1:9" s="11" customFormat="1" ht="20.100000000000001" customHeight="1" x14ac:dyDescent="0.25">
      <c r="D123" s="14"/>
      <c r="E123" s="141"/>
      <c r="F123" s="141"/>
      <c r="H123" s="88"/>
    </row>
    <row r="124" spans="1:9" s="11" customFormat="1" ht="20.100000000000001" customHeight="1" x14ac:dyDescent="0.25">
      <c r="D124" s="14"/>
      <c r="E124" s="141"/>
      <c r="F124" s="141"/>
      <c r="G124" s="126"/>
      <c r="H124" s="88"/>
    </row>
    <row r="125" spans="1:9" s="11" customFormat="1" ht="20.100000000000001" customHeight="1" x14ac:dyDescent="0.25">
      <c r="D125" s="14"/>
      <c r="E125" s="141"/>
      <c r="F125" s="141"/>
      <c r="H125" s="88"/>
    </row>
    <row r="126" spans="1:9" s="13" customFormat="1" ht="20.100000000000001" customHeight="1" x14ac:dyDescent="0.3">
      <c r="A126" s="1"/>
      <c r="B126" s="17"/>
      <c r="D126" s="84"/>
      <c r="E126" s="141"/>
      <c r="F126" s="141"/>
      <c r="H126" s="88"/>
      <c r="I126" s="11"/>
    </row>
    <row r="127" spans="1:9" s="13" customFormat="1" ht="20.100000000000001" customHeight="1" x14ac:dyDescent="0.3">
      <c r="A127" s="1"/>
      <c r="B127" s="17"/>
      <c r="D127" s="84"/>
      <c r="E127" s="141"/>
      <c r="F127" s="141"/>
      <c r="H127" s="88"/>
      <c r="I127" s="11"/>
    </row>
    <row r="128" spans="1:9" s="13" customFormat="1" ht="20.100000000000001" customHeight="1" x14ac:dyDescent="0.3">
      <c r="A128" s="1"/>
      <c r="B128" s="17"/>
      <c r="D128" s="84"/>
      <c r="E128" s="141"/>
      <c r="F128" s="141"/>
      <c r="H128" s="88"/>
      <c r="I128" s="11"/>
    </row>
    <row r="129" spans="1:19" s="90" customFormat="1" ht="20.100000000000001" customHeight="1" x14ac:dyDescent="0.3">
      <c r="A129" s="1"/>
      <c r="B129" s="17"/>
      <c r="C129" s="13"/>
      <c r="D129" s="178"/>
      <c r="E129" s="141"/>
      <c r="F129" s="141"/>
      <c r="G129" s="1"/>
      <c r="I129" s="1"/>
      <c r="J129" s="1"/>
      <c r="K129" s="1"/>
      <c r="M129" s="1"/>
      <c r="N129" s="1"/>
      <c r="O129" s="1"/>
      <c r="P129" s="1"/>
      <c r="Q129" s="1"/>
      <c r="R129" s="1"/>
      <c r="S129" s="1"/>
    </row>
    <row r="130" spans="1:19" s="90" customFormat="1" ht="20.100000000000001" customHeight="1" x14ac:dyDescent="0.3">
      <c r="A130" s="1"/>
      <c r="B130" s="17"/>
      <c r="C130" s="13"/>
      <c r="D130" s="178"/>
      <c r="E130" s="141"/>
      <c r="F130" s="141"/>
      <c r="G130" s="1"/>
      <c r="I130" s="1"/>
      <c r="J130" s="1"/>
      <c r="K130" s="1"/>
      <c r="M130" s="1"/>
      <c r="N130" s="1"/>
      <c r="O130" s="1"/>
      <c r="P130" s="1"/>
      <c r="Q130" s="1"/>
      <c r="R130" s="1"/>
      <c r="S130" s="1"/>
    </row>
    <row r="131" spans="1:19" s="90" customFormat="1" ht="20.100000000000001" customHeight="1" x14ac:dyDescent="0.3">
      <c r="A131" s="1"/>
      <c r="B131" s="17"/>
      <c r="C131" s="13"/>
      <c r="D131" s="178"/>
      <c r="E131" s="141"/>
      <c r="F131" s="141"/>
      <c r="G131" s="1"/>
      <c r="I131" s="1"/>
      <c r="J131" s="1"/>
      <c r="K131" s="1"/>
      <c r="L131" s="11"/>
      <c r="M131" s="1"/>
      <c r="N131" s="1"/>
      <c r="O131" s="1"/>
      <c r="P131" s="1"/>
      <c r="Q131" s="1"/>
      <c r="R131" s="1"/>
      <c r="S131" s="1"/>
    </row>
    <row r="132" spans="1:19" s="90" customFormat="1" ht="20.100000000000001" customHeight="1" x14ac:dyDescent="0.3">
      <c r="A132" s="1"/>
      <c r="B132" s="17"/>
      <c r="C132" s="13"/>
      <c r="D132" s="178"/>
      <c r="E132" s="141"/>
      <c r="F132" s="141"/>
      <c r="G132" s="11"/>
      <c r="I132" s="1"/>
      <c r="J132" s="1"/>
      <c r="K132" s="1"/>
      <c r="L132" s="11"/>
      <c r="M132" s="1"/>
      <c r="N132" s="1"/>
      <c r="O132" s="1"/>
      <c r="P132" s="1"/>
      <c r="Q132" s="1"/>
      <c r="R132" s="1"/>
      <c r="S132" s="1"/>
    </row>
    <row r="133" spans="1:19" x14ac:dyDescent="0.3">
      <c r="L133" s="11"/>
    </row>
    <row r="134" spans="1:19" x14ac:dyDescent="0.3">
      <c r="L134" s="11"/>
    </row>
    <row r="135" spans="1:19" x14ac:dyDescent="0.3">
      <c r="L135" s="11"/>
    </row>
    <row r="136" spans="1:19" x14ac:dyDescent="0.3">
      <c r="L136" s="11"/>
    </row>
    <row r="137" spans="1:19" x14ac:dyDescent="0.3">
      <c r="L137" s="11"/>
    </row>
    <row r="138" spans="1:19" x14ac:dyDescent="0.3">
      <c r="L138" s="11"/>
    </row>
    <row r="139" spans="1:19" x14ac:dyDescent="0.3">
      <c r="L139" s="11"/>
    </row>
    <row r="140" spans="1:19" x14ac:dyDescent="0.3">
      <c r="L140" s="11"/>
    </row>
  </sheetData>
  <mergeCells count="2">
    <mergeCell ref="C89:D89"/>
    <mergeCell ref="C91:D91"/>
  </mergeCells>
  <pageMargins left="0.7" right="0.7" top="0.75" bottom="0.75" header="0.3" footer="0.3"/>
  <pageSetup scale="72" fitToHeight="0" orientation="portrait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8F14C-3557-4847-9F8F-83CF1E6A9BAA}">
  <sheetPr>
    <pageSetUpPr fitToPage="1"/>
  </sheetPr>
  <dimension ref="A1:S209"/>
  <sheetViews>
    <sheetView tabSelected="1" topLeftCell="A51" zoomScale="85" zoomScaleNormal="85" workbookViewId="0">
      <selection activeCell="D79" sqref="D79"/>
    </sheetView>
  </sheetViews>
  <sheetFormatPr defaultRowHeight="18.75" x14ac:dyDescent="0.3"/>
  <cols>
    <col min="1" max="1" width="20.7109375" style="1" customWidth="1"/>
    <col min="2" max="2" width="16.85546875" style="17" customWidth="1"/>
    <col min="3" max="3" width="26.7109375" style="13" customWidth="1"/>
    <col min="4" max="4" width="32.5703125" style="178" bestFit="1" customWidth="1"/>
    <col min="5" max="5" width="9.7109375" style="141" customWidth="1"/>
    <col min="6" max="6" width="16.5703125" style="141" customWidth="1"/>
    <col min="7" max="7" width="35" style="1" bestFit="1" customWidth="1"/>
    <col min="8" max="8" width="5.5703125" style="90" bestFit="1" customWidth="1"/>
    <col min="9" max="11" width="9.140625" style="1"/>
    <col min="12" max="12" width="57.5703125" style="1" bestFit="1" customWidth="1"/>
    <col min="13" max="16384" width="9.140625" style="1"/>
  </cols>
  <sheetData>
    <row r="1" spans="1:19" s="11" customFormat="1" ht="20.100000000000001" customHeight="1" x14ac:dyDescent="0.25">
      <c r="A1" s="11" t="s">
        <v>1203</v>
      </c>
      <c r="B1" s="17"/>
      <c r="C1" s="13"/>
      <c r="D1" s="84"/>
      <c r="E1" s="141"/>
      <c r="H1" s="88"/>
    </row>
    <row r="2" spans="1:19" s="11" customFormat="1" ht="20.100000000000001" customHeight="1" x14ac:dyDescent="0.25">
      <c r="A2" s="14">
        <v>46142</v>
      </c>
      <c r="B2" s="17"/>
      <c r="C2" s="13"/>
      <c r="D2" s="84"/>
      <c r="E2" s="141"/>
      <c r="H2" s="88"/>
    </row>
    <row r="3" spans="1:19" s="11" customFormat="1" ht="20.100000000000001" customHeight="1" x14ac:dyDescent="0.25">
      <c r="A3" s="11" t="s">
        <v>311</v>
      </c>
      <c r="B3" s="17">
        <v>40348201.960000001</v>
      </c>
      <c r="C3" s="13"/>
      <c r="D3" s="84"/>
      <c r="E3" s="141"/>
      <c r="H3" s="88"/>
      <c r="M3" s="89"/>
    </row>
    <row r="4" spans="1:19" s="11" customFormat="1" ht="20.100000000000001" customHeight="1" x14ac:dyDescent="0.25">
      <c r="A4" s="11" t="s">
        <v>6</v>
      </c>
      <c r="B4" s="17"/>
      <c r="C4" s="13"/>
      <c r="D4" s="84"/>
      <c r="E4" s="141"/>
      <c r="H4" s="88"/>
      <c r="M4" s="89"/>
    </row>
    <row r="5" spans="1:19" s="11" customFormat="1" ht="20.100000000000001" customHeight="1" x14ac:dyDescent="0.25">
      <c r="A5" s="11">
        <v>2100</v>
      </c>
      <c r="B5" s="17">
        <v>-35997028.409999996</v>
      </c>
      <c r="C5" s="13"/>
      <c r="D5" s="84"/>
      <c r="E5" s="141"/>
      <c r="H5" s="88"/>
      <c r="M5" s="89"/>
    </row>
    <row r="6" spans="1:19" s="11" customFormat="1" ht="20.100000000000001" customHeight="1" x14ac:dyDescent="0.25">
      <c r="A6" s="11" t="s">
        <v>5</v>
      </c>
      <c r="B6" s="17">
        <f>SUM(B5)</f>
        <v>-35997028.409999996</v>
      </c>
      <c r="C6" s="13"/>
      <c r="D6" s="84"/>
      <c r="E6" s="141"/>
      <c r="H6" s="88"/>
      <c r="M6" s="89"/>
      <c r="O6" s="62"/>
      <c r="P6" s="62"/>
      <c r="Q6" s="62"/>
      <c r="R6" s="62"/>
      <c r="S6" s="62"/>
    </row>
    <row r="7" spans="1:19" s="11" customFormat="1" ht="20.100000000000001" customHeight="1" x14ac:dyDescent="0.25">
      <c r="A7" s="11" t="s">
        <v>4</v>
      </c>
      <c r="B7" s="17">
        <f>B6+B3</f>
        <v>4351173.5500000045</v>
      </c>
      <c r="C7" s="13"/>
      <c r="D7" s="84"/>
      <c r="E7" s="141"/>
      <c r="H7" s="88"/>
      <c r="M7" s="88"/>
    </row>
    <row r="8" spans="1:19" s="11" customFormat="1" ht="15.95" customHeight="1" x14ac:dyDescent="0.25">
      <c r="A8" s="11" t="s">
        <v>3</v>
      </c>
      <c r="B8" s="17"/>
      <c r="C8" s="44" t="s">
        <v>628</v>
      </c>
      <c r="D8" s="175" t="s">
        <v>626</v>
      </c>
      <c r="E8" s="141"/>
      <c r="H8" s="88"/>
      <c r="M8" s="88"/>
    </row>
    <row r="9" spans="1:19" s="11" customFormat="1" ht="15.75" x14ac:dyDescent="0.25">
      <c r="A9" s="160" t="s">
        <v>3637</v>
      </c>
      <c r="B9" s="186">
        <v>-28891</v>
      </c>
      <c r="C9" s="164" t="s">
        <v>3694</v>
      </c>
      <c r="D9" s="176" t="s">
        <v>2181</v>
      </c>
      <c r="E9" s="160"/>
      <c r="F9" s="141"/>
      <c r="G9" s="55"/>
      <c r="M9" s="88"/>
    </row>
    <row r="10" spans="1:19" s="11" customFormat="1" ht="15.75" x14ac:dyDescent="0.25">
      <c r="A10" s="160" t="s">
        <v>3638</v>
      </c>
      <c r="B10" s="186">
        <v>-30604</v>
      </c>
      <c r="C10" s="164">
        <v>46142</v>
      </c>
      <c r="D10" s="176">
        <v>46143</v>
      </c>
      <c r="E10" s="160"/>
      <c r="F10" s="141"/>
      <c r="G10" s="55"/>
      <c r="M10" s="88"/>
    </row>
    <row r="11" spans="1:19" s="11" customFormat="1" ht="15.75" x14ac:dyDescent="0.25">
      <c r="A11" s="160" t="s">
        <v>3639</v>
      </c>
      <c r="B11" s="186">
        <v>-31210</v>
      </c>
      <c r="C11" s="164" t="s">
        <v>3694</v>
      </c>
      <c r="D11" s="176" t="s">
        <v>2181</v>
      </c>
      <c r="E11" s="160"/>
      <c r="F11" s="141"/>
      <c r="G11" s="55"/>
      <c r="M11" s="88"/>
    </row>
    <row r="12" spans="1:19" s="11" customFormat="1" ht="15.75" x14ac:dyDescent="0.25">
      <c r="A12" s="160" t="s">
        <v>3640</v>
      </c>
      <c r="B12" s="186">
        <v>-32164.77</v>
      </c>
      <c r="C12" s="190" t="s">
        <v>3765</v>
      </c>
      <c r="D12" s="190"/>
      <c r="E12" s="160"/>
      <c r="F12" s="141"/>
      <c r="G12" s="55"/>
      <c r="M12" s="88"/>
    </row>
    <row r="13" spans="1:19" s="11" customFormat="1" ht="15.75" x14ac:dyDescent="0.25">
      <c r="A13" s="160" t="s">
        <v>3641</v>
      </c>
      <c r="B13" s="186">
        <v>-33592</v>
      </c>
      <c r="C13" s="164">
        <v>46142</v>
      </c>
      <c r="D13" s="176">
        <v>46143</v>
      </c>
      <c r="E13" s="160"/>
      <c r="F13" s="141"/>
      <c r="G13" s="55"/>
      <c r="M13" s="88"/>
    </row>
    <row r="14" spans="1:19" s="11" customFormat="1" ht="15.75" x14ac:dyDescent="0.25">
      <c r="A14" s="160" t="s">
        <v>3642</v>
      </c>
      <c r="B14" s="186">
        <v>-34181</v>
      </c>
      <c r="C14" s="164">
        <v>46142</v>
      </c>
      <c r="D14" s="176">
        <v>46143</v>
      </c>
      <c r="E14" s="160"/>
      <c r="F14" s="141"/>
      <c r="G14" s="55"/>
      <c r="M14" s="88"/>
    </row>
    <row r="15" spans="1:19" s="11" customFormat="1" ht="15.75" x14ac:dyDescent="0.25">
      <c r="A15" s="160" t="s">
        <v>3643</v>
      </c>
      <c r="B15" s="186">
        <v>-34184</v>
      </c>
      <c r="C15" s="164" t="s">
        <v>3694</v>
      </c>
      <c r="D15" s="176" t="s">
        <v>2181</v>
      </c>
      <c r="E15" s="160"/>
      <c r="F15" s="141"/>
      <c r="G15" s="55"/>
      <c r="M15" s="88"/>
    </row>
    <row r="16" spans="1:19" s="11" customFormat="1" ht="15.75" x14ac:dyDescent="0.25">
      <c r="A16" s="160" t="s">
        <v>3644</v>
      </c>
      <c r="B16" s="186">
        <v>-34220</v>
      </c>
      <c r="C16" s="164">
        <v>46142</v>
      </c>
      <c r="D16" s="176">
        <v>46146</v>
      </c>
      <c r="E16" s="160"/>
      <c r="F16" s="141"/>
      <c r="G16" s="55"/>
      <c r="M16" s="88"/>
    </row>
    <row r="17" spans="1:13" s="11" customFormat="1" ht="15.75" x14ac:dyDescent="0.25">
      <c r="A17" s="160" t="s">
        <v>3645</v>
      </c>
      <c r="B17" s="186">
        <v>-36531</v>
      </c>
      <c r="C17" s="164">
        <v>46142</v>
      </c>
      <c r="D17" s="176">
        <v>46143</v>
      </c>
      <c r="E17" s="160"/>
      <c r="F17" s="141"/>
      <c r="G17" s="55"/>
      <c r="M17" s="88"/>
    </row>
    <row r="18" spans="1:13" s="11" customFormat="1" ht="15.75" x14ac:dyDescent="0.25">
      <c r="A18" s="160" t="s">
        <v>3646</v>
      </c>
      <c r="B18" s="186">
        <v>-36725</v>
      </c>
      <c r="C18" s="164">
        <v>46142</v>
      </c>
      <c r="D18" s="176">
        <v>46143</v>
      </c>
      <c r="E18" s="160"/>
      <c r="F18" s="141"/>
      <c r="G18" s="55"/>
      <c r="M18" s="88"/>
    </row>
    <row r="19" spans="1:13" s="11" customFormat="1" ht="15.75" x14ac:dyDescent="0.25">
      <c r="A19" s="160" t="s">
        <v>3647</v>
      </c>
      <c r="B19" s="186">
        <v>-37084</v>
      </c>
      <c r="C19" s="164">
        <v>46142</v>
      </c>
      <c r="D19" s="176">
        <v>46143</v>
      </c>
      <c r="E19" s="160"/>
      <c r="F19" s="141"/>
      <c r="G19" s="55"/>
      <c r="M19" s="88"/>
    </row>
    <row r="20" spans="1:13" s="11" customFormat="1" ht="15.75" x14ac:dyDescent="0.25">
      <c r="A20" s="160" t="s">
        <v>3648</v>
      </c>
      <c r="B20" s="186">
        <v>-37084</v>
      </c>
      <c r="C20" s="164">
        <v>46142</v>
      </c>
      <c r="D20" s="176">
        <v>46143</v>
      </c>
      <c r="E20" s="160"/>
      <c r="F20" s="141"/>
      <c r="G20" s="55"/>
      <c r="M20" s="88"/>
    </row>
    <row r="21" spans="1:13" s="11" customFormat="1" ht="15.75" x14ac:dyDescent="0.25">
      <c r="A21" s="160" t="s">
        <v>3649</v>
      </c>
      <c r="B21" s="186">
        <v>-37153</v>
      </c>
      <c r="C21" s="164" t="s">
        <v>3694</v>
      </c>
      <c r="D21" s="176" t="s">
        <v>2181</v>
      </c>
      <c r="E21" s="160"/>
      <c r="F21" s="141"/>
      <c r="G21" s="55"/>
      <c r="M21" s="88"/>
    </row>
    <row r="22" spans="1:13" s="11" customFormat="1" ht="15.75" x14ac:dyDescent="0.25">
      <c r="A22" s="160" t="s">
        <v>3650</v>
      </c>
      <c r="B22" s="186">
        <v>-37153</v>
      </c>
      <c r="C22" s="164" t="s">
        <v>3694</v>
      </c>
      <c r="D22" s="176" t="s">
        <v>2181</v>
      </c>
      <c r="E22" s="160"/>
      <c r="F22" s="141"/>
      <c r="G22" s="55"/>
      <c r="M22" s="88"/>
    </row>
    <row r="23" spans="1:13" s="11" customFormat="1" ht="15.75" x14ac:dyDescent="0.25">
      <c r="A23" s="160" t="s">
        <v>3452</v>
      </c>
      <c r="B23" s="186">
        <v>-37153</v>
      </c>
      <c r="C23" s="164" t="s">
        <v>3694</v>
      </c>
      <c r="D23" s="176" t="s">
        <v>2181</v>
      </c>
      <c r="E23" s="160"/>
      <c r="F23" s="141"/>
      <c r="G23" s="55"/>
      <c r="M23" s="88"/>
    </row>
    <row r="24" spans="1:13" s="11" customFormat="1" ht="15.75" x14ac:dyDescent="0.25">
      <c r="A24" s="160" t="s">
        <v>3651</v>
      </c>
      <c r="B24" s="186">
        <v>-38147</v>
      </c>
      <c r="C24" s="164">
        <v>46142</v>
      </c>
      <c r="D24" s="176">
        <v>46146</v>
      </c>
      <c r="E24" s="160"/>
      <c r="F24" s="141"/>
      <c r="G24" s="55"/>
      <c r="M24" s="88"/>
    </row>
    <row r="25" spans="1:13" s="11" customFormat="1" ht="15.75" x14ac:dyDescent="0.25">
      <c r="A25" s="160" t="s">
        <v>3652</v>
      </c>
      <c r="B25" s="186">
        <v>-39082</v>
      </c>
      <c r="C25" s="164">
        <v>46142</v>
      </c>
      <c r="D25" s="176">
        <v>46146</v>
      </c>
      <c r="E25" s="160"/>
      <c r="F25" s="141"/>
      <c r="G25" s="55"/>
      <c r="M25" s="88"/>
    </row>
    <row r="26" spans="1:13" s="11" customFormat="1" ht="15.75" x14ac:dyDescent="0.25">
      <c r="A26" s="160" t="s">
        <v>3653</v>
      </c>
      <c r="B26" s="186">
        <v>-40024</v>
      </c>
      <c r="C26" s="164">
        <v>46142</v>
      </c>
      <c r="D26" s="176">
        <v>46143</v>
      </c>
      <c r="E26" s="160"/>
      <c r="F26" s="141"/>
      <c r="G26" s="55"/>
      <c r="M26" s="88"/>
    </row>
    <row r="27" spans="1:13" s="11" customFormat="1" ht="15.75" x14ac:dyDescent="0.25">
      <c r="A27" s="160" t="s">
        <v>3654</v>
      </c>
      <c r="B27" s="186">
        <v>-40153</v>
      </c>
      <c r="C27" s="164">
        <v>46142</v>
      </c>
      <c r="D27" s="176">
        <v>46146</v>
      </c>
      <c r="E27" s="160"/>
      <c r="F27" s="141"/>
      <c r="G27" s="55"/>
      <c r="M27" s="88"/>
    </row>
    <row r="28" spans="1:13" s="11" customFormat="1" ht="15.75" x14ac:dyDescent="0.25">
      <c r="A28" s="160" t="s">
        <v>3655</v>
      </c>
      <c r="B28" s="186">
        <v>-42992.75</v>
      </c>
      <c r="C28" s="164">
        <v>46140</v>
      </c>
      <c r="D28" s="176">
        <v>46160</v>
      </c>
      <c r="E28" s="160"/>
      <c r="F28" s="141"/>
      <c r="G28" s="55"/>
      <c r="M28" s="88"/>
    </row>
    <row r="29" spans="1:13" s="11" customFormat="1" ht="15.75" x14ac:dyDescent="0.25">
      <c r="A29" s="160" t="s">
        <v>3656</v>
      </c>
      <c r="B29" s="186">
        <v>-43450.63</v>
      </c>
      <c r="C29" s="164">
        <v>46140</v>
      </c>
      <c r="D29" s="176">
        <v>46160</v>
      </c>
      <c r="E29" s="160"/>
      <c r="F29" s="141"/>
      <c r="G29" s="55"/>
      <c r="M29" s="88"/>
    </row>
    <row r="30" spans="1:13" s="11" customFormat="1" ht="15.75" x14ac:dyDescent="0.25">
      <c r="A30" s="160" t="s">
        <v>3657</v>
      </c>
      <c r="B30" s="186">
        <v>-43749</v>
      </c>
      <c r="C30" s="164" t="s">
        <v>3694</v>
      </c>
      <c r="D30" s="176" t="s">
        <v>2181</v>
      </c>
      <c r="E30" s="160"/>
      <c r="F30" s="141"/>
      <c r="G30" s="55"/>
      <c r="M30" s="88"/>
    </row>
    <row r="31" spans="1:13" s="11" customFormat="1" ht="15.75" x14ac:dyDescent="0.25">
      <c r="A31" s="160" t="s">
        <v>3658</v>
      </c>
      <c r="B31" s="186">
        <v>-43761</v>
      </c>
      <c r="C31" s="164">
        <v>46142</v>
      </c>
      <c r="D31" s="176">
        <v>46143</v>
      </c>
      <c r="E31" s="160"/>
      <c r="F31" s="141"/>
      <c r="G31" s="55"/>
      <c r="M31" s="88"/>
    </row>
    <row r="32" spans="1:13" s="11" customFormat="1" ht="15.75" x14ac:dyDescent="0.25">
      <c r="A32" s="160" t="s">
        <v>3659</v>
      </c>
      <c r="B32" s="186">
        <v>-43761</v>
      </c>
      <c r="C32" s="164">
        <v>46142</v>
      </c>
      <c r="D32" s="176">
        <v>46146</v>
      </c>
      <c r="E32" s="160"/>
      <c r="F32" s="141"/>
      <c r="G32" s="55"/>
      <c r="M32" s="88"/>
    </row>
    <row r="33" spans="1:13" s="11" customFormat="1" ht="15.75" x14ac:dyDescent="0.25">
      <c r="A33" s="160" t="s">
        <v>3660</v>
      </c>
      <c r="B33" s="186">
        <v>-44166.5</v>
      </c>
      <c r="C33" s="164">
        <v>46140</v>
      </c>
      <c r="D33" s="176">
        <v>46160</v>
      </c>
      <c r="E33" s="160"/>
      <c r="F33" s="141"/>
      <c r="G33" s="55"/>
      <c r="M33" s="88"/>
    </row>
    <row r="34" spans="1:13" s="11" customFormat="1" ht="15.75" x14ac:dyDescent="0.25">
      <c r="A34" s="160" t="s">
        <v>3661</v>
      </c>
      <c r="B34" s="186">
        <v>-44624.38</v>
      </c>
      <c r="C34" s="164">
        <v>46140</v>
      </c>
      <c r="D34" s="176">
        <v>46160</v>
      </c>
      <c r="E34" s="160"/>
      <c r="F34" s="141"/>
      <c r="G34" s="55"/>
      <c r="M34" s="88"/>
    </row>
    <row r="35" spans="1:13" s="11" customFormat="1" ht="15.75" x14ac:dyDescent="0.25">
      <c r="A35" s="160" t="s">
        <v>3662</v>
      </c>
      <c r="B35" s="186">
        <v>-44624.38</v>
      </c>
      <c r="C35" s="164">
        <v>46140</v>
      </c>
      <c r="D35" s="176">
        <v>46160</v>
      </c>
      <c r="E35" s="160"/>
      <c r="F35" s="141"/>
      <c r="G35" s="55"/>
      <c r="M35" s="88"/>
    </row>
    <row r="36" spans="1:13" s="11" customFormat="1" ht="15.75" x14ac:dyDescent="0.25">
      <c r="A36" s="160" t="s">
        <v>3663</v>
      </c>
      <c r="B36" s="186">
        <v>-45179.38</v>
      </c>
      <c r="C36" s="164">
        <v>46140</v>
      </c>
      <c r="D36" s="176">
        <v>46160</v>
      </c>
      <c r="E36" s="160"/>
      <c r="F36" s="141"/>
      <c r="G36" s="55"/>
      <c r="M36" s="88"/>
    </row>
    <row r="37" spans="1:13" s="11" customFormat="1" ht="15.75" x14ac:dyDescent="0.25">
      <c r="A37" s="160" t="s">
        <v>3664</v>
      </c>
      <c r="B37" s="186">
        <v>-47958</v>
      </c>
      <c r="C37" s="164">
        <v>46142</v>
      </c>
      <c r="D37" s="176">
        <v>46146</v>
      </c>
      <c r="E37" s="160"/>
      <c r="F37" s="141"/>
      <c r="G37" s="55"/>
      <c r="M37" s="88"/>
    </row>
    <row r="38" spans="1:13" s="11" customFormat="1" ht="15.75" x14ac:dyDescent="0.25">
      <c r="A38" s="160" t="s">
        <v>3665</v>
      </c>
      <c r="B38" s="186">
        <v>-47958</v>
      </c>
      <c r="C38" s="164">
        <v>46142</v>
      </c>
      <c r="D38" s="176">
        <v>46146</v>
      </c>
      <c r="E38" s="160"/>
      <c r="F38" s="141"/>
      <c r="G38" s="55"/>
      <c r="M38" s="88"/>
    </row>
    <row r="39" spans="1:13" s="11" customFormat="1" ht="15.75" x14ac:dyDescent="0.25">
      <c r="A39" s="160" t="s">
        <v>3666</v>
      </c>
      <c r="B39" s="186">
        <v>-47958</v>
      </c>
      <c r="C39" s="164">
        <v>46142</v>
      </c>
      <c r="D39" s="176">
        <v>46146</v>
      </c>
      <c r="E39" s="160"/>
      <c r="F39" s="141"/>
      <c r="G39" s="55"/>
      <c r="M39" s="88"/>
    </row>
    <row r="40" spans="1:13" s="11" customFormat="1" ht="15.75" x14ac:dyDescent="0.25">
      <c r="A40" s="160" t="s">
        <v>3667</v>
      </c>
      <c r="B40" s="186">
        <v>-48066</v>
      </c>
      <c r="C40" s="164" t="s">
        <v>3694</v>
      </c>
      <c r="D40" s="176" t="s">
        <v>2181</v>
      </c>
      <c r="E40" s="160"/>
      <c r="F40" s="141"/>
      <c r="G40" s="55"/>
      <c r="M40" s="88"/>
    </row>
    <row r="41" spans="1:13" s="11" customFormat="1" ht="15.75" x14ac:dyDescent="0.25">
      <c r="A41" s="160" t="s">
        <v>3668</v>
      </c>
      <c r="B41" s="186">
        <v>-50101</v>
      </c>
      <c r="C41" s="164" t="s">
        <v>3694</v>
      </c>
      <c r="D41" s="176" t="s">
        <v>2181</v>
      </c>
      <c r="E41" s="160"/>
      <c r="F41" s="141"/>
      <c r="G41" s="55"/>
      <c r="M41" s="88"/>
    </row>
    <row r="42" spans="1:13" s="11" customFormat="1" ht="15.75" x14ac:dyDescent="0.25">
      <c r="A42" s="160" t="s">
        <v>3669</v>
      </c>
      <c r="B42" s="186">
        <v>-50907</v>
      </c>
      <c r="C42" s="164">
        <v>46142</v>
      </c>
      <c r="D42" s="176">
        <v>46146</v>
      </c>
      <c r="E42" s="160"/>
      <c r="F42" s="141"/>
      <c r="G42" s="55"/>
      <c r="M42" s="88"/>
    </row>
    <row r="43" spans="1:13" s="11" customFormat="1" ht="15.75" x14ac:dyDescent="0.25">
      <c r="A43" s="160" t="s">
        <v>3670</v>
      </c>
      <c r="B43" s="186">
        <v>-51356</v>
      </c>
      <c r="C43" s="164" t="s">
        <v>3694</v>
      </c>
      <c r="D43" s="176" t="s">
        <v>2181</v>
      </c>
      <c r="E43" s="160"/>
      <c r="F43" s="141"/>
      <c r="G43" s="55"/>
      <c r="M43" s="88"/>
    </row>
    <row r="44" spans="1:13" s="11" customFormat="1" ht="15.75" x14ac:dyDescent="0.25">
      <c r="A44" s="160" t="s">
        <v>3672</v>
      </c>
      <c r="B44" s="186">
        <v>-75864.149999999994</v>
      </c>
      <c r="C44" s="164">
        <v>46142</v>
      </c>
      <c r="D44" s="176">
        <v>46143</v>
      </c>
      <c r="E44" s="160"/>
      <c r="F44" s="141"/>
      <c r="G44" s="55"/>
      <c r="M44" s="88"/>
    </row>
    <row r="45" spans="1:13" s="11" customFormat="1" ht="15.75" x14ac:dyDescent="0.25">
      <c r="A45" s="160" t="s">
        <v>3673</v>
      </c>
      <c r="B45" s="186">
        <v>-75864.149999999994</v>
      </c>
      <c r="C45" s="164">
        <v>46142</v>
      </c>
      <c r="D45" s="176">
        <v>46143</v>
      </c>
      <c r="E45" s="160"/>
      <c r="F45" s="141"/>
      <c r="G45" s="55"/>
      <c r="M45" s="88"/>
    </row>
    <row r="46" spans="1:13" s="11" customFormat="1" ht="15.75" x14ac:dyDescent="0.25">
      <c r="A46" s="160" t="s">
        <v>3675</v>
      </c>
      <c r="B46" s="186">
        <v>-121885</v>
      </c>
      <c r="C46" s="172" t="s">
        <v>3765</v>
      </c>
      <c r="D46" s="176"/>
      <c r="E46" s="160"/>
      <c r="F46" s="141"/>
      <c r="G46" s="55"/>
      <c r="M46" s="88"/>
    </row>
    <row r="47" spans="1:13" s="11" customFormat="1" ht="15.75" x14ac:dyDescent="0.25">
      <c r="A47" s="160"/>
      <c r="B47" s="186"/>
      <c r="C47" s="164"/>
      <c r="D47" s="176"/>
      <c r="E47" s="160"/>
      <c r="F47" s="141"/>
      <c r="G47" s="55"/>
      <c r="M47" s="88"/>
    </row>
    <row r="48" spans="1:13" s="11" customFormat="1" ht="15.75" x14ac:dyDescent="0.25">
      <c r="B48" s="25">
        <f>SUM(B9:B47)</f>
        <v>-1689562.0899999999</v>
      </c>
      <c r="C48" s="28"/>
      <c r="D48" s="14"/>
      <c r="E48" s="141"/>
      <c r="F48" s="141" t="s">
        <v>3636</v>
      </c>
      <c r="G48" s="55"/>
    </row>
    <row r="49" spans="1:12" s="11" customFormat="1" ht="16.5" customHeight="1" x14ac:dyDescent="0.25">
      <c r="A49" s="11" t="s">
        <v>2</v>
      </c>
      <c r="B49" s="25"/>
      <c r="C49" s="52" t="s">
        <v>626</v>
      </c>
      <c r="D49" s="177" t="s">
        <v>628</v>
      </c>
      <c r="E49" s="141"/>
      <c r="F49" s="141"/>
      <c r="G49" s="55"/>
    </row>
    <row r="50" spans="1:12" s="11" customFormat="1" ht="16.5" customHeight="1" x14ac:dyDescent="0.25">
      <c r="A50" s="11" t="s">
        <v>3676</v>
      </c>
      <c r="B50" s="188">
        <v>25996.3</v>
      </c>
      <c r="C50" s="13">
        <v>46136</v>
      </c>
      <c r="D50" s="86">
        <v>46143</v>
      </c>
      <c r="E50" s="141"/>
      <c r="F50" s="141"/>
      <c r="G50" s="55"/>
    </row>
    <row r="51" spans="1:12" s="11" customFormat="1" ht="16.5" customHeight="1" x14ac:dyDescent="0.25">
      <c r="A51" s="11" t="s">
        <v>3677</v>
      </c>
      <c r="B51" s="188">
        <v>26454.18</v>
      </c>
      <c r="C51" s="13">
        <v>46136</v>
      </c>
      <c r="D51" s="86">
        <v>46148</v>
      </c>
      <c r="E51" s="141"/>
      <c r="F51" s="141"/>
      <c r="G51" s="55"/>
    </row>
    <row r="52" spans="1:12" s="11" customFormat="1" ht="16.5" customHeight="1" x14ac:dyDescent="0.25">
      <c r="A52" s="11" t="s">
        <v>3678</v>
      </c>
      <c r="B52" s="188">
        <v>26454.18</v>
      </c>
      <c r="C52" s="13">
        <v>46136</v>
      </c>
      <c r="D52" s="86">
        <v>46143</v>
      </c>
      <c r="E52" s="141"/>
      <c r="F52" s="141"/>
      <c r="G52" s="55"/>
    </row>
    <row r="53" spans="1:12" s="11" customFormat="1" ht="16.5" customHeight="1" x14ac:dyDescent="0.25">
      <c r="A53" s="11" t="s">
        <v>3679</v>
      </c>
      <c r="B53" s="188">
        <v>26921</v>
      </c>
      <c r="C53" s="13" t="s">
        <v>2181</v>
      </c>
      <c r="D53" s="86" t="s">
        <v>3694</v>
      </c>
      <c r="E53" s="141"/>
      <c r="F53" s="141"/>
      <c r="G53" s="55"/>
    </row>
    <row r="54" spans="1:12" s="11" customFormat="1" ht="16.5" customHeight="1" x14ac:dyDescent="0.25">
      <c r="A54" s="11" t="s">
        <v>3680</v>
      </c>
      <c r="B54" s="188">
        <v>27464.799999999999</v>
      </c>
      <c r="C54" s="13">
        <v>46141</v>
      </c>
      <c r="D54" s="86">
        <v>46148</v>
      </c>
      <c r="E54" s="141"/>
      <c r="F54" s="141"/>
      <c r="G54" s="55"/>
    </row>
    <row r="55" spans="1:12" s="11" customFormat="1" ht="16.5" customHeight="1" x14ac:dyDescent="0.25">
      <c r="A55" s="11" t="s">
        <v>3681</v>
      </c>
      <c r="B55" s="188">
        <v>27464.799999999999</v>
      </c>
      <c r="C55" s="13">
        <v>46141</v>
      </c>
      <c r="D55" s="86">
        <v>46148</v>
      </c>
      <c r="E55" s="141"/>
      <c r="F55" s="141"/>
      <c r="G55" s="55"/>
      <c r="L55" s="11" t="s">
        <v>1437</v>
      </c>
    </row>
    <row r="56" spans="1:12" s="11" customFormat="1" ht="16.5" customHeight="1" x14ac:dyDescent="0.25">
      <c r="A56" s="11" t="s">
        <v>3682</v>
      </c>
      <c r="B56" s="188">
        <v>27830.18</v>
      </c>
      <c r="C56" s="13">
        <v>46139</v>
      </c>
      <c r="D56" s="86">
        <v>46147</v>
      </c>
      <c r="E56" s="141"/>
      <c r="F56" s="141"/>
      <c r="G56" s="55"/>
      <c r="L56" s="11" t="s">
        <v>1438</v>
      </c>
    </row>
    <row r="57" spans="1:12" s="11" customFormat="1" ht="16.5" customHeight="1" x14ac:dyDescent="0.25">
      <c r="A57" s="11" t="s">
        <v>3769</v>
      </c>
      <c r="B57" s="188">
        <v>27830.18</v>
      </c>
      <c r="C57" s="13">
        <v>46139</v>
      </c>
      <c r="D57" s="86">
        <v>46162</v>
      </c>
      <c r="E57" s="141"/>
      <c r="F57" s="141"/>
      <c r="G57" s="55"/>
      <c r="L57" s="11" t="s">
        <v>1439</v>
      </c>
    </row>
    <row r="58" spans="1:12" s="11" customFormat="1" ht="16.5" customHeight="1" x14ac:dyDescent="0.25">
      <c r="A58" s="11" t="s">
        <v>3683</v>
      </c>
      <c r="B58" s="188">
        <v>27922.68</v>
      </c>
      <c r="C58" s="13">
        <v>46142</v>
      </c>
      <c r="D58" s="86">
        <v>46148</v>
      </c>
      <c r="E58" s="141"/>
      <c r="F58" s="141"/>
      <c r="G58" s="55"/>
      <c r="L58" s="11" t="s">
        <v>1440</v>
      </c>
    </row>
    <row r="59" spans="1:12" s="11" customFormat="1" ht="16.5" customHeight="1" x14ac:dyDescent="0.25">
      <c r="A59" s="11" t="s">
        <v>3684</v>
      </c>
      <c r="B59" s="188">
        <v>27922.68</v>
      </c>
      <c r="C59" s="13">
        <v>46142</v>
      </c>
      <c r="D59" s="86">
        <v>46148</v>
      </c>
      <c r="E59" s="141"/>
      <c r="F59" s="141"/>
      <c r="G59" s="55"/>
      <c r="L59" s="11" t="s">
        <v>1441</v>
      </c>
    </row>
    <row r="60" spans="1:12" s="11" customFormat="1" ht="16.5" customHeight="1" x14ac:dyDescent="0.25">
      <c r="A60" s="11" t="s">
        <v>3685</v>
      </c>
      <c r="B60" s="188">
        <v>28288.05</v>
      </c>
      <c r="C60" s="13">
        <v>46139</v>
      </c>
      <c r="D60" s="86">
        <v>46147</v>
      </c>
      <c r="E60" s="141"/>
      <c r="F60" s="141"/>
      <c r="G60" s="55"/>
      <c r="L60" s="11" t="s">
        <v>1442</v>
      </c>
    </row>
    <row r="61" spans="1:12" s="11" customFormat="1" ht="16.5" customHeight="1" x14ac:dyDescent="0.25">
      <c r="A61" s="11" t="s">
        <v>3686</v>
      </c>
      <c r="B61" s="188">
        <v>28288.05</v>
      </c>
      <c r="C61" s="13">
        <v>46139</v>
      </c>
      <c r="D61" s="86">
        <v>46143</v>
      </c>
      <c r="E61" s="141"/>
      <c r="F61" s="141"/>
      <c r="G61" s="55"/>
      <c r="L61" s="11" t="s">
        <v>1443</v>
      </c>
    </row>
    <row r="62" spans="1:12" s="11" customFormat="1" ht="16.5" customHeight="1" x14ac:dyDescent="0.25">
      <c r="A62" s="11" t="s">
        <v>3687</v>
      </c>
      <c r="B62" s="188">
        <v>28288.05</v>
      </c>
      <c r="C62" s="13">
        <v>46141</v>
      </c>
      <c r="D62" s="86">
        <v>46147</v>
      </c>
      <c r="E62" s="141"/>
      <c r="F62" s="141"/>
      <c r="G62" s="55"/>
      <c r="L62" s="11" t="s">
        <v>1444</v>
      </c>
    </row>
    <row r="63" spans="1:12" s="11" customFormat="1" ht="16.5" customHeight="1" x14ac:dyDescent="0.25">
      <c r="A63" s="11" t="s">
        <v>3688</v>
      </c>
      <c r="B63" s="188">
        <v>28288.05</v>
      </c>
      <c r="C63" s="13">
        <v>46142</v>
      </c>
      <c r="D63" s="183">
        <v>46147</v>
      </c>
      <c r="E63" s="141"/>
      <c r="F63" s="141"/>
      <c r="G63" s="55"/>
      <c r="L63" s="11" t="s">
        <v>1445</v>
      </c>
    </row>
    <row r="64" spans="1:12" s="11" customFormat="1" ht="16.5" customHeight="1" x14ac:dyDescent="0.25">
      <c r="A64" s="11" t="s">
        <v>3689</v>
      </c>
      <c r="B64" s="188">
        <v>28288.05</v>
      </c>
      <c r="C64" s="13">
        <v>46136</v>
      </c>
      <c r="D64" s="183">
        <v>46147</v>
      </c>
      <c r="E64" s="141"/>
      <c r="F64" s="141"/>
      <c r="G64" s="55"/>
      <c r="L64" s="11" t="s">
        <v>1446</v>
      </c>
    </row>
    <row r="65" spans="1:12" s="11" customFormat="1" ht="16.5" customHeight="1" x14ac:dyDescent="0.25">
      <c r="A65" s="11" t="s">
        <v>3690</v>
      </c>
      <c r="B65" s="188">
        <v>28819.98</v>
      </c>
      <c r="C65" s="13">
        <v>46139</v>
      </c>
      <c r="D65" s="86">
        <v>46143</v>
      </c>
      <c r="E65" s="141"/>
      <c r="F65" s="141"/>
      <c r="G65" s="55"/>
      <c r="L65" s="11" t="s">
        <v>1447</v>
      </c>
    </row>
    <row r="66" spans="1:12" s="11" customFormat="1" ht="16.5" customHeight="1" x14ac:dyDescent="0.25">
      <c r="A66" s="11" t="s">
        <v>3691</v>
      </c>
      <c r="B66" s="188">
        <v>28819.98</v>
      </c>
      <c r="C66" s="13">
        <v>46136</v>
      </c>
      <c r="D66" s="86">
        <v>46143</v>
      </c>
      <c r="E66" s="141"/>
      <c r="F66" s="141"/>
      <c r="G66" s="55"/>
      <c r="L66" s="11" t="s">
        <v>1448</v>
      </c>
    </row>
    <row r="67" spans="1:12" s="11" customFormat="1" ht="16.5" customHeight="1" x14ac:dyDescent="0.25">
      <c r="A67" s="11" t="s">
        <v>3692</v>
      </c>
      <c r="B67" s="188">
        <v>29134</v>
      </c>
      <c r="C67" s="13" t="s">
        <v>2181</v>
      </c>
      <c r="D67" s="86" t="s">
        <v>3694</v>
      </c>
      <c r="E67" s="141"/>
      <c r="F67" s="141"/>
      <c r="G67" s="55"/>
      <c r="L67" s="11" t="s">
        <v>1449</v>
      </c>
    </row>
    <row r="68" spans="1:12" s="11" customFormat="1" ht="16.5" customHeight="1" x14ac:dyDescent="0.25">
      <c r="A68" s="11" t="s">
        <v>3693</v>
      </c>
      <c r="B68" s="188">
        <v>29277.85</v>
      </c>
      <c r="C68" s="13">
        <v>46136</v>
      </c>
      <c r="D68" s="86">
        <v>46143</v>
      </c>
      <c r="E68" s="141"/>
      <c r="F68" s="141"/>
      <c r="G68" s="55"/>
      <c r="L68" s="11" t="s">
        <v>1450</v>
      </c>
    </row>
    <row r="69" spans="1:12" s="11" customFormat="1" ht="16.5" customHeight="1" x14ac:dyDescent="0.25">
      <c r="A69" s="11" t="s">
        <v>3695</v>
      </c>
      <c r="B69" s="188">
        <v>29277.85</v>
      </c>
      <c r="C69" s="13">
        <v>46136</v>
      </c>
      <c r="D69" s="86">
        <v>46143</v>
      </c>
      <c r="E69" s="141"/>
      <c r="F69" s="141"/>
      <c r="G69" s="55"/>
      <c r="L69" s="11" t="s">
        <v>1451</v>
      </c>
    </row>
    <row r="70" spans="1:12" s="11" customFormat="1" ht="16.5" customHeight="1" x14ac:dyDescent="0.25">
      <c r="A70" s="11" t="s">
        <v>3696</v>
      </c>
      <c r="B70" s="188">
        <v>29277.85</v>
      </c>
      <c r="C70" s="13">
        <v>46136</v>
      </c>
      <c r="D70" s="86">
        <v>46143</v>
      </c>
      <c r="E70" s="141"/>
      <c r="F70" s="141"/>
      <c r="G70" s="55"/>
      <c r="L70" s="11" t="s">
        <v>1452</v>
      </c>
    </row>
    <row r="71" spans="1:12" s="11" customFormat="1" ht="16.5" customHeight="1" x14ac:dyDescent="0.25">
      <c r="A71" s="11" t="s">
        <v>3697</v>
      </c>
      <c r="B71" s="188">
        <v>29277.85</v>
      </c>
      <c r="C71" s="13">
        <v>46136</v>
      </c>
      <c r="D71" s="86">
        <v>46143</v>
      </c>
      <c r="E71" s="141"/>
      <c r="F71" s="141"/>
      <c r="G71" s="55"/>
      <c r="L71" s="11" t="s">
        <v>1453</v>
      </c>
    </row>
    <row r="72" spans="1:12" s="11" customFormat="1" ht="16.5" customHeight="1" x14ac:dyDescent="0.25">
      <c r="A72" s="11" t="s">
        <v>3770</v>
      </c>
      <c r="B72" s="188">
        <v>29277.85</v>
      </c>
      <c r="C72" s="13">
        <v>46139</v>
      </c>
      <c r="D72" s="86">
        <v>46162</v>
      </c>
      <c r="E72" s="141"/>
      <c r="F72" s="141"/>
      <c r="G72" s="55"/>
      <c r="L72" s="11" t="s">
        <v>1436</v>
      </c>
    </row>
    <row r="73" spans="1:12" s="11" customFormat="1" ht="16.5" customHeight="1" x14ac:dyDescent="0.25">
      <c r="A73" s="11" t="s">
        <v>3698</v>
      </c>
      <c r="B73" s="188">
        <v>30017.85</v>
      </c>
      <c r="C73" s="13">
        <v>46113</v>
      </c>
      <c r="D73" s="86">
        <v>46147</v>
      </c>
      <c r="E73" s="141"/>
      <c r="F73" s="141"/>
      <c r="G73" s="55"/>
      <c r="L73" s="11" t="s">
        <v>1454</v>
      </c>
    </row>
    <row r="74" spans="1:12" s="11" customFormat="1" ht="16.5" customHeight="1" x14ac:dyDescent="0.25">
      <c r="A74" s="11" t="s">
        <v>3699</v>
      </c>
      <c r="B74" s="188">
        <v>31925</v>
      </c>
      <c r="C74" s="13" t="s">
        <v>2181</v>
      </c>
      <c r="D74" s="86" t="s">
        <v>3694</v>
      </c>
      <c r="E74" s="141"/>
      <c r="F74" s="141"/>
      <c r="G74" s="55"/>
      <c r="L74" s="11" t="s">
        <v>1455</v>
      </c>
    </row>
    <row r="75" spans="1:12" s="11" customFormat="1" ht="16.5" customHeight="1" x14ac:dyDescent="0.25">
      <c r="A75" s="11" t="s">
        <v>3700</v>
      </c>
      <c r="B75" s="188">
        <v>32549.18</v>
      </c>
      <c r="C75" s="13">
        <v>46129</v>
      </c>
      <c r="D75" s="86">
        <v>46147</v>
      </c>
      <c r="E75" s="141"/>
      <c r="F75" s="141"/>
      <c r="G75" s="55"/>
      <c r="L75" s="11" t="s">
        <v>1456</v>
      </c>
    </row>
    <row r="76" spans="1:12" s="11" customFormat="1" ht="16.5" customHeight="1" x14ac:dyDescent="0.25">
      <c r="A76" s="11" t="s">
        <v>3701</v>
      </c>
      <c r="B76" s="188">
        <v>34513</v>
      </c>
      <c r="C76" s="13" t="s">
        <v>2181</v>
      </c>
      <c r="D76" s="86" t="s">
        <v>3694</v>
      </c>
      <c r="E76" s="141"/>
      <c r="F76" s="141"/>
      <c r="G76" s="55"/>
      <c r="L76" s="11" t="s">
        <v>1457</v>
      </c>
    </row>
    <row r="77" spans="1:12" s="11" customFormat="1" ht="16.5" customHeight="1" x14ac:dyDescent="0.25">
      <c r="A77" s="11" t="s">
        <v>3702</v>
      </c>
      <c r="B77" s="188">
        <v>34513</v>
      </c>
      <c r="C77" s="13" t="s">
        <v>2181</v>
      </c>
      <c r="D77" s="86" t="s">
        <v>3694</v>
      </c>
      <c r="E77" s="141"/>
      <c r="F77" s="141"/>
      <c r="G77" s="55"/>
      <c r="L77" s="11" t="s">
        <v>2506</v>
      </c>
    </row>
    <row r="78" spans="1:12" s="11" customFormat="1" ht="16.5" customHeight="1" x14ac:dyDescent="0.25">
      <c r="A78" s="11" t="s">
        <v>3703</v>
      </c>
      <c r="B78" s="188">
        <v>34513</v>
      </c>
      <c r="C78" s="13" t="s">
        <v>2181</v>
      </c>
      <c r="D78" s="86" t="s">
        <v>3694</v>
      </c>
      <c r="E78" s="141"/>
      <c r="F78" s="141"/>
      <c r="G78" s="55"/>
      <c r="L78" s="11" t="s">
        <v>1458</v>
      </c>
    </row>
    <row r="79" spans="1:12" s="286" customFormat="1" ht="16.5" customHeight="1" x14ac:dyDescent="0.25">
      <c r="A79" s="286" t="s">
        <v>3784</v>
      </c>
      <c r="B79" s="287">
        <v>40173.599999999999</v>
      </c>
      <c r="C79" s="288">
        <v>46127</v>
      </c>
      <c r="D79" s="291" t="s">
        <v>3785</v>
      </c>
      <c r="E79" s="289"/>
      <c r="F79" s="289"/>
      <c r="G79" s="290"/>
      <c r="L79" s="286" t="s">
        <v>3337</v>
      </c>
    </row>
    <row r="80" spans="1:12" s="11" customFormat="1" ht="16.5" customHeight="1" x14ac:dyDescent="0.25">
      <c r="A80" s="11" t="s">
        <v>3783</v>
      </c>
      <c r="B80" s="188">
        <v>40631.480000000003</v>
      </c>
      <c r="C80" s="13">
        <v>46127</v>
      </c>
      <c r="D80" s="86">
        <v>46168</v>
      </c>
      <c r="E80" s="141"/>
      <c r="F80" s="141"/>
      <c r="G80" s="55"/>
      <c r="L80" s="11" t="s">
        <v>1368</v>
      </c>
    </row>
    <row r="81" spans="1:12" s="11" customFormat="1" ht="16.5" customHeight="1" x14ac:dyDescent="0.25">
      <c r="A81" s="11" t="s">
        <v>3704</v>
      </c>
      <c r="B81" s="188">
        <v>40825</v>
      </c>
      <c r="C81" s="13" t="s">
        <v>2181</v>
      </c>
      <c r="D81" s="86" t="s">
        <v>3694</v>
      </c>
      <c r="E81" s="141"/>
      <c r="F81" s="141"/>
      <c r="G81" s="55"/>
      <c r="L81" s="11" t="s">
        <v>1459</v>
      </c>
    </row>
    <row r="82" spans="1:12" s="11" customFormat="1" ht="16.5" customHeight="1" x14ac:dyDescent="0.25">
      <c r="A82" s="11" t="s">
        <v>3705</v>
      </c>
      <c r="B82" s="188">
        <v>44206</v>
      </c>
      <c r="C82" s="13" t="s">
        <v>2181</v>
      </c>
      <c r="D82" s="86" t="s">
        <v>3694</v>
      </c>
      <c r="E82" s="141"/>
      <c r="F82" s="141"/>
      <c r="G82" s="55"/>
      <c r="L82" s="11" t="s">
        <v>1369</v>
      </c>
    </row>
    <row r="83" spans="1:12" s="11" customFormat="1" ht="16.5" customHeight="1" x14ac:dyDescent="0.25">
      <c r="A83" s="11" t="s">
        <v>2642</v>
      </c>
      <c r="B83" s="188">
        <v>44353.27</v>
      </c>
      <c r="C83" s="13"/>
      <c r="D83" s="86" t="s">
        <v>3766</v>
      </c>
      <c r="E83" s="141"/>
      <c r="F83" s="141"/>
      <c r="G83" s="55"/>
      <c r="L83" s="11" t="s">
        <v>1460</v>
      </c>
    </row>
    <row r="84" spans="1:12" s="11" customFormat="1" ht="16.5" customHeight="1" x14ac:dyDescent="0.25">
      <c r="A84" s="11" t="s">
        <v>3706</v>
      </c>
      <c r="B84" s="188">
        <v>46155</v>
      </c>
      <c r="C84" s="13" t="s">
        <v>2181</v>
      </c>
      <c r="D84" s="86" t="s">
        <v>3694</v>
      </c>
      <c r="E84" s="141"/>
      <c r="F84" s="141"/>
      <c r="G84" s="55"/>
    </row>
    <row r="85" spans="1:12" s="11" customFormat="1" ht="16.5" customHeight="1" x14ac:dyDescent="0.25">
      <c r="A85" s="11" t="s">
        <v>3707</v>
      </c>
      <c r="B85" s="188">
        <v>47376</v>
      </c>
      <c r="C85" s="13" t="s">
        <v>2181</v>
      </c>
      <c r="D85" s="86" t="s">
        <v>3694</v>
      </c>
      <c r="E85" s="141"/>
      <c r="F85" s="141"/>
      <c r="G85" s="55"/>
    </row>
    <row r="86" spans="1:12" s="11" customFormat="1" ht="16.5" customHeight="1" x14ac:dyDescent="0.25">
      <c r="A86" s="11" t="s">
        <v>3708</v>
      </c>
      <c r="B86" s="188">
        <v>52874.85</v>
      </c>
      <c r="C86" s="13">
        <v>46140</v>
      </c>
      <c r="D86" s="86">
        <v>46147</v>
      </c>
      <c r="E86" s="141"/>
      <c r="F86" s="141"/>
      <c r="G86" s="55"/>
    </row>
    <row r="87" spans="1:12" s="11" customFormat="1" ht="16.5" customHeight="1" x14ac:dyDescent="0.25">
      <c r="A87" s="11" t="s">
        <v>3709</v>
      </c>
      <c r="B87" s="188">
        <v>52874.85</v>
      </c>
      <c r="C87" s="13">
        <v>46141</v>
      </c>
      <c r="D87" s="86">
        <v>46143</v>
      </c>
      <c r="E87" s="141"/>
      <c r="F87" s="141"/>
      <c r="G87" s="55"/>
    </row>
    <row r="88" spans="1:12" s="11" customFormat="1" ht="16.5" customHeight="1" x14ac:dyDescent="0.25">
      <c r="A88" s="11" t="s">
        <v>3710</v>
      </c>
      <c r="B88" s="188">
        <v>52874.85</v>
      </c>
      <c r="C88" s="13">
        <v>46142</v>
      </c>
      <c r="D88" s="86">
        <v>46143</v>
      </c>
      <c r="E88" s="141"/>
      <c r="F88" s="141"/>
      <c r="G88" s="55"/>
    </row>
    <row r="89" spans="1:12" s="11" customFormat="1" ht="16.5" customHeight="1" x14ac:dyDescent="0.25">
      <c r="A89" s="11" t="s">
        <v>3711</v>
      </c>
      <c r="B89" s="188">
        <v>52874.85</v>
      </c>
      <c r="C89" s="13">
        <v>46142</v>
      </c>
      <c r="D89" s="86">
        <v>46147</v>
      </c>
      <c r="E89" s="141"/>
      <c r="F89" s="141"/>
      <c r="G89" s="55"/>
    </row>
    <row r="90" spans="1:12" s="11" customFormat="1" ht="16.5" customHeight="1" x14ac:dyDescent="0.25">
      <c r="A90" s="11" t="s">
        <v>3712</v>
      </c>
      <c r="B90" s="188">
        <v>53013.599999999999</v>
      </c>
      <c r="C90" s="13">
        <v>46141</v>
      </c>
      <c r="D90" s="86">
        <v>46143</v>
      </c>
      <c r="E90" s="141"/>
      <c r="F90" s="141"/>
      <c r="G90" s="55"/>
    </row>
    <row r="91" spans="1:12" s="11" customFormat="1" ht="16.5" customHeight="1" x14ac:dyDescent="0.25">
      <c r="A91" s="11" t="s">
        <v>3713</v>
      </c>
      <c r="B91" s="188">
        <v>53429.85</v>
      </c>
      <c r="C91" s="13">
        <v>46142</v>
      </c>
      <c r="D91" s="86">
        <v>46150</v>
      </c>
      <c r="E91" s="141"/>
      <c r="F91" s="141"/>
      <c r="G91" s="55"/>
    </row>
    <row r="92" spans="1:12" s="11" customFormat="1" ht="16.5" customHeight="1" x14ac:dyDescent="0.25">
      <c r="A92" s="11" t="s">
        <v>3756</v>
      </c>
      <c r="B92" s="188">
        <v>60615.93</v>
      </c>
      <c r="C92" s="13">
        <v>46136</v>
      </c>
      <c r="D92" s="86">
        <v>46155</v>
      </c>
      <c r="E92" s="141"/>
      <c r="F92" s="141"/>
      <c r="G92" s="55"/>
    </row>
    <row r="93" spans="1:12" s="11" customFormat="1" ht="16.5" customHeight="1" x14ac:dyDescent="0.25">
      <c r="A93" s="11" t="s">
        <v>3716</v>
      </c>
      <c r="B93" s="188">
        <v>60615.93</v>
      </c>
      <c r="C93" s="13">
        <v>46139</v>
      </c>
      <c r="D93" s="86">
        <v>46155</v>
      </c>
      <c r="E93" s="141"/>
      <c r="F93" s="141"/>
      <c r="G93" s="55"/>
    </row>
    <row r="94" spans="1:12" s="11" customFormat="1" ht="16.5" customHeight="1" x14ac:dyDescent="0.25">
      <c r="A94" s="11" t="s">
        <v>3714</v>
      </c>
      <c r="B94" s="188">
        <v>60615.93</v>
      </c>
      <c r="C94" s="13">
        <v>46139</v>
      </c>
      <c r="D94" s="86">
        <v>46154</v>
      </c>
      <c r="E94" s="141"/>
      <c r="F94" s="141"/>
      <c r="G94" s="55"/>
    </row>
    <row r="95" spans="1:12" s="11" customFormat="1" ht="16.5" customHeight="1" x14ac:dyDescent="0.25">
      <c r="A95" s="11" t="s">
        <v>3715</v>
      </c>
      <c r="B95" s="188">
        <v>61073.8</v>
      </c>
      <c r="C95" s="13">
        <v>46139</v>
      </c>
      <c r="D95" s="86">
        <v>46154</v>
      </c>
      <c r="E95" s="141"/>
      <c r="F95" s="141"/>
      <c r="G95" s="55"/>
    </row>
    <row r="96" spans="1:12" s="11" customFormat="1" ht="16.5" customHeight="1" x14ac:dyDescent="0.25">
      <c r="A96" s="11" t="s">
        <v>3771</v>
      </c>
      <c r="B96" s="188">
        <v>61073.8</v>
      </c>
      <c r="C96" s="13">
        <v>46142</v>
      </c>
      <c r="D96" s="86">
        <v>46160</v>
      </c>
      <c r="E96" s="141"/>
      <c r="F96" s="141"/>
      <c r="G96" s="55"/>
    </row>
    <row r="97" spans="1:7" s="11" customFormat="1" ht="16.5" customHeight="1" x14ac:dyDescent="0.25">
      <c r="A97" s="11" t="s">
        <v>3717</v>
      </c>
      <c r="B97" s="188">
        <v>61073.8</v>
      </c>
      <c r="C97" s="13">
        <v>46139</v>
      </c>
      <c r="D97" s="86">
        <v>46155</v>
      </c>
      <c r="E97" s="141"/>
      <c r="F97" s="141"/>
      <c r="G97" s="55"/>
    </row>
    <row r="98" spans="1:7" s="11" customFormat="1" ht="16.5" customHeight="1" x14ac:dyDescent="0.25">
      <c r="A98" s="11" t="s">
        <v>3718</v>
      </c>
      <c r="B98" s="188">
        <v>61073.8</v>
      </c>
      <c r="C98" s="13">
        <v>46139</v>
      </c>
      <c r="D98" s="86">
        <v>46155</v>
      </c>
      <c r="E98" s="141"/>
      <c r="F98" s="141"/>
      <c r="G98" s="55"/>
    </row>
    <row r="99" spans="1:7" s="11" customFormat="1" ht="16.5" customHeight="1" x14ac:dyDescent="0.25">
      <c r="A99" s="11" t="s">
        <v>3719</v>
      </c>
      <c r="B99" s="188">
        <v>61073.8</v>
      </c>
      <c r="C99" s="13">
        <v>46139</v>
      </c>
      <c r="D99" s="86">
        <v>46155</v>
      </c>
      <c r="E99" s="141"/>
      <c r="F99" s="141"/>
      <c r="G99" s="55"/>
    </row>
    <row r="100" spans="1:7" s="11" customFormat="1" ht="16.5" customHeight="1" x14ac:dyDescent="0.25">
      <c r="A100" s="11" t="s">
        <v>3720</v>
      </c>
      <c r="B100" s="188">
        <v>61073.8</v>
      </c>
      <c r="C100" s="13">
        <v>46139</v>
      </c>
      <c r="D100" s="86">
        <v>46155</v>
      </c>
      <c r="E100" s="141"/>
      <c r="F100" s="141"/>
      <c r="G100" s="55"/>
    </row>
    <row r="101" spans="1:7" s="11" customFormat="1" ht="16.5" customHeight="1" x14ac:dyDescent="0.25">
      <c r="A101" s="11" t="s">
        <v>3721</v>
      </c>
      <c r="B101" s="188">
        <v>61073.8</v>
      </c>
      <c r="C101" s="13">
        <v>46142</v>
      </c>
      <c r="D101" s="86">
        <v>46148</v>
      </c>
      <c r="E101" s="141"/>
      <c r="F101" s="141"/>
      <c r="G101" s="55"/>
    </row>
    <row r="102" spans="1:7" s="11" customFormat="1" ht="16.5" customHeight="1" x14ac:dyDescent="0.25">
      <c r="A102" s="11" t="s">
        <v>3722</v>
      </c>
      <c r="B102" s="188">
        <v>62943.88</v>
      </c>
      <c r="C102" s="13">
        <v>46141</v>
      </c>
      <c r="D102" s="86">
        <v>46147</v>
      </c>
      <c r="E102" s="141"/>
      <c r="F102" s="141"/>
      <c r="G102" s="55"/>
    </row>
    <row r="103" spans="1:7" s="11" customFormat="1" ht="16.5" customHeight="1" x14ac:dyDescent="0.25">
      <c r="A103" s="11" t="s">
        <v>3723</v>
      </c>
      <c r="B103" s="188">
        <v>64422.85</v>
      </c>
      <c r="C103" s="13">
        <v>46122</v>
      </c>
      <c r="D103" s="86">
        <v>46150</v>
      </c>
      <c r="E103" s="141"/>
      <c r="F103" s="141"/>
      <c r="G103" s="55"/>
    </row>
    <row r="104" spans="1:7" s="11" customFormat="1" ht="16.5" customHeight="1" x14ac:dyDescent="0.25">
      <c r="A104" s="11" t="s">
        <v>3724</v>
      </c>
      <c r="B104" s="188">
        <v>64422.85</v>
      </c>
      <c r="C104" s="13">
        <v>46125</v>
      </c>
      <c r="D104" s="86">
        <v>46149</v>
      </c>
      <c r="E104" s="141"/>
      <c r="F104" s="141"/>
      <c r="G104" s="55"/>
    </row>
    <row r="105" spans="1:7" s="11" customFormat="1" ht="16.5" customHeight="1" x14ac:dyDescent="0.25">
      <c r="A105" s="11" t="s">
        <v>3725</v>
      </c>
      <c r="B105" s="188">
        <v>64422.85</v>
      </c>
      <c r="C105" s="13">
        <v>46125</v>
      </c>
      <c r="D105" s="86">
        <v>46153</v>
      </c>
      <c r="E105" s="141"/>
      <c r="F105" s="141"/>
      <c r="G105" s="55"/>
    </row>
    <row r="106" spans="1:7" s="11" customFormat="1" ht="16.5" customHeight="1" x14ac:dyDescent="0.25">
      <c r="A106" s="11" t="s">
        <v>3726</v>
      </c>
      <c r="B106" s="188">
        <v>64422.85</v>
      </c>
      <c r="C106" s="13">
        <v>46134</v>
      </c>
      <c r="D106" s="86">
        <v>46154</v>
      </c>
      <c r="E106" s="141"/>
      <c r="F106" s="141"/>
      <c r="G106" s="55"/>
    </row>
    <row r="107" spans="1:7" s="11" customFormat="1" ht="16.5" customHeight="1" x14ac:dyDescent="0.25">
      <c r="A107" s="11" t="s">
        <v>3727</v>
      </c>
      <c r="B107" s="188">
        <v>64422.85</v>
      </c>
      <c r="C107" s="13">
        <v>46140</v>
      </c>
      <c r="D107" s="86">
        <v>46143</v>
      </c>
      <c r="E107" s="141"/>
      <c r="F107" s="141"/>
      <c r="G107" s="55"/>
    </row>
    <row r="108" spans="1:7" s="11" customFormat="1" ht="16.5" customHeight="1" x14ac:dyDescent="0.25">
      <c r="A108" s="11" t="s">
        <v>3728</v>
      </c>
      <c r="B108" s="188">
        <v>64834.48</v>
      </c>
      <c r="C108" s="13">
        <v>46139</v>
      </c>
      <c r="D108" s="86">
        <v>46155</v>
      </c>
      <c r="E108" s="141"/>
      <c r="F108" s="141"/>
      <c r="G108" s="55"/>
    </row>
    <row r="109" spans="1:7" s="11" customFormat="1" ht="16.5" customHeight="1" x14ac:dyDescent="0.25">
      <c r="A109" s="11" t="s">
        <v>3772</v>
      </c>
      <c r="B109" s="188">
        <v>64834.48</v>
      </c>
      <c r="C109" s="13">
        <v>46139</v>
      </c>
      <c r="D109" s="86">
        <v>46161</v>
      </c>
      <c r="E109" s="141"/>
      <c r="F109" s="141"/>
      <c r="G109" s="55"/>
    </row>
    <row r="110" spans="1:7" s="11" customFormat="1" ht="16.5" customHeight="1" x14ac:dyDescent="0.25">
      <c r="A110" s="11" t="s">
        <v>3757</v>
      </c>
      <c r="B110" s="188">
        <v>64834.48</v>
      </c>
      <c r="C110" s="13">
        <v>46139</v>
      </c>
      <c r="D110" s="86">
        <v>46155</v>
      </c>
      <c r="E110" s="141"/>
      <c r="F110" s="141"/>
      <c r="G110" s="55"/>
    </row>
    <row r="111" spans="1:7" s="11" customFormat="1" ht="16.5" customHeight="1" x14ac:dyDescent="0.25">
      <c r="A111" s="11" t="s">
        <v>3773</v>
      </c>
      <c r="B111" s="188">
        <v>64834.48</v>
      </c>
      <c r="C111" s="13">
        <v>46139</v>
      </c>
      <c r="D111" s="86">
        <v>46157</v>
      </c>
      <c r="E111" s="141"/>
      <c r="F111" s="141"/>
      <c r="G111" s="55"/>
    </row>
    <row r="112" spans="1:7" s="11" customFormat="1" ht="16.5" customHeight="1" x14ac:dyDescent="0.25">
      <c r="A112" s="11" t="s">
        <v>3729</v>
      </c>
      <c r="B112" s="188">
        <v>64834.48</v>
      </c>
      <c r="C112" s="13">
        <v>46139</v>
      </c>
      <c r="D112" s="86">
        <v>46155</v>
      </c>
      <c r="E112" s="141"/>
      <c r="F112" s="141"/>
      <c r="G112" s="55"/>
    </row>
    <row r="113" spans="1:7" s="11" customFormat="1" ht="16.5" customHeight="1" x14ac:dyDescent="0.25">
      <c r="A113" s="11" t="s">
        <v>3730</v>
      </c>
      <c r="B113" s="188">
        <v>64834.48</v>
      </c>
      <c r="C113" s="13">
        <v>46139</v>
      </c>
      <c r="D113" s="86">
        <v>46155</v>
      </c>
      <c r="E113" s="141"/>
      <c r="F113" s="141"/>
      <c r="G113" s="55"/>
    </row>
    <row r="114" spans="1:7" s="11" customFormat="1" ht="16.5" customHeight="1" x14ac:dyDescent="0.25">
      <c r="A114" s="11" t="s">
        <v>3731</v>
      </c>
      <c r="B114" s="188">
        <v>64880.73</v>
      </c>
      <c r="C114" s="13">
        <v>46122</v>
      </c>
      <c r="D114" s="86">
        <v>46155</v>
      </c>
      <c r="E114" s="141"/>
      <c r="F114" s="141"/>
      <c r="G114" s="55"/>
    </row>
    <row r="115" spans="1:7" s="11" customFormat="1" ht="16.5" customHeight="1" x14ac:dyDescent="0.25">
      <c r="A115" s="11" t="s">
        <v>3732</v>
      </c>
      <c r="B115" s="188">
        <v>64880.73</v>
      </c>
      <c r="C115" s="13">
        <v>46125</v>
      </c>
      <c r="D115" s="86">
        <v>46149</v>
      </c>
      <c r="E115" s="141"/>
      <c r="F115" s="141"/>
      <c r="G115" s="55"/>
    </row>
    <row r="116" spans="1:7" s="11" customFormat="1" ht="16.5" customHeight="1" x14ac:dyDescent="0.25">
      <c r="A116" s="11" t="s">
        <v>3733</v>
      </c>
      <c r="B116" s="188">
        <v>64880.73</v>
      </c>
      <c r="C116" s="13">
        <v>46126</v>
      </c>
      <c r="D116" s="86">
        <v>46149</v>
      </c>
      <c r="E116" s="141"/>
      <c r="F116" s="141"/>
      <c r="G116" s="55"/>
    </row>
    <row r="117" spans="1:7" s="11" customFormat="1" ht="16.5" customHeight="1" x14ac:dyDescent="0.25">
      <c r="A117" s="11" t="s">
        <v>3734</v>
      </c>
      <c r="B117" s="188">
        <v>64880.73</v>
      </c>
      <c r="C117" s="13">
        <v>46126</v>
      </c>
      <c r="D117" s="86">
        <v>46149</v>
      </c>
      <c r="E117" s="141"/>
      <c r="F117" s="141"/>
      <c r="G117" s="55"/>
    </row>
    <row r="118" spans="1:7" s="11" customFormat="1" ht="16.5" customHeight="1" x14ac:dyDescent="0.25">
      <c r="A118" s="11" t="s">
        <v>3735</v>
      </c>
      <c r="B118" s="188">
        <v>64880.73</v>
      </c>
      <c r="C118" s="13">
        <v>46126</v>
      </c>
      <c r="D118" s="86">
        <v>46149</v>
      </c>
      <c r="E118" s="141"/>
      <c r="F118" s="141"/>
      <c r="G118" s="55"/>
    </row>
    <row r="119" spans="1:7" s="11" customFormat="1" ht="16.5" customHeight="1" x14ac:dyDescent="0.25">
      <c r="A119" s="11" t="s">
        <v>3736</v>
      </c>
      <c r="B119" s="188">
        <v>64880.73</v>
      </c>
      <c r="C119" s="13">
        <v>46125</v>
      </c>
      <c r="D119" s="86">
        <v>46150</v>
      </c>
      <c r="E119" s="141"/>
      <c r="F119" s="141"/>
      <c r="G119" s="55"/>
    </row>
    <row r="120" spans="1:7" s="11" customFormat="1" ht="16.5" customHeight="1" x14ac:dyDescent="0.25">
      <c r="A120" s="11" t="s">
        <v>3737</v>
      </c>
      <c r="B120" s="188">
        <v>64880.73</v>
      </c>
      <c r="C120" s="13">
        <v>46125</v>
      </c>
      <c r="D120" s="86">
        <v>46149</v>
      </c>
      <c r="E120" s="141"/>
      <c r="F120" s="141"/>
      <c r="G120" s="55"/>
    </row>
    <row r="121" spans="1:7" s="11" customFormat="1" ht="16.5" customHeight="1" x14ac:dyDescent="0.25">
      <c r="A121" s="11" t="s">
        <v>3738</v>
      </c>
      <c r="B121" s="188">
        <v>64880.73</v>
      </c>
      <c r="C121" s="13">
        <v>46125</v>
      </c>
      <c r="D121" s="86">
        <v>46150</v>
      </c>
      <c r="E121" s="141"/>
      <c r="F121" s="141"/>
      <c r="G121" s="55"/>
    </row>
    <row r="122" spans="1:7" s="11" customFormat="1" ht="16.5" customHeight="1" x14ac:dyDescent="0.25">
      <c r="A122" s="11" t="s">
        <v>3739</v>
      </c>
      <c r="B122" s="188">
        <v>64880.73</v>
      </c>
      <c r="C122" s="13">
        <v>46134</v>
      </c>
      <c r="D122" s="86">
        <v>46155</v>
      </c>
      <c r="E122" s="141"/>
      <c r="F122" s="141"/>
      <c r="G122" s="55"/>
    </row>
    <row r="123" spans="1:7" s="11" customFormat="1" ht="16.5" customHeight="1" x14ac:dyDescent="0.25">
      <c r="A123" s="11" t="s">
        <v>3774</v>
      </c>
      <c r="B123" s="188">
        <v>65292.35</v>
      </c>
      <c r="C123" s="13">
        <v>46140</v>
      </c>
      <c r="D123" s="86">
        <v>46160</v>
      </c>
      <c r="E123" s="141"/>
      <c r="F123" s="141"/>
      <c r="G123" s="55"/>
    </row>
    <row r="124" spans="1:7" s="11" customFormat="1" ht="16.5" customHeight="1" x14ac:dyDescent="0.25">
      <c r="A124" s="11" t="s">
        <v>3758</v>
      </c>
      <c r="B124" s="188">
        <v>65292.35</v>
      </c>
      <c r="C124" s="13">
        <v>46139</v>
      </c>
      <c r="D124" s="86">
        <v>46155</v>
      </c>
      <c r="E124" s="141"/>
      <c r="F124" s="141"/>
      <c r="G124" s="55"/>
    </row>
    <row r="125" spans="1:7" s="11" customFormat="1" ht="16.5" customHeight="1" x14ac:dyDescent="0.25">
      <c r="A125" s="11" t="s">
        <v>3740</v>
      </c>
      <c r="B125" s="188">
        <v>65292.35</v>
      </c>
      <c r="C125" s="13">
        <v>46139</v>
      </c>
      <c r="D125" s="86">
        <v>46155</v>
      </c>
      <c r="E125" s="141"/>
      <c r="F125" s="141"/>
      <c r="G125" s="55"/>
    </row>
    <row r="126" spans="1:7" s="11" customFormat="1" ht="16.5" customHeight="1" x14ac:dyDescent="0.25">
      <c r="A126" s="11" t="s">
        <v>3759</v>
      </c>
      <c r="B126" s="188">
        <v>65292.35</v>
      </c>
      <c r="C126" s="13">
        <v>46139</v>
      </c>
      <c r="D126" s="86">
        <v>46155</v>
      </c>
      <c r="E126" s="141"/>
      <c r="F126" s="141"/>
      <c r="G126" s="55"/>
    </row>
    <row r="127" spans="1:7" s="11" customFormat="1" ht="16.5" customHeight="1" x14ac:dyDescent="0.25">
      <c r="A127" s="11" t="s">
        <v>3775</v>
      </c>
      <c r="B127" s="188">
        <v>65292.35</v>
      </c>
      <c r="C127" s="13">
        <v>46139</v>
      </c>
      <c r="D127" s="86">
        <v>46160</v>
      </c>
      <c r="E127" s="141"/>
      <c r="F127" s="141"/>
      <c r="G127" s="55"/>
    </row>
    <row r="128" spans="1:7" s="11" customFormat="1" ht="16.5" customHeight="1" x14ac:dyDescent="0.25">
      <c r="A128" s="11" t="s">
        <v>3760</v>
      </c>
      <c r="B128" s="188">
        <v>65292.35</v>
      </c>
      <c r="C128" s="13">
        <v>46139</v>
      </c>
      <c r="D128" s="86">
        <v>46155</v>
      </c>
      <c r="E128" s="141"/>
      <c r="F128" s="141"/>
      <c r="G128" s="55"/>
    </row>
    <row r="129" spans="1:7" s="11" customFormat="1" ht="16.5" customHeight="1" x14ac:dyDescent="0.25">
      <c r="A129" s="11" t="s">
        <v>3741</v>
      </c>
      <c r="B129" s="188">
        <v>65292.35</v>
      </c>
      <c r="C129" s="13">
        <v>46139</v>
      </c>
      <c r="D129" s="86">
        <v>46155</v>
      </c>
      <c r="E129" s="141"/>
      <c r="F129" s="141"/>
      <c r="G129" s="55"/>
    </row>
    <row r="130" spans="1:7" s="11" customFormat="1" ht="16.5" customHeight="1" x14ac:dyDescent="0.25">
      <c r="A130" s="11" t="s">
        <v>3742</v>
      </c>
      <c r="B130" s="188">
        <v>65292.35</v>
      </c>
      <c r="C130" s="13">
        <v>46142</v>
      </c>
      <c r="D130" s="86">
        <v>46150</v>
      </c>
      <c r="E130" s="141"/>
      <c r="F130" s="141"/>
      <c r="G130" s="55"/>
    </row>
    <row r="131" spans="1:7" s="11" customFormat="1" ht="16.5" customHeight="1" x14ac:dyDescent="0.25">
      <c r="A131" s="11" t="s">
        <v>3743</v>
      </c>
      <c r="B131" s="188">
        <v>71451.5</v>
      </c>
      <c r="C131" s="13">
        <v>46140</v>
      </c>
      <c r="D131" s="86">
        <v>46147</v>
      </c>
      <c r="E131" s="141"/>
      <c r="F131" s="141"/>
      <c r="G131" s="55"/>
    </row>
    <row r="132" spans="1:7" s="11" customFormat="1" ht="16.5" customHeight="1" x14ac:dyDescent="0.25">
      <c r="A132" s="11" t="s">
        <v>3744</v>
      </c>
      <c r="B132" s="188">
        <v>73024.399999999994</v>
      </c>
      <c r="C132" s="13">
        <v>46132</v>
      </c>
      <c r="D132" s="86">
        <v>46149</v>
      </c>
      <c r="E132" s="141"/>
      <c r="F132" s="141"/>
      <c r="G132" s="55"/>
    </row>
    <row r="133" spans="1:7" s="11" customFormat="1" ht="16.5" customHeight="1" x14ac:dyDescent="0.25">
      <c r="A133" s="11" t="s">
        <v>3745</v>
      </c>
      <c r="B133" s="188">
        <v>73283.399999999994</v>
      </c>
      <c r="C133" s="13">
        <v>46135</v>
      </c>
      <c r="D133" s="86">
        <v>46153</v>
      </c>
      <c r="E133" s="141"/>
      <c r="F133" s="141"/>
      <c r="G133" s="55"/>
    </row>
    <row r="134" spans="1:7" s="11" customFormat="1" ht="16.5" customHeight="1" x14ac:dyDescent="0.25">
      <c r="A134" s="11" t="s">
        <v>3746</v>
      </c>
      <c r="B134" s="188">
        <v>73283.399999999994</v>
      </c>
      <c r="C134" s="13">
        <v>46135</v>
      </c>
      <c r="D134" s="86">
        <v>46153</v>
      </c>
      <c r="E134" s="141"/>
      <c r="F134" s="141"/>
      <c r="G134" s="55"/>
    </row>
    <row r="135" spans="1:7" s="11" customFormat="1" ht="16.5" customHeight="1" x14ac:dyDescent="0.25">
      <c r="A135" s="11" t="s">
        <v>3747</v>
      </c>
      <c r="B135" s="188">
        <v>73283.399999999994</v>
      </c>
      <c r="C135" s="13">
        <v>46135</v>
      </c>
      <c r="D135" s="86">
        <v>46155</v>
      </c>
      <c r="E135" s="141"/>
      <c r="F135" s="141"/>
      <c r="G135" s="55"/>
    </row>
    <row r="136" spans="1:7" s="11" customFormat="1" ht="16.5" customHeight="1" x14ac:dyDescent="0.25">
      <c r="A136" s="11" t="s">
        <v>3671</v>
      </c>
      <c r="B136" s="188">
        <v>73283.399999999994</v>
      </c>
      <c r="C136" s="13">
        <v>46135</v>
      </c>
      <c r="D136" s="86" t="s">
        <v>3768</v>
      </c>
      <c r="E136" s="141"/>
      <c r="F136" s="141"/>
      <c r="G136" s="55"/>
    </row>
    <row r="137" spans="1:7" s="11" customFormat="1" ht="16.5" customHeight="1" x14ac:dyDescent="0.25">
      <c r="A137" s="11" t="s">
        <v>3748</v>
      </c>
      <c r="B137" s="188">
        <v>73579.399999999994</v>
      </c>
      <c r="C137" s="13">
        <v>46134</v>
      </c>
      <c r="D137" s="86">
        <v>46154</v>
      </c>
      <c r="E137" s="141"/>
      <c r="F137" s="141"/>
      <c r="G137" s="55"/>
    </row>
    <row r="138" spans="1:7" s="11" customFormat="1" ht="16.5" customHeight="1" x14ac:dyDescent="0.25">
      <c r="A138" s="11" t="s">
        <v>3749</v>
      </c>
      <c r="B138" s="188">
        <v>73838.399999999994</v>
      </c>
      <c r="C138" s="13">
        <v>46135</v>
      </c>
      <c r="D138" s="86">
        <v>46149</v>
      </c>
      <c r="E138" s="141"/>
      <c r="F138" s="141"/>
      <c r="G138" s="55"/>
    </row>
    <row r="139" spans="1:7" s="11" customFormat="1" ht="16.5" customHeight="1" x14ac:dyDescent="0.25">
      <c r="A139" s="11" t="s">
        <v>3750</v>
      </c>
      <c r="B139" s="188">
        <v>73838.399999999994</v>
      </c>
      <c r="C139" s="13">
        <v>46135</v>
      </c>
      <c r="D139" s="86">
        <v>46154</v>
      </c>
      <c r="E139" s="141"/>
      <c r="F139" s="141"/>
      <c r="G139" s="55"/>
    </row>
    <row r="140" spans="1:7" s="11" customFormat="1" ht="16.5" customHeight="1" x14ac:dyDescent="0.25">
      <c r="A140" s="11" t="s">
        <v>3761</v>
      </c>
      <c r="B140" s="188">
        <v>78393.73</v>
      </c>
      <c r="C140" s="13">
        <v>46141</v>
      </c>
      <c r="D140" s="86">
        <v>46155</v>
      </c>
      <c r="E140" s="141"/>
      <c r="F140" s="141"/>
      <c r="G140" s="55"/>
    </row>
    <row r="141" spans="1:7" s="11" customFormat="1" ht="16.5" customHeight="1" x14ac:dyDescent="0.25">
      <c r="A141" s="11" t="s">
        <v>3762</v>
      </c>
      <c r="B141" s="188">
        <v>78393.73</v>
      </c>
      <c r="C141" s="13">
        <v>46141</v>
      </c>
      <c r="D141" s="86">
        <v>46155</v>
      </c>
      <c r="E141" s="141"/>
      <c r="F141" s="141"/>
      <c r="G141" s="55"/>
    </row>
    <row r="142" spans="1:7" s="11" customFormat="1" ht="16.5" customHeight="1" x14ac:dyDescent="0.25">
      <c r="A142" s="11" t="s">
        <v>3751</v>
      </c>
      <c r="B142" s="188">
        <v>80472.350000000006</v>
      </c>
      <c r="C142" s="13">
        <v>46136</v>
      </c>
      <c r="D142" s="86">
        <v>46153</v>
      </c>
      <c r="E142" s="141"/>
      <c r="F142" s="141"/>
      <c r="G142" s="55"/>
    </row>
    <row r="143" spans="1:7" s="11" customFormat="1" ht="16.5" customHeight="1" x14ac:dyDescent="0.25">
      <c r="A143" s="11" t="s">
        <v>3752</v>
      </c>
      <c r="B143" s="188">
        <v>80472.350000000006</v>
      </c>
      <c r="C143" s="13">
        <v>46135</v>
      </c>
      <c r="D143" s="86">
        <v>46153</v>
      </c>
      <c r="E143" s="141"/>
      <c r="F143" s="141"/>
      <c r="G143" s="55"/>
    </row>
    <row r="144" spans="1:7" s="11" customFormat="1" ht="16.5" customHeight="1" x14ac:dyDescent="0.25">
      <c r="A144" s="11" t="s">
        <v>3763</v>
      </c>
      <c r="B144" s="188">
        <v>81767.350000000006</v>
      </c>
      <c r="C144" s="13">
        <v>46140</v>
      </c>
      <c r="D144" s="86">
        <v>46155</v>
      </c>
      <c r="E144" s="141"/>
      <c r="F144" s="141"/>
      <c r="G144" s="55"/>
    </row>
    <row r="145" spans="1:7" s="11" customFormat="1" ht="16.5" customHeight="1" x14ac:dyDescent="0.25">
      <c r="A145" s="11" t="s">
        <v>3776</v>
      </c>
      <c r="B145" s="188">
        <v>81767.350000000006</v>
      </c>
      <c r="C145" s="13">
        <v>46134</v>
      </c>
      <c r="D145" s="86">
        <v>46157</v>
      </c>
      <c r="E145" s="141"/>
      <c r="F145" s="141"/>
      <c r="G145" s="55"/>
    </row>
    <row r="146" spans="1:7" s="11" customFormat="1" ht="16.5" customHeight="1" x14ac:dyDescent="0.25">
      <c r="A146" s="11" t="s">
        <v>3753</v>
      </c>
      <c r="B146" s="188">
        <v>81767.350000000006</v>
      </c>
      <c r="C146" s="13">
        <v>46134</v>
      </c>
      <c r="D146" s="86">
        <v>46153</v>
      </c>
      <c r="E146" s="141"/>
      <c r="F146" s="141"/>
      <c r="G146" s="55"/>
    </row>
    <row r="147" spans="1:7" s="11" customFormat="1" ht="16.5" customHeight="1" x14ac:dyDescent="0.25">
      <c r="A147" s="11" t="s">
        <v>3674</v>
      </c>
      <c r="B147" s="188">
        <v>82225.23</v>
      </c>
      <c r="C147" s="13">
        <v>46132</v>
      </c>
      <c r="D147" s="86" t="s">
        <v>3767</v>
      </c>
      <c r="E147" s="141"/>
      <c r="F147" s="141"/>
      <c r="G147" s="55"/>
    </row>
    <row r="148" spans="1:7" s="11" customFormat="1" ht="16.5" customHeight="1" x14ac:dyDescent="0.25">
      <c r="A148" s="11" t="s">
        <v>3777</v>
      </c>
      <c r="B148" s="188">
        <v>82225.23</v>
      </c>
      <c r="C148" s="13">
        <v>46141</v>
      </c>
      <c r="D148" s="86">
        <v>46160</v>
      </c>
      <c r="E148" s="141"/>
      <c r="F148" s="141"/>
      <c r="G148" s="55"/>
    </row>
    <row r="149" spans="1:7" s="11" customFormat="1" ht="16.5" customHeight="1" x14ac:dyDescent="0.25">
      <c r="A149" s="11" t="s">
        <v>3778</v>
      </c>
      <c r="B149" s="188">
        <v>82225.23</v>
      </c>
      <c r="C149" s="13">
        <v>46141</v>
      </c>
      <c r="D149" s="86">
        <v>46160</v>
      </c>
      <c r="E149" s="141"/>
      <c r="F149" s="141"/>
      <c r="G149" s="55"/>
    </row>
    <row r="150" spans="1:7" s="11" customFormat="1" ht="16.5" customHeight="1" x14ac:dyDescent="0.25">
      <c r="A150" s="11" t="s">
        <v>3779</v>
      </c>
      <c r="B150" s="188">
        <v>82225.23</v>
      </c>
      <c r="C150" s="13">
        <v>46141</v>
      </c>
      <c r="D150" s="86">
        <v>46160</v>
      </c>
      <c r="E150" s="141"/>
      <c r="F150" s="141"/>
      <c r="G150" s="55"/>
    </row>
    <row r="151" spans="1:7" s="11" customFormat="1" ht="16.5" customHeight="1" x14ac:dyDescent="0.25">
      <c r="A151" s="11" t="s">
        <v>3780</v>
      </c>
      <c r="B151" s="188">
        <v>82225.23</v>
      </c>
      <c r="C151" s="13">
        <v>46141</v>
      </c>
      <c r="D151" s="86">
        <v>46160</v>
      </c>
      <c r="E151" s="141"/>
      <c r="F151" s="141"/>
      <c r="G151" s="55"/>
    </row>
    <row r="152" spans="1:7" s="11" customFormat="1" ht="16.5" customHeight="1" x14ac:dyDescent="0.25">
      <c r="A152" s="11" t="s">
        <v>3781</v>
      </c>
      <c r="B152" s="188">
        <v>82225.23</v>
      </c>
      <c r="C152" s="13">
        <v>46141</v>
      </c>
      <c r="D152" s="86">
        <v>46161</v>
      </c>
      <c r="E152" s="141"/>
      <c r="F152" s="141"/>
      <c r="G152" s="55"/>
    </row>
    <row r="153" spans="1:7" s="11" customFormat="1" ht="16.5" customHeight="1" x14ac:dyDescent="0.25">
      <c r="A153" s="11" t="s">
        <v>3782</v>
      </c>
      <c r="B153" s="188">
        <v>82225.23</v>
      </c>
      <c r="C153" s="13">
        <v>46141</v>
      </c>
      <c r="D153" s="86">
        <v>46160</v>
      </c>
      <c r="E153" s="141"/>
      <c r="F153" s="141"/>
      <c r="G153" s="55"/>
    </row>
    <row r="154" spans="1:7" s="11" customFormat="1" ht="16.5" customHeight="1" x14ac:dyDescent="0.25">
      <c r="A154" s="11" t="s">
        <v>3754</v>
      </c>
      <c r="B154" s="188">
        <v>83093.03</v>
      </c>
      <c r="C154" s="13">
        <v>46139</v>
      </c>
      <c r="D154" s="86">
        <v>46154</v>
      </c>
      <c r="E154" s="141"/>
      <c r="F154" s="141"/>
      <c r="G154" s="55"/>
    </row>
    <row r="155" spans="1:7" s="11" customFormat="1" ht="16.5" customHeight="1" x14ac:dyDescent="0.25">
      <c r="A155" s="11" t="s">
        <v>3764</v>
      </c>
      <c r="B155" s="188">
        <v>94216.15</v>
      </c>
      <c r="C155" s="13">
        <v>46140</v>
      </c>
      <c r="D155" s="86">
        <v>46155</v>
      </c>
      <c r="E155" s="141"/>
      <c r="F155" s="141"/>
      <c r="G155" s="55"/>
    </row>
    <row r="156" spans="1:7" s="11" customFormat="1" ht="16.5" customHeight="1" x14ac:dyDescent="0.25">
      <c r="A156" s="11" t="s">
        <v>3755</v>
      </c>
      <c r="B156" s="188">
        <v>109696.5</v>
      </c>
      <c r="C156" s="13"/>
      <c r="D156" s="86" t="s">
        <v>3766</v>
      </c>
      <c r="E156" s="141"/>
      <c r="F156" s="141"/>
      <c r="G156" s="55"/>
    </row>
    <row r="157" spans="1:7" s="11" customFormat="1" ht="16.5" customHeight="1" x14ac:dyDescent="0.25">
      <c r="B157" s="188"/>
      <c r="C157" s="171"/>
      <c r="D157" s="183"/>
      <c r="E157" s="141"/>
      <c r="F157" s="141"/>
      <c r="G157" s="55"/>
    </row>
    <row r="158" spans="1:7" s="11" customFormat="1" ht="15.75" x14ac:dyDescent="0.25">
      <c r="B158" s="25">
        <f>SUM(B50:B157)</f>
        <v>6040735.6400000062</v>
      </c>
      <c r="C158" s="189"/>
      <c r="D158" s="189"/>
      <c r="E158" s="141"/>
      <c r="F158" s="141"/>
      <c r="G158" s="55"/>
    </row>
    <row r="159" spans="1:7" s="11" customFormat="1" ht="15.75" x14ac:dyDescent="0.25">
      <c r="A159" s="11" t="s">
        <v>1</v>
      </c>
      <c r="B159" s="17">
        <f>B158+B48</f>
        <v>4351173.5500000063</v>
      </c>
      <c r="E159" s="141"/>
      <c r="F159" s="141"/>
      <c r="G159" s="55"/>
    </row>
    <row r="160" spans="1:7" s="11" customFormat="1" ht="15.75" x14ac:dyDescent="0.25">
      <c r="A160" s="11" t="s">
        <v>0</v>
      </c>
      <c r="B160" s="17">
        <f>B159-B7</f>
        <v>0</v>
      </c>
      <c r="C160" s="189"/>
      <c r="D160" s="189"/>
      <c r="E160" s="141"/>
      <c r="F160" s="141"/>
      <c r="G160" s="55"/>
    </row>
    <row r="161" spans="4:7" s="11" customFormat="1" ht="15.75" x14ac:dyDescent="0.25">
      <c r="D161" s="14"/>
      <c r="E161" s="141"/>
      <c r="F161" s="141"/>
      <c r="G161" s="55"/>
    </row>
    <row r="162" spans="4:7" s="11" customFormat="1" ht="15.75" x14ac:dyDescent="0.25">
      <c r="D162" s="14"/>
      <c r="E162" s="141"/>
      <c r="F162" s="141"/>
      <c r="G162" s="55"/>
    </row>
    <row r="163" spans="4:7" s="11" customFormat="1" ht="15.75" x14ac:dyDescent="0.25">
      <c r="D163" s="14"/>
      <c r="E163" s="141"/>
      <c r="F163" s="141"/>
      <c r="G163" s="55"/>
    </row>
    <row r="164" spans="4:7" s="11" customFormat="1" ht="15.75" x14ac:dyDescent="0.25">
      <c r="D164" s="14"/>
      <c r="E164" s="141"/>
      <c r="F164" s="141"/>
      <c r="G164" s="55"/>
    </row>
    <row r="165" spans="4:7" s="11" customFormat="1" ht="15.75" x14ac:dyDescent="0.25">
      <c r="D165" s="14"/>
      <c r="E165" s="141"/>
      <c r="F165" s="141"/>
      <c r="G165" s="55"/>
    </row>
    <row r="166" spans="4:7" s="11" customFormat="1" ht="15.75" x14ac:dyDescent="0.25">
      <c r="D166" s="14"/>
      <c r="E166" s="141"/>
      <c r="F166" s="141"/>
      <c r="G166" s="55"/>
    </row>
    <row r="167" spans="4:7" s="11" customFormat="1" ht="15.75" x14ac:dyDescent="0.25">
      <c r="D167" s="14"/>
      <c r="E167" s="141"/>
      <c r="F167" s="141"/>
      <c r="G167" s="55"/>
    </row>
    <row r="168" spans="4:7" s="11" customFormat="1" ht="15.75" x14ac:dyDescent="0.25">
      <c r="D168" s="14"/>
      <c r="E168" s="141"/>
      <c r="F168" s="141"/>
      <c r="G168" s="55"/>
    </row>
    <row r="169" spans="4:7" s="11" customFormat="1" ht="15.75" x14ac:dyDescent="0.25">
      <c r="D169" s="14"/>
      <c r="E169" s="141"/>
      <c r="F169" s="141"/>
      <c r="G169" s="55"/>
    </row>
    <row r="170" spans="4:7" s="11" customFormat="1" ht="15.75" x14ac:dyDescent="0.25">
      <c r="D170" s="14"/>
      <c r="E170" s="141"/>
      <c r="F170" s="141"/>
      <c r="G170" s="55"/>
    </row>
    <row r="171" spans="4:7" s="11" customFormat="1" ht="15.75" x14ac:dyDescent="0.25">
      <c r="D171" s="14"/>
      <c r="E171" s="141"/>
      <c r="F171" s="141"/>
      <c r="G171" s="55"/>
    </row>
    <row r="172" spans="4:7" s="11" customFormat="1" ht="15.95" customHeight="1" x14ac:dyDescent="0.25">
      <c r="D172" s="14"/>
      <c r="E172" s="141"/>
      <c r="F172" s="141"/>
    </row>
    <row r="173" spans="4:7" s="11" customFormat="1" ht="15.95" customHeight="1" x14ac:dyDescent="0.25">
      <c r="D173" s="14"/>
      <c r="E173" s="141"/>
      <c r="F173" s="141"/>
    </row>
    <row r="174" spans="4:7" s="11" customFormat="1" ht="15.95" customHeight="1" x14ac:dyDescent="0.25">
      <c r="D174" s="14"/>
      <c r="E174" s="141"/>
      <c r="F174" s="141"/>
    </row>
    <row r="175" spans="4:7" s="11" customFormat="1" ht="15.95" customHeight="1" x14ac:dyDescent="0.25">
      <c r="D175" s="14"/>
      <c r="E175" s="141"/>
      <c r="F175" s="141"/>
    </row>
    <row r="176" spans="4:7" s="11" customFormat="1" ht="15.95" customHeight="1" x14ac:dyDescent="0.25">
      <c r="D176" s="14"/>
      <c r="E176" s="141"/>
      <c r="F176" s="141"/>
    </row>
    <row r="177" spans="1:8" s="11" customFormat="1" ht="15.95" customHeight="1" x14ac:dyDescent="0.25">
      <c r="B177" s="17"/>
      <c r="D177" s="14"/>
      <c r="E177" s="141"/>
      <c r="F177" s="141"/>
    </row>
    <row r="178" spans="1:8" s="11" customFormat="1" ht="15.95" customHeight="1" x14ac:dyDescent="0.25">
      <c r="A178" s="39"/>
      <c r="B178" s="93"/>
      <c r="C178" s="18"/>
      <c r="D178" s="37"/>
      <c r="E178" s="141"/>
      <c r="F178" s="141"/>
    </row>
    <row r="179" spans="1:8" s="11" customFormat="1" ht="15.95" customHeight="1" x14ac:dyDescent="0.3">
      <c r="A179" s="1"/>
      <c r="B179" s="17"/>
      <c r="C179" s="13"/>
      <c r="D179" s="84"/>
      <c r="E179" s="141"/>
      <c r="F179" s="141"/>
    </row>
    <row r="180" spans="1:8" s="11" customFormat="1" ht="15.95" customHeight="1" x14ac:dyDescent="0.3">
      <c r="A180" s="1"/>
      <c r="B180" s="17"/>
      <c r="C180" s="13"/>
      <c r="D180" s="84"/>
      <c r="E180" s="141"/>
      <c r="F180" s="141"/>
    </row>
    <row r="181" spans="1:8" s="11" customFormat="1" ht="15.95" customHeight="1" x14ac:dyDescent="0.3">
      <c r="A181" s="1"/>
      <c r="B181" s="17"/>
      <c r="C181" s="13"/>
      <c r="D181" s="84"/>
      <c r="E181" s="141"/>
      <c r="F181" s="141"/>
    </row>
    <row r="182" spans="1:8" s="11" customFormat="1" ht="15.95" customHeight="1" x14ac:dyDescent="0.25">
      <c r="D182" s="14"/>
      <c r="E182" s="141"/>
      <c r="F182" s="141"/>
    </row>
    <row r="183" spans="1:8" s="11" customFormat="1" ht="15.95" customHeight="1" x14ac:dyDescent="0.25">
      <c r="D183" s="14"/>
      <c r="E183" s="141"/>
      <c r="F183" s="141"/>
    </row>
    <row r="184" spans="1:8" s="11" customFormat="1" ht="15.95" customHeight="1" x14ac:dyDescent="0.25">
      <c r="D184" s="14"/>
      <c r="E184" s="141"/>
      <c r="F184" s="141"/>
    </row>
    <row r="185" spans="1:8" s="11" customFormat="1" ht="15.95" customHeight="1" x14ac:dyDescent="0.25">
      <c r="D185" s="14"/>
      <c r="E185" s="141"/>
      <c r="F185" s="141"/>
    </row>
    <row r="186" spans="1:8" s="11" customFormat="1" ht="15.95" customHeight="1" x14ac:dyDescent="0.25">
      <c r="D186" s="14"/>
      <c r="E186" s="141"/>
      <c r="F186" s="141"/>
    </row>
    <row r="187" spans="1:8" s="11" customFormat="1" ht="15.95" customHeight="1" x14ac:dyDescent="0.25">
      <c r="D187" s="14"/>
      <c r="E187" s="141"/>
      <c r="F187" s="141"/>
      <c r="H187" s="88"/>
    </row>
    <row r="188" spans="1:8" s="11" customFormat="1" ht="15.95" customHeight="1" x14ac:dyDescent="0.25">
      <c r="D188" s="14"/>
      <c r="E188" s="141"/>
      <c r="F188" s="141"/>
      <c r="H188" s="88"/>
    </row>
    <row r="189" spans="1:8" s="11" customFormat="1" ht="15.95" customHeight="1" x14ac:dyDescent="0.25">
      <c r="D189" s="14"/>
      <c r="E189" s="141"/>
      <c r="F189" s="141"/>
      <c r="G189" s="126"/>
      <c r="H189" s="88"/>
    </row>
    <row r="190" spans="1:8" s="11" customFormat="1" ht="15.95" customHeight="1" x14ac:dyDescent="0.25">
      <c r="D190" s="14"/>
      <c r="E190" s="141"/>
      <c r="F190" s="141"/>
      <c r="H190" s="88"/>
    </row>
    <row r="191" spans="1:8" s="11" customFormat="1" ht="20.100000000000001" customHeight="1" x14ac:dyDescent="0.25">
      <c r="D191" s="14"/>
      <c r="E191" s="141"/>
      <c r="F191" s="141"/>
      <c r="H191" s="88"/>
    </row>
    <row r="192" spans="1:8" s="11" customFormat="1" ht="20.100000000000001" customHeight="1" x14ac:dyDescent="0.25">
      <c r="D192" s="14"/>
      <c r="E192" s="141"/>
      <c r="F192" s="141"/>
      <c r="H192" s="88"/>
    </row>
    <row r="193" spans="1:19" s="11" customFormat="1" ht="20.100000000000001" customHeight="1" x14ac:dyDescent="0.25">
      <c r="D193" s="14"/>
      <c r="E193" s="141"/>
      <c r="F193" s="141"/>
      <c r="G193" s="126"/>
      <c r="H193" s="88"/>
    </row>
    <row r="194" spans="1:19" s="11" customFormat="1" ht="20.100000000000001" customHeight="1" x14ac:dyDescent="0.25">
      <c r="D194" s="14"/>
      <c r="E194" s="141"/>
      <c r="F194" s="141"/>
      <c r="H194" s="88"/>
    </row>
    <row r="195" spans="1:19" s="13" customFormat="1" ht="20.100000000000001" customHeight="1" x14ac:dyDescent="0.3">
      <c r="A195" s="1"/>
      <c r="B195" s="17"/>
      <c r="D195" s="84"/>
      <c r="E195" s="141"/>
      <c r="F195" s="141"/>
      <c r="H195" s="88"/>
      <c r="I195" s="11"/>
    </row>
    <row r="196" spans="1:19" s="13" customFormat="1" ht="20.100000000000001" customHeight="1" x14ac:dyDescent="0.3">
      <c r="A196" s="1"/>
      <c r="B196" s="17"/>
      <c r="D196" s="84"/>
      <c r="E196" s="141"/>
      <c r="F196" s="141"/>
      <c r="H196" s="88"/>
      <c r="I196" s="11"/>
    </row>
    <row r="197" spans="1:19" s="13" customFormat="1" ht="20.100000000000001" customHeight="1" x14ac:dyDescent="0.3">
      <c r="A197" s="1"/>
      <c r="B197" s="17"/>
      <c r="D197" s="84"/>
      <c r="E197" s="141"/>
      <c r="F197" s="141"/>
      <c r="H197" s="88"/>
      <c r="I197" s="11"/>
    </row>
    <row r="198" spans="1:19" s="90" customFormat="1" ht="20.100000000000001" customHeight="1" x14ac:dyDescent="0.3">
      <c r="A198" s="1"/>
      <c r="B198" s="17"/>
      <c r="C198" s="13"/>
      <c r="D198" s="178"/>
      <c r="E198" s="141"/>
      <c r="F198" s="141"/>
      <c r="G198" s="1"/>
      <c r="I198" s="1"/>
      <c r="J198" s="1"/>
      <c r="K198" s="1"/>
      <c r="M198" s="1"/>
      <c r="N198" s="1"/>
      <c r="O198" s="1"/>
      <c r="P198" s="1"/>
      <c r="Q198" s="1"/>
      <c r="R198" s="1"/>
      <c r="S198" s="1"/>
    </row>
    <row r="199" spans="1:19" s="90" customFormat="1" ht="20.100000000000001" customHeight="1" x14ac:dyDescent="0.3">
      <c r="A199" s="1"/>
      <c r="B199" s="17"/>
      <c r="C199" s="13"/>
      <c r="D199" s="178"/>
      <c r="E199" s="141"/>
      <c r="F199" s="141"/>
      <c r="G199" s="1"/>
      <c r="I199" s="1"/>
      <c r="J199" s="1"/>
      <c r="K199" s="1"/>
      <c r="M199" s="1"/>
      <c r="N199" s="1"/>
      <c r="O199" s="1"/>
      <c r="P199" s="1"/>
      <c r="Q199" s="1"/>
      <c r="R199" s="1"/>
      <c r="S199" s="1"/>
    </row>
    <row r="200" spans="1:19" s="90" customFormat="1" ht="20.100000000000001" customHeight="1" x14ac:dyDescent="0.3">
      <c r="A200" s="1"/>
      <c r="B200" s="17"/>
      <c r="C200" s="13"/>
      <c r="D200" s="178"/>
      <c r="E200" s="141"/>
      <c r="F200" s="141"/>
      <c r="G200" s="1"/>
      <c r="I200" s="1"/>
      <c r="J200" s="1"/>
      <c r="K200" s="1"/>
      <c r="L200" s="11"/>
      <c r="M200" s="1"/>
      <c r="N200" s="1"/>
      <c r="O200" s="1"/>
      <c r="P200" s="1"/>
      <c r="Q200" s="1"/>
      <c r="R200" s="1"/>
      <c r="S200" s="1"/>
    </row>
    <row r="201" spans="1:19" s="90" customFormat="1" ht="20.100000000000001" customHeight="1" x14ac:dyDescent="0.3">
      <c r="A201" s="1"/>
      <c r="B201" s="17"/>
      <c r="C201" s="13"/>
      <c r="D201" s="178"/>
      <c r="E201" s="141"/>
      <c r="F201" s="141"/>
      <c r="G201" s="11"/>
      <c r="I201" s="1"/>
      <c r="J201" s="1"/>
      <c r="K201" s="1"/>
      <c r="L201" s="11"/>
      <c r="M201" s="1"/>
      <c r="N201" s="1"/>
      <c r="O201" s="1"/>
      <c r="P201" s="1"/>
      <c r="Q201" s="1"/>
      <c r="R201" s="1"/>
      <c r="S201" s="1"/>
    </row>
    <row r="202" spans="1:19" x14ac:dyDescent="0.3">
      <c r="L202" s="11"/>
    </row>
    <row r="203" spans="1:19" x14ac:dyDescent="0.3">
      <c r="L203" s="11"/>
    </row>
    <row r="204" spans="1:19" x14ac:dyDescent="0.3">
      <c r="L204" s="11"/>
    </row>
    <row r="205" spans="1:19" x14ac:dyDescent="0.3">
      <c r="L205" s="11"/>
    </row>
    <row r="206" spans="1:19" x14ac:dyDescent="0.3">
      <c r="L206" s="11"/>
    </row>
    <row r="207" spans="1:19" x14ac:dyDescent="0.3">
      <c r="L207" s="11"/>
    </row>
    <row r="208" spans="1:19" x14ac:dyDescent="0.3">
      <c r="L208" s="11"/>
    </row>
    <row r="209" spans="12:12" x14ac:dyDescent="0.3">
      <c r="L209" s="11"/>
    </row>
  </sheetData>
  <mergeCells count="3">
    <mergeCell ref="C158:D158"/>
    <mergeCell ref="C160:D160"/>
    <mergeCell ref="C12:D12"/>
  </mergeCells>
  <pageMargins left="0.7" right="0.7" top="0.75" bottom="0.75" header="0.3" footer="0.3"/>
  <pageSetup scale="73" fitToHeight="0" orientation="portrait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8ECB3-A806-4B7D-8588-B355B5E0E2E2}">
  <dimension ref="A1:C36"/>
  <sheetViews>
    <sheetView workbookViewId="0">
      <selection sqref="A1:B36"/>
    </sheetView>
  </sheetViews>
  <sheetFormatPr defaultRowHeight="15" x14ac:dyDescent="0.25"/>
  <cols>
    <col min="1" max="1" width="19.7109375" bestFit="1" customWidth="1"/>
    <col min="2" max="2" width="27.5703125" bestFit="1" customWidth="1"/>
    <col min="3" max="3" width="20.5703125" bestFit="1" customWidth="1"/>
  </cols>
  <sheetData>
    <row r="1" spans="1:3" ht="15.75" x14ac:dyDescent="0.25">
      <c r="A1" s="11" t="s">
        <v>3368</v>
      </c>
      <c r="B1" s="13">
        <v>45989</v>
      </c>
      <c r="C1" s="185"/>
    </row>
    <row r="2" spans="1:3" ht="15.75" x14ac:dyDescent="0.25">
      <c r="A2" s="11" t="s">
        <v>3369</v>
      </c>
      <c r="B2" s="13">
        <v>45989</v>
      </c>
      <c r="C2" s="185"/>
    </row>
    <row r="3" spans="1:3" ht="15.75" x14ac:dyDescent="0.25">
      <c r="A3" s="11" t="s">
        <v>3370</v>
      </c>
      <c r="B3" s="13">
        <v>45989</v>
      </c>
      <c r="C3" s="185"/>
    </row>
    <row r="4" spans="1:3" ht="15.75" x14ac:dyDescent="0.25">
      <c r="A4" s="11" t="s">
        <v>3371</v>
      </c>
      <c r="B4" s="13">
        <v>45989</v>
      </c>
      <c r="C4" s="185"/>
    </row>
    <row r="5" spans="1:3" ht="15.75" x14ac:dyDescent="0.25">
      <c r="A5" s="11" t="s">
        <v>3372</v>
      </c>
      <c r="B5" s="13">
        <v>45989</v>
      </c>
      <c r="C5" s="185"/>
    </row>
    <row r="6" spans="1:3" ht="15.75" x14ac:dyDescent="0.25">
      <c r="A6" s="11" t="s">
        <v>3373</v>
      </c>
      <c r="B6" s="13">
        <v>45989</v>
      </c>
      <c r="C6" s="185"/>
    </row>
    <row r="7" spans="1:3" ht="15.75" x14ac:dyDescent="0.25">
      <c r="A7" s="11" t="s">
        <v>3374</v>
      </c>
      <c r="B7" s="13">
        <v>45989</v>
      </c>
      <c r="C7" s="185"/>
    </row>
    <row r="8" spans="1:3" ht="15.75" x14ac:dyDescent="0.25">
      <c r="A8" s="11" t="s">
        <v>3375</v>
      </c>
      <c r="B8" s="13">
        <v>45989</v>
      </c>
      <c r="C8" s="185"/>
    </row>
    <row r="9" spans="1:3" ht="15.75" x14ac:dyDescent="0.25">
      <c r="A9" s="11" t="s">
        <v>3376</v>
      </c>
      <c r="B9" s="13">
        <v>45989</v>
      </c>
      <c r="C9" s="185"/>
    </row>
    <row r="10" spans="1:3" ht="15.75" x14ac:dyDescent="0.25">
      <c r="A10" s="11" t="s">
        <v>3377</v>
      </c>
      <c r="B10" s="13">
        <v>45989</v>
      </c>
      <c r="C10" s="185"/>
    </row>
    <row r="11" spans="1:3" ht="15.75" x14ac:dyDescent="0.25">
      <c r="A11" s="11" t="s">
        <v>3378</v>
      </c>
      <c r="B11" s="13">
        <v>45989</v>
      </c>
      <c r="C11" s="185"/>
    </row>
    <row r="12" spans="1:3" ht="15.75" x14ac:dyDescent="0.25">
      <c r="A12" s="11" t="s">
        <v>3379</v>
      </c>
      <c r="B12" s="13">
        <v>45989</v>
      </c>
      <c r="C12" s="185"/>
    </row>
    <row r="13" spans="1:3" ht="15.75" x14ac:dyDescent="0.25">
      <c r="A13" s="11" t="s">
        <v>3380</v>
      </c>
      <c r="B13" s="13">
        <v>45989</v>
      </c>
      <c r="C13" s="185"/>
    </row>
    <row r="14" spans="1:3" ht="15.75" x14ac:dyDescent="0.25">
      <c r="A14" s="11" t="s">
        <v>3381</v>
      </c>
      <c r="B14" s="172">
        <v>45989</v>
      </c>
      <c r="C14" s="184"/>
    </row>
    <row r="15" spans="1:3" ht="15.75" x14ac:dyDescent="0.25">
      <c r="A15" s="11" t="s">
        <v>3382</v>
      </c>
      <c r="B15" s="172">
        <v>45989</v>
      </c>
      <c r="C15" s="184"/>
    </row>
    <row r="16" spans="1:3" ht="15.75" x14ac:dyDescent="0.25">
      <c r="A16" s="11" t="s">
        <v>3383</v>
      </c>
      <c r="B16" s="172">
        <v>45989</v>
      </c>
      <c r="C16" s="184"/>
    </row>
    <row r="17" spans="1:3" ht="15.75" x14ac:dyDescent="0.25">
      <c r="A17" s="11" t="s">
        <v>3384</v>
      </c>
      <c r="B17" s="172">
        <v>45989</v>
      </c>
      <c r="C17" s="184"/>
    </row>
    <row r="18" spans="1:3" ht="15.75" x14ac:dyDescent="0.25">
      <c r="A18" s="11" t="s">
        <v>3385</v>
      </c>
      <c r="B18" s="172">
        <v>45989</v>
      </c>
      <c r="C18" s="184"/>
    </row>
    <row r="19" spans="1:3" ht="15.75" x14ac:dyDescent="0.25">
      <c r="A19" s="11" t="s">
        <v>3386</v>
      </c>
      <c r="B19" s="172">
        <v>45989</v>
      </c>
      <c r="C19" s="184"/>
    </row>
    <row r="20" spans="1:3" ht="15.75" x14ac:dyDescent="0.25">
      <c r="A20" s="11" t="s">
        <v>3387</v>
      </c>
      <c r="B20" s="172">
        <v>45989</v>
      </c>
      <c r="C20" s="184"/>
    </row>
    <row r="21" spans="1:3" ht="15.75" x14ac:dyDescent="0.25">
      <c r="A21" s="11" t="s">
        <v>3388</v>
      </c>
      <c r="B21" s="172">
        <v>45989</v>
      </c>
      <c r="C21" s="184"/>
    </row>
    <row r="22" spans="1:3" ht="15.75" x14ac:dyDescent="0.25">
      <c r="A22" s="11" t="s">
        <v>3389</v>
      </c>
      <c r="B22" s="172">
        <v>45989</v>
      </c>
      <c r="C22" s="184"/>
    </row>
    <row r="23" spans="1:3" ht="15.75" x14ac:dyDescent="0.25">
      <c r="A23" s="11" t="s">
        <v>3390</v>
      </c>
      <c r="B23" s="172">
        <v>45989</v>
      </c>
      <c r="C23" s="184"/>
    </row>
    <row r="24" spans="1:3" ht="15.75" x14ac:dyDescent="0.25">
      <c r="A24" s="11" t="s">
        <v>3391</v>
      </c>
      <c r="B24" s="172">
        <v>45989</v>
      </c>
      <c r="C24" s="184"/>
    </row>
    <row r="25" spans="1:3" ht="15.75" x14ac:dyDescent="0.25">
      <c r="A25" s="11" t="s">
        <v>3392</v>
      </c>
      <c r="B25" s="172">
        <v>45989</v>
      </c>
      <c r="C25" s="184"/>
    </row>
    <row r="26" spans="1:3" ht="15.75" x14ac:dyDescent="0.25">
      <c r="A26" s="11" t="s">
        <v>3393</v>
      </c>
      <c r="B26" s="172">
        <v>45989</v>
      </c>
      <c r="C26" s="184"/>
    </row>
    <row r="27" spans="1:3" ht="15.75" x14ac:dyDescent="0.25">
      <c r="A27" s="11" t="s">
        <v>3394</v>
      </c>
      <c r="B27" s="172">
        <v>45989</v>
      </c>
      <c r="C27" s="184"/>
    </row>
    <row r="28" spans="1:3" ht="15.75" x14ac:dyDescent="0.25">
      <c r="A28" s="11" t="s">
        <v>3395</v>
      </c>
      <c r="B28" s="172">
        <v>45989</v>
      </c>
      <c r="C28" s="184"/>
    </row>
    <row r="29" spans="1:3" ht="15.75" x14ac:dyDescent="0.25">
      <c r="A29" s="11" t="s">
        <v>3396</v>
      </c>
      <c r="B29" s="172">
        <v>45989</v>
      </c>
      <c r="C29" s="184"/>
    </row>
    <row r="30" spans="1:3" ht="15.75" x14ac:dyDescent="0.25">
      <c r="A30" s="11" t="s">
        <v>3397</v>
      </c>
      <c r="B30" s="172">
        <v>45989</v>
      </c>
      <c r="C30" s="184"/>
    </row>
    <row r="31" spans="1:3" ht="15.75" x14ac:dyDescent="0.25">
      <c r="A31" s="11" t="s">
        <v>3399</v>
      </c>
      <c r="B31" s="172">
        <v>45989</v>
      </c>
      <c r="C31" s="184"/>
    </row>
    <row r="32" spans="1:3" ht="15.75" x14ac:dyDescent="0.25">
      <c r="A32" s="11" t="s">
        <v>3400</v>
      </c>
      <c r="B32" s="172">
        <v>45989</v>
      </c>
      <c r="C32" s="184"/>
    </row>
    <row r="33" spans="1:3" ht="15.75" x14ac:dyDescent="0.25">
      <c r="A33" s="11" t="s">
        <v>3402</v>
      </c>
      <c r="B33" s="172">
        <v>45989</v>
      </c>
      <c r="C33" s="184"/>
    </row>
    <row r="34" spans="1:3" ht="15.75" x14ac:dyDescent="0.25">
      <c r="A34" s="11" t="s">
        <v>3403</v>
      </c>
      <c r="B34" s="172">
        <v>45989</v>
      </c>
      <c r="C34" s="184"/>
    </row>
    <row r="35" spans="1:3" ht="15.75" x14ac:dyDescent="0.25">
      <c r="A35" s="11" t="s">
        <v>3404</v>
      </c>
      <c r="B35" s="172">
        <v>45989</v>
      </c>
      <c r="C35" s="184"/>
    </row>
    <row r="36" spans="1:3" ht="15.75" x14ac:dyDescent="0.25">
      <c r="A36" s="11" t="s">
        <v>3405</v>
      </c>
      <c r="B36" s="172">
        <v>45989</v>
      </c>
      <c r="C36" s="18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125</vt:i4>
      </vt:variant>
      <vt:variant>
        <vt:lpstr>Named Ranges</vt:lpstr>
      </vt:variant>
      <vt:variant>
        <vt:i4>71</vt:i4>
      </vt:variant>
    </vt:vector>
  </HeadingPairs>
  <TitlesOfParts>
    <vt:vector size="196" baseType="lpstr">
      <vt:lpstr>May 14</vt:lpstr>
      <vt:lpstr>June '14</vt:lpstr>
      <vt:lpstr>July '14</vt:lpstr>
      <vt:lpstr>Augst '14</vt:lpstr>
      <vt:lpstr>Sept '14</vt:lpstr>
      <vt:lpstr>Oct '14</vt:lpstr>
      <vt:lpstr>Nov '14</vt:lpstr>
      <vt:lpstr>Dec '14</vt:lpstr>
      <vt:lpstr>Jan '15</vt:lpstr>
      <vt:lpstr>Feb '15</vt:lpstr>
      <vt:lpstr>June '16</vt:lpstr>
      <vt:lpstr>July' 16</vt:lpstr>
      <vt:lpstr>Aug '16</vt:lpstr>
      <vt:lpstr>Sept 16</vt:lpstr>
      <vt:lpstr>Oct 16</vt:lpstr>
      <vt:lpstr>NOV 16</vt:lpstr>
      <vt:lpstr>DEC 16</vt:lpstr>
      <vt:lpstr>JAN 17</vt:lpstr>
      <vt:lpstr>Feb 17</vt:lpstr>
      <vt:lpstr>Mar 17</vt:lpstr>
      <vt:lpstr>APR17</vt:lpstr>
      <vt:lpstr>MAY 17</vt:lpstr>
      <vt:lpstr>JUNE 17</vt:lpstr>
      <vt:lpstr>July 17</vt:lpstr>
      <vt:lpstr>Aug 17</vt:lpstr>
      <vt:lpstr>Sept 17</vt:lpstr>
      <vt:lpstr>Oct 17</vt:lpstr>
      <vt:lpstr>Mar 18</vt:lpstr>
      <vt:lpstr>April 18</vt:lpstr>
      <vt:lpstr>May 18</vt:lpstr>
      <vt:lpstr>June 18</vt:lpstr>
      <vt:lpstr>July 18</vt:lpstr>
      <vt:lpstr>Aug 18</vt:lpstr>
      <vt:lpstr>Sept 18</vt:lpstr>
      <vt:lpstr>Oct 18</vt:lpstr>
      <vt:lpstr>Nov 18</vt:lpstr>
      <vt:lpstr>Dec 18</vt:lpstr>
      <vt:lpstr>Jan 19</vt:lpstr>
      <vt:lpstr>Feb 19</vt:lpstr>
      <vt:lpstr>MAR 19</vt:lpstr>
      <vt:lpstr>APRIL 19</vt:lpstr>
      <vt:lpstr>MAY 2019</vt:lpstr>
      <vt:lpstr>June 19</vt:lpstr>
      <vt:lpstr>JULY 19</vt:lpstr>
      <vt:lpstr>AUG 19</vt:lpstr>
      <vt:lpstr>Sept 19</vt:lpstr>
      <vt:lpstr>OCT 19</vt:lpstr>
      <vt:lpstr>NOV 19</vt:lpstr>
      <vt:lpstr>DEC 19</vt:lpstr>
      <vt:lpstr>JAN 20</vt:lpstr>
      <vt:lpstr>FEB 20</vt:lpstr>
      <vt:lpstr>MAR 20</vt:lpstr>
      <vt:lpstr>APR 20</vt:lpstr>
      <vt:lpstr>MAY 20</vt:lpstr>
      <vt:lpstr>JUNE 20</vt:lpstr>
      <vt:lpstr>JULY 20</vt:lpstr>
      <vt:lpstr>AUG 20</vt:lpstr>
      <vt:lpstr>SEPT 20</vt:lpstr>
      <vt:lpstr>OCT2020</vt:lpstr>
      <vt:lpstr>NOV 2020</vt:lpstr>
      <vt:lpstr>DEC 2020</vt:lpstr>
      <vt:lpstr>JAN2021</vt:lpstr>
      <vt:lpstr>FEB2021 </vt:lpstr>
      <vt:lpstr>MAR2021</vt:lpstr>
      <vt:lpstr>APR2021</vt:lpstr>
      <vt:lpstr>MAY 2021</vt:lpstr>
      <vt:lpstr>JUNE 2021</vt:lpstr>
      <vt:lpstr>JULY21</vt:lpstr>
      <vt:lpstr>AUG21</vt:lpstr>
      <vt:lpstr>SEPT21</vt:lpstr>
      <vt:lpstr>OCT21</vt:lpstr>
      <vt:lpstr>NOV21</vt:lpstr>
      <vt:lpstr>DEC21</vt:lpstr>
      <vt:lpstr>JAN22</vt:lpstr>
      <vt:lpstr>FEB22</vt:lpstr>
      <vt:lpstr>MAR22</vt:lpstr>
      <vt:lpstr>APR22</vt:lpstr>
      <vt:lpstr>MAY22</vt:lpstr>
      <vt:lpstr>JUNE22</vt:lpstr>
      <vt:lpstr>JULY22</vt:lpstr>
      <vt:lpstr>AUG22</vt:lpstr>
      <vt:lpstr>SEPT22</vt:lpstr>
      <vt:lpstr>OCT22</vt:lpstr>
      <vt:lpstr>NOV22</vt:lpstr>
      <vt:lpstr>DEC22</vt:lpstr>
      <vt:lpstr>JAN23</vt:lpstr>
      <vt:lpstr>FEB23</vt:lpstr>
      <vt:lpstr>MAR23</vt:lpstr>
      <vt:lpstr>APR23</vt:lpstr>
      <vt:lpstr>MAY23</vt:lpstr>
      <vt:lpstr>JUNE23</vt:lpstr>
      <vt:lpstr>JULY23</vt:lpstr>
      <vt:lpstr>AUG23</vt:lpstr>
      <vt:lpstr>SEPT23</vt:lpstr>
      <vt:lpstr>OCT23</vt:lpstr>
      <vt:lpstr>NOV23</vt:lpstr>
      <vt:lpstr>DEC23</vt:lpstr>
      <vt:lpstr>JAN24</vt:lpstr>
      <vt:lpstr>FEB24</vt:lpstr>
      <vt:lpstr>MAR24</vt:lpstr>
      <vt:lpstr>APR24</vt:lpstr>
      <vt:lpstr>JUNE24</vt:lpstr>
      <vt:lpstr>JULY24</vt:lpstr>
      <vt:lpstr>AUG24</vt:lpstr>
      <vt:lpstr>SEPT24</vt:lpstr>
      <vt:lpstr>OCT24</vt:lpstr>
      <vt:lpstr>NOV24</vt:lpstr>
      <vt:lpstr>DEC24</vt:lpstr>
      <vt:lpstr>JAN25</vt:lpstr>
      <vt:lpstr>FEB25</vt:lpstr>
      <vt:lpstr>MAR25 (2)</vt:lpstr>
      <vt:lpstr>APR25</vt:lpstr>
      <vt:lpstr>MAY25</vt:lpstr>
      <vt:lpstr>JUNE25</vt:lpstr>
      <vt:lpstr>JULY25</vt:lpstr>
      <vt:lpstr>AUG25</vt:lpstr>
      <vt:lpstr>SEPT 25</vt:lpstr>
      <vt:lpstr>OCT 25</vt:lpstr>
      <vt:lpstr>NOV25</vt:lpstr>
      <vt:lpstr>DEC25</vt:lpstr>
      <vt:lpstr>JAN26</vt:lpstr>
      <vt:lpstr>FEB 26</vt:lpstr>
      <vt:lpstr>MAR26</vt:lpstr>
      <vt:lpstr>APR26</vt:lpstr>
      <vt:lpstr>Sheet1</vt:lpstr>
      <vt:lpstr>'APR17'!Print_Area</vt:lpstr>
      <vt:lpstr>'APR22'!Print_Area</vt:lpstr>
      <vt:lpstr>'APR23'!Print_Area</vt:lpstr>
      <vt:lpstr>'APR24'!Print_Area</vt:lpstr>
      <vt:lpstr>'APR25'!Print_Area</vt:lpstr>
      <vt:lpstr>'APR26'!Print_Area</vt:lpstr>
      <vt:lpstr>'Aug ''16'!Print_Area</vt:lpstr>
      <vt:lpstr>'Aug 17'!Print_Area</vt:lpstr>
      <vt:lpstr>'AUG23'!Print_Area</vt:lpstr>
      <vt:lpstr>'AUG24'!Print_Area</vt:lpstr>
      <vt:lpstr>'AUG25'!Print_Area</vt:lpstr>
      <vt:lpstr>'Augst ''14'!Print_Area</vt:lpstr>
      <vt:lpstr>'Dec ''14'!Print_Area</vt:lpstr>
      <vt:lpstr>'DEC 16'!Print_Area</vt:lpstr>
      <vt:lpstr>'DEC22'!Print_Area</vt:lpstr>
      <vt:lpstr>'DEC24'!Print_Area</vt:lpstr>
      <vt:lpstr>'DEC25'!Print_Area</vt:lpstr>
      <vt:lpstr>'Feb ''15'!Print_Area</vt:lpstr>
      <vt:lpstr>'Feb 17'!Print_Area</vt:lpstr>
      <vt:lpstr>'FEB 26'!Print_Area</vt:lpstr>
      <vt:lpstr>'FEB22'!Print_Area</vt:lpstr>
      <vt:lpstr>'FEB23'!Print_Area</vt:lpstr>
      <vt:lpstr>'FEB24'!Print_Area</vt:lpstr>
      <vt:lpstr>'FEB25'!Print_Area</vt:lpstr>
      <vt:lpstr>'Jan ''15'!Print_Area</vt:lpstr>
      <vt:lpstr>'JAN 17'!Print_Area</vt:lpstr>
      <vt:lpstr>'JAN23'!Print_Area</vt:lpstr>
      <vt:lpstr>'JAN24'!Print_Area</vt:lpstr>
      <vt:lpstr>'JAN25'!Print_Area</vt:lpstr>
      <vt:lpstr>'JAN26'!Print_Area</vt:lpstr>
      <vt:lpstr>'July ''14'!Print_Area</vt:lpstr>
      <vt:lpstr>'July'' 16'!Print_Area</vt:lpstr>
      <vt:lpstr>'July 17'!Print_Area</vt:lpstr>
      <vt:lpstr>JULY23!Print_Area</vt:lpstr>
      <vt:lpstr>JULY24!Print_Area</vt:lpstr>
      <vt:lpstr>JULY25!Print_Area</vt:lpstr>
      <vt:lpstr>'June ''16'!Print_Area</vt:lpstr>
      <vt:lpstr>'JUNE 17'!Print_Area</vt:lpstr>
      <vt:lpstr>JUNE22!Print_Area</vt:lpstr>
      <vt:lpstr>JUNE23!Print_Area</vt:lpstr>
      <vt:lpstr>JUNE24!Print_Area</vt:lpstr>
      <vt:lpstr>JUNE25!Print_Area</vt:lpstr>
      <vt:lpstr>'Mar 17'!Print_Area</vt:lpstr>
      <vt:lpstr>'MAR22'!Print_Area</vt:lpstr>
      <vt:lpstr>'MAR23'!Print_Area</vt:lpstr>
      <vt:lpstr>'MAR24'!Print_Area</vt:lpstr>
      <vt:lpstr>'MAR25 (2)'!Print_Area</vt:lpstr>
      <vt:lpstr>'MAR26'!Print_Area</vt:lpstr>
      <vt:lpstr>'MAY 17'!Print_Area</vt:lpstr>
      <vt:lpstr>'MAY22'!Print_Area</vt:lpstr>
      <vt:lpstr>'MAY23'!Print_Area</vt:lpstr>
      <vt:lpstr>'MAY25'!Print_Area</vt:lpstr>
      <vt:lpstr>'Nov ''14'!Print_Area</vt:lpstr>
      <vt:lpstr>'NOV 16'!Print_Area</vt:lpstr>
      <vt:lpstr>'NOV22'!Print_Area</vt:lpstr>
      <vt:lpstr>'NOV23'!Print_Area</vt:lpstr>
      <vt:lpstr>'NOV24'!Print_Area</vt:lpstr>
      <vt:lpstr>'NOV25'!Print_Area</vt:lpstr>
      <vt:lpstr>'Oct ''14'!Print_Area</vt:lpstr>
      <vt:lpstr>'Oct 16'!Print_Area</vt:lpstr>
      <vt:lpstr>'Oct 17'!Print_Area</vt:lpstr>
      <vt:lpstr>'OCT 25'!Print_Area</vt:lpstr>
      <vt:lpstr>'OCT22'!Print_Area</vt:lpstr>
      <vt:lpstr>'OCT23'!Print_Area</vt:lpstr>
      <vt:lpstr>'OCT24'!Print_Area</vt:lpstr>
      <vt:lpstr>'Sept ''14'!Print_Area</vt:lpstr>
      <vt:lpstr>'Sept 16'!Print_Area</vt:lpstr>
      <vt:lpstr>'Sept 17'!Print_Area</vt:lpstr>
      <vt:lpstr>'SEPT 25'!Print_Area</vt:lpstr>
      <vt:lpstr>SEPT23!Print_Area</vt:lpstr>
      <vt:lpstr>SEPT24!Print_Area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Compton</dc:creator>
  <cp:lastModifiedBy>Tara Kirkley</cp:lastModifiedBy>
  <cp:lastPrinted>2026-06-02T18:46:47Z</cp:lastPrinted>
  <dcterms:created xsi:type="dcterms:W3CDTF">2014-06-11T17:29:14Z</dcterms:created>
  <dcterms:modified xsi:type="dcterms:W3CDTF">2026-06-02T20:36:16Z</dcterms:modified>
</cp:coreProperties>
</file>