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Floorplan Recs\"/>
    </mc:Choice>
  </mc:AlternateContent>
  <xr:revisionPtr revIDLastSave="0" documentId="13_ncr:1_{2E1837B5-092C-43DD-B5C6-3D75AA679B2F}" xr6:coauthVersionLast="47" xr6:coauthVersionMax="47" xr10:uidLastSave="{00000000-0000-0000-0000-000000000000}"/>
  <bookViews>
    <workbookView xWindow="13410" yWindow="1695" windowWidth="13575" windowHeight="12390" firstSheet="115" activeTab="119" xr2:uid="{00000000-000D-0000-FFFF-FFFF00000000}"/>
  </bookViews>
  <sheets>
    <sheet name="May 14" sheetId="2" r:id="rId1"/>
    <sheet name="June '14" sheetId="3" r:id="rId2"/>
    <sheet name="July '14" sheetId="4" r:id="rId3"/>
    <sheet name="Augst '14" sheetId="5" r:id="rId4"/>
    <sheet name="Sept '14" sheetId="6" r:id="rId5"/>
    <sheet name="Oct '14" sheetId="7" r:id="rId6"/>
    <sheet name="Nov '14" sheetId="8" r:id="rId7"/>
    <sheet name="Dec '14" sheetId="9" r:id="rId8"/>
    <sheet name="Jan '15" sheetId="10" r:id="rId9"/>
    <sheet name="Feb '15" sheetId="11" r:id="rId10"/>
    <sheet name="June 16" sheetId="12" r:id="rId11"/>
    <sheet name="July 16" sheetId="13" r:id="rId12"/>
    <sheet name="Aug 2016" sheetId="14" r:id="rId13"/>
    <sheet name="Sept 2016" sheetId="15" r:id="rId14"/>
    <sheet name="OCT 16" sheetId="16" r:id="rId15"/>
    <sheet name="NOV 16" sheetId="17" r:id="rId16"/>
    <sheet name="DEC 16" sheetId="18" r:id="rId17"/>
    <sheet name="JAN 17" sheetId="19" r:id="rId18"/>
    <sheet name="FEB 17" sheetId="20" r:id="rId19"/>
    <sheet name="Mar 17" sheetId="21" r:id="rId20"/>
    <sheet name="APR 17" sheetId="22" r:id="rId21"/>
    <sheet name="MAY 17" sheetId="23" r:id="rId22"/>
    <sheet name="June 17" sheetId="24" r:id="rId23"/>
    <sheet name="July 17" sheetId="25" r:id="rId24"/>
    <sheet name="Aug 17" sheetId="26" r:id="rId25"/>
    <sheet name="Sept 17" sheetId="27" r:id="rId26"/>
    <sheet name="Oct 17" sheetId="28" r:id="rId27"/>
    <sheet name="Feb 18" sheetId="29" r:id="rId28"/>
    <sheet name="Mar 18" sheetId="30" r:id="rId29"/>
    <sheet name="Apr 18" sheetId="31" r:id="rId30"/>
    <sheet name="May 18" sheetId="32" r:id="rId31"/>
    <sheet name="June 18" sheetId="33" r:id="rId32"/>
    <sheet name="July 18" sheetId="34" r:id="rId33"/>
    <sheet name="Aug 18" sheetId="36" r:id="rId34"/>
    <sheet name="Sept 18" sheetId="37" r:id="rId35"/>
    <sheet name="Oct 18" sheetId="38" r:id="rId36"/>
    <sheet name="Nov 18" sheetId="39" r:id="rId37"/>
    <sheet name="DEC 18" sheetId="40" r:id="rId38"/>
    <sheet name="FEB 19" sheetId="41" r:id="rId39"/>
    <sheet name="MAR 19" sheetId="42" r:id="rId40"/>
    <sheet name="April 19" sheetId="43" r:id="rId41"/>
    <sheet name="MAY 19" sheetId="44" r:id="rId42"/>
    <sheet name="JUNE 19" sheetId="45" r:id="rId43"/>
    <sheet name="JULY 19" sheetId="46" r:id="rId44"/>
    <sheet name="AUG 19" sheetId="47" r:id="rId45"/>
    <sheet name="SEPT 19" sheetId="48" r:id="rId46"/>
    <sheet name="OCT 19" sheetId="49" r:id="rId47"/>
    <sheet name="NOV 19" sheetId="50" r:id="rId48"/>
    <sheet name="DEC 19" sheetId="51" r:id="rId49"/>
    <sheet name="JAN 20" sheetId="52" r:id="rId50"/>
    <sheet name="FEB 20" sheetId="53" r:id="rId51"/>
    <sheet name="MAR 20" sheetId="54" r:id="rId52"/>
    <sheet name="APR 20" sheetId="55" r:id="rId53"/>
    <sheet name="MAY 20" sheetId="56" r:id="rId54"/>
    <sheet name="JUNE 20" sheetId="57" r:id="rId55"/>
    <sheet name="JULY 20" sheetId="58" r:id="rId56"/>
    <sheet name="AUG2020" sheetId="59" r:id="rId57"/>
    <sheet name="SEPT 2020" sheetId="60" r:id="rId58"/>
    <sheet name="OCT2020" sheetId="61" r:id="rId59"/>
    <sheet name="NOV 2020" sheetId="62" r:id="rId60"/>
    <sheet name="DEC 2020" sheetId="63" r:id="rId61"/>
    <sheet name="JAN2021" sheetId="64" r:id="rId62"/>
    <sheet name="MAR2021" sheetId="65" r:id="rId63"/>
    <sheet name="APR2021" sheetId="66" r:id="rId64"/>
    <sheet name="MAY2021" sheetId="67" r:id="rId65"/>
    <sheet name="JUNE 2021" sheetId="68" r:id="rId66"/>
    <sheet name="AUG21" sheetId="69" r:id="rId67"/>
    <sheet name="SEPT21" sheetId="70" r:id="rId68"/>
    <sheet name="OCT21" sheetId="71" r:id="rId69"/>
    <sheet name="NOV21" sheetId="72" r:id="rId70"/>
    <sheet name="DEC21" sheetId="73" r:id="rId71"/>
    <sheet name="JAN22" sheetId="74" r:id="rId72"/>
    <sheet name="FEB22" sheetId="75" r:id="rId73"/>
    <sheet name="MAR22" sheetId="76" r:id="rId74"/>
    <sheet name="APR22" sheetId="77" r:id="rId75"/>
    <sheet name="MAY22" sheetId="78" r:id="rId76"/>
    <sheet name="JUN22" sheetId="79" r:id="rId77"/>
    <sheet name="JUL22" sheetId="80" r:id="rId78"/>
    <sheet name="AUG22" sheetId="81" r:id="rId79"/>
    <sheet name="SEPT22" sheetId="82" r:id="rId80"/>
    <sheet name="OCT22" sheetId="83" r:id="rId81"/>
    <sheet name="NOV22" sheetId="84" r:id="rId82"/>
    <sheet name="JAN23" sheetId="85" r:id="rId83"/>
    <sheet name="FEB23" sheetId="86" r:id="rId84"/>
    <sheet name="MAR23" sheetId="87" r:id="rId85"/>
    <sheet name="MAY23" sheetId="88" r:id="rId86"/>
    <sheet name="JUNE23" sheetId="89" r:id="rId87"/>
    <sheet name="JULY23" sheetId="90" r:id="rId88"/>
    <sheet name="AUG23" sheetId="91" r:id="rId89"/>
    <sheet name="SEPT23" sheetId="92" r:id="rId90"/>
    <sheet name="OCT23" sheetId="93" r:id="rId91"/>
    <sheet name="NOV23" sheetId="94" r:id="rId92"/>
    <sheet name="DEC23" sheetId="95" r:id="rId93"/>
    <sheet name="JAN24" sheetId="96" r:id="rId94"/>
    <sheet name="FEB24" sheetId="97" r:id="rId95"/>
    <sheet name="MAR24" sheetId="99" r:id="rId96"/>
    <sheet name="APR24" sheetId="100" r:id="rId97"/>
    <sheet name="MAY24" sheetId="101" r:id="rId98"/>
    <sheet name="JUNE24" sheetId="102" r:id="rId99"/>
    <sheet name="JULY24" sheetId="103" r:id="rId100"/>
    <sheet name="AUG24" sheetId="104" r:id="rId101"/>
    <sheet name="SEPT24" sheetId="105" r:id="rId102"/>
    <sheet name="OCT24" sheetId="106" r:id="rId103"/>
    <sheet name="NOV24" sheetId="107" r:id="rId104"/>
    <sheet name="DEC24" sheetId="108" r:id="rId105"/>
    <sheet name="JAN25" sheetId="109" r:id="rId106"/>
    <sheet name="FEB25" sheetId="110" r:id="rId107"/>
    <sheet name="MAR25" sheetId="111" r:id="rId108"/>
    <sheet name="APR25" sheetId="112" r:id="rId109"/>
    <sheet name="MAY25" sheetId="113" r:id="rId110"/>
    <sheet name="JUNE25" sheetId="114" r:id="rId111"/>
    <sheet name="JULY25" sheetId="115" r:id="rId112"/>
    <sheet name="AUG25" sheetId="116" r:id="rId113"/>
    <sheet name="SEPT25" sheetId="117" r:id="rId114"/>
    <sheet name="NOV25" sheetId="118" r:id="rId115"/>
    <sheet name="DEC25" sheetId="119" r:id="rId116"/>
    <sheet name="JAN26" sheetId="120" r:id="rId117"/>
    <sheet name="FEB26" sheetId="121" r:id="rId118"/>
    <sheet name="MAR26" sheetId="122" r:id="rId119"/>
    <sheet name="APR26" sheetId="123" r:id="rId120"/>
    <sheet name="Sheet2" sheetId="98" r:id="rId121"/>
  </sheets>
  <definedNames>
    <definedName name="_xlnm.Print_Area" localSheetId="74">'APR22'!$A:$F</definedName>
    <definedName name="_xlnm.Print_Area" localSheetId="96">'APR24'!$A$1:$E$42</definedName>
    <definedName name="_xlnm.Print_Area" localSheetId="108">'APR25'!$A$1:$E$41</definedName>
    <definedName name="_xlnm.Print_Area" localSheetId="119">'APR26'!$A$1:$E$26</definedName>
    <definedName name="_xlnm.Print_Area" localSheetId="12">'Aug 2016'!$A$1:$G$30</definedName>
    <definedName name="_xlnm.Print_Area" localSheetId="78">'AUG22'!$A$1:$G$33</definedName>
    <definedName name="_xlnm.Print_Area" localSheetId="88">'AUG23'!$A$1:$G$42</definedName>
    <definedName name="_xlnm.Print_Area" localSheetId="100">'AUG24'!$A$1:$E$34</definedName>
    <definedName name="_xlnm.Print_Area" localSheetId="112">'AUG25'!$A$1:$E$30</definedName>
    <definedName name="_xlnm.Print_Area" localSheetId="3">'Augst ''14'!$A$1:$F$42</definedName>
    <definedName name="_xlnm.Print_Area" localSheetId="7">'Dec ''14'!$A$1:$F$49</definedName>
    <definedName name="_xlnm.Print_Area" localSheetId="16">'DEC 16'!$A$1:$G$37</definedName>
    <definedName name="_xlnm.Print_Area" localSheetId="92">'DEC23'!$A$1:$E$32</definedName>
    <definedName name="_xlnm.Print_Area" localSheetId="104">'DEC24'!$A$1:$E$30</definedName>
    <definedName name="_xlnm.Print_Area" localSheetId="115">'DEC25'!$A$1:$E$29</definedName>
    <definedName name="_xlnm.Print_Area" localSheetId="9">'Feb ''15'!$A$1:$F$42</definedName>
    <definedName name="_xlnm.Print_Area" localSheetId="18">'FEB 17'!$A$1:$G$24</definedName>
    <definedName name="_xlnm.Print_Area" localSheetId="72">'FEB22'!$A:$F</definedName>
    <definedName name="_xlnm.Print_Area" localSheetId="83">'FEB23'!$A$1:$G$37</definedName>
    <definedName name="_xlnm.Print_Area" localSheetId="94">'FEB24'!$A$1:$E$33</definedName>
    <definedName name="_xlnm.Print_Area" localSheetId="106">'FEB25'!$A$1:$E$30</definedName>
    <definedName name="_xlnm.Print_Area" localSheetId="117">'FEB26'!$A$1:$E$37</definedName>
    <definedName name="_xlnm.Print_Area" localSheetId="8">'Jan ''15'!$A$1:$F$40</definedName>
    <definedName name="_xlnm.Print_Area" localSheetId="17">'JAN 17'!$A$1:$G$24</definedName>
    <definedName name="_xlnm.Print_Area" localSheetId="82">'JAN23'!$A$1:$G$32</definedName>
    <definedName name="_xlnm.Print_Area" localSheetId="93">'JAN24'!$A$1:$E$30</definedName>
    <definedName name="_xlnm.Print_Area" localSheetId="105">'JAN25'!$A$1:$E$30</definedName>
    <definedName name="_xlnm.Print_Area" localSheetId="116">'JAN26'!$A$1:$E$29</definedName>
    <definedName name="_xlnm.Print_Area" localSheetId="77">'JUL22'!$A:$F</definedName>
    <definedName name="_xlnm.Print_Area" localSheetId="2">'July ''14'!$A$1:$F$43</definedName>
    <definedName name="_xlnm.Print_Area" localSheetId="11">'July 16'!$A$1:$G$30</definedName>
    <definedName name="_xlnm.Print_Area" localSheetId="87">JULY23!$A$1:$G$42</definedName>
    <definedName name="_xlnm.Print_Area" localSheetId="99">JULY24!$A$1:$E$29</definedName>
    <definedName name="_xlnm.Print_Area" localSheetId="111">JULY25!$A$1:$E$26</definedName>
    <definedName name="_xlnm.Print_Area" localSheetId="76">'JUN22'!$A:$F</definedName>
    <definedName name="_xlnm.Print_Area" localSheetId="10">'June 16'!$A$1:$G$26</definedName>
    <definedName name="_xlnm.Print_Area" localSheetId="86">JUNE23!$A$1:$G$42</definedName>
    <definedName name="_xlnm.Print_Area" localSheetId="98">JUNE24!$A$1:$E$48</definedName>
    <definedName name="_xlnm.Print_Area" localSheetId="110">JUNE25!$A$1:$E$32</definedName>
    <definedName name="_xlnm.Print_Area" localSheetId="73">'MAR22'!$A:$F</definedName>
    <definedName name="_xlnm.Print_Area" localSheetId="84">'MAR23'!$A$1:$G$47</definedName>
    <definedName name="_xlnm.Print_Area" localSheetId="95">'MAR24'!$A$1:$E$42</definedName>
    <definedName name="_xlnm.Print_Area" localSheetId="107">'MAR25'!$A$1:$E$34</definedName>
    <definedName name="_xlnm.Print_Area" localSheetId="118">'MAR26'!$A$1:$E$34</definedName>
    <definedName name="_xlnm.Print_Area" localSheetId="75">'MAY22'!$A:$F</definedName>
    <definedName name="_xlnm.Print_Area" localSheetId="85">'MAY23'!$A$1:$G$39</definedName>
    <definedName name="_xlnm.Print_Area" localSheetId="97">'MAY24'!$A$1:$E$23</definedName>
    <definedName name="_xlnm.Print_Area" localSheetId="109">'MAY25'!$A$1:$E$32</definedName>
    <definedName name="_xlnm.Print_Area" localSheetId="6">'Nov ''14'!$A$1:$F$49</definedName>
    <definedName name="_xlnm.Print_Area" localSheetId="15">'NOV 16'!$A$1:$G$29</definedName>
    <definedName name="_xlnm.Print_Area" localSheetId="81">'NOV22'!$A$1:$G$38</definedName>
    <definedName name="_xlnm.Print_Area" localSheetId="91">'NOV23'!$A$1:$E$22</definedName>
    <definedName name="_xlnm.Print_Area" localSheetId="103">'NOV24'!$A$1:$E$30</definedName>
    <definedName name="_xlnm.Print_Area" localSheetId="114">'NOV25'!$A$1:$E$38</definedName>
    <definedName name="_xlnm.Print_Area" localSheetId="5">'Oct ''14'!$A$1:$F$42</definedName>
    <definedName name="_xlnm.Print_Area" localSheetId="14">'OCT 16'!$A$1:$G$29</definedName>
    <definedName name="_xlnm.Print_Area" localSheetId="80">'OCT22'!$A$1:$G$36</definedName>
    <definedName name="_xlnm.Print_Area" localSheetId="90">'OCT23'!$A$1:$E$35</definedName>
    <definedName name="_xlnm.Print_Area" localSheetId="102">'OCT24'!$A$1:$E$26</definedName>
    <definedName name="_xlnm.Print_Area" localSheetId="4">'Sept ''14'!$A$1:$F$42</definedName>
    <definedName name="_xlnm.Print_Area" localSheetId="13">'Sept 2016'!$A$1:$G$30</definedName>
    <definedName name="_xlnm.Print_Area" localSheetId="79">SEPT22!$A$1:$G$33</definedName>
    <definedName name="_xlnm.Print_Area" localSheetId="89">SEPT23!$A$1:$G$40</definedName>
    <definedName name="_xlnm.Print_Area" localSheetId="101">SEPT24!$A$1:$E$34</definedName>
    <definedName name="_xlnm.Print_Area" localSheetId="113">SEPT25!$A$1:$E$30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123" l="1"/>
  <c r="B13" i="123"/>
  <c r="B6" i="123"/>
  <c r="B7" i="123" s="1"/>
  <c r="B29" i="122"/>
  <c r="B16" i="122"/>
  <c r="B6" i="122"/>
  <c r="B7" i="122" s="1"/>
  <c r="B32" i="121"/>
  <c r="B26" i="121"/>
  <c r="B6" i="121"/>
  <c r="B7" i="121" s="1"/>
  <c r="B24" i="120"/>
  <c r="B14" i="120"/>
  <c r="B6" i="120"/>
  <c r="B7" i="120" s="1"/>
  <c r="B24" i="119"/>
  <c r="B14" i="119"/>
  <c r="B6" i="119"/>
  <c r="B7" i="119" s="1"/>
  <c r="B23" i="118"/>
  <c r="B33" i="118"/>
  <c r="B6" i="118"/>
  <c r="B7" i="118" s="1"/>
  <c r="B25" i="117"/>
  <c r="B20" i="117"/>
  <c r="B6" i="117"/>
  <c r="B7" i="117" s="1"/>
  <c r="B20" i="116"/>
  <c r="B25" i="116"/>
  <c r="B6" i="116"/>
  <c r="B7" i="116" s="1"/>
  <c r="B21" i="115"/>
  <c r="B15" i="115"/>
  <c r="B6" i="115"/>
  <c r="B7" i="115" s="1"/>
  <c r="B27" i="114"/>
  <c r="B21" i="114"/>
  <c r="B6" i="114"/>
  <c r="B7" i="114" s="1"/>
  <c r="B27" i="113"/>
  <c r="B21" i="113"/>
  <c r="B6" i="113"/>
  <c r="B7" i="113" s="1"/>
  <c r="B36" i="112"/>
  <c r="B17" i="112"/>
  <c r="B6" i="112"/>
  <c r="B7" i="112" s="1"/>
  <c r="B29" i="111"/>
  <c r="B16" i="111"/>
  <c r="B6" i="111"/>
  <c r="B7" i="111" s="1"/>
  <c r="B25" i="110"/>
  <c r="B16" i="110"/>
  <c r="B6" i="110"/>
  <c r="B7" i="110" s="1"/>
  <c r="B25" i="109"/>
  <c r="B16" i="109"/>
  <c r="B6" i="109"/>
  <c r="B7" i="109" s="1"/>
  <c r="B25" i="108"/>
  <c r="B16" i="108"/>
  <c r="B6" i="108"/>
  <c r="B7" i="108" s="1"/>
  <c r="B25" i="107"/>
  <c r="B16" i="107"/>
  <c r="B6" i="107"/>
  <c r="B7" i="107" s="1"/>
  <c r="B21" i="106"/>
  <c r="B13" i="106"/>
  <c r="B6" i="106"/>
  <c r="B7" i="106" s="1"/>
  <c r="B29" i="105"/>
  <c r="B23" i="105"/>
  <c r="B6" i="105"/>
  <c r="B7" i="105" s="1"/>
  <c r="B23" i="104"/>
  <c r="B29" i="104"/>
  <c r="B6" i="104"/>
  <c r="B7" i="104" s="1"/>
  <c r="B24" i="103"/>
  <c r="B15" i="103"/>
  <c r="B6" i="103"/>
  <c r="B7" i="103" s="1"/>
  <c r="B43" i="102"/>
  <c r="B39" i="102"/>
  <c r="B6" i="102"/>
  <c r="B7" i="102" s="1"/>
  <c r="B18" i="101"/>
  <c r="B14" i="101"/>
  <c r="B6" i="101"/>
  <c r="B7" i="101" s="1"/>
  <c r="B33" i="100"/>
  <c r="B22" i="123" l="1"/>
  <c r="B23" i="123" s="1"/>
  <c r="B30" i="122"/>
  <c r="B31" i="122" s="1"/>
  <c r="B33" i="121"/>
  <c r="B34" i="121" s="1"/>
  <c r="B25" i="120"/>
  <c r="B26" i="120" s="1"/>
  <c r="B25" i="119"/>
  <c r="B26" i="119" s="1"/>
  <c r="B34" i="118"/>
  <c r="B35" i="118" s="1"/>
  <c r="B26" i="117"/>
  <c r="B27" i="117" s="1"/>
  <c r="B26" i="116"/>
  <c r="B27" i="116" s="1"/>
  <c r="B22" i="115"/>
  <c r="B23" i="115" s="1"/>
  <c r="B28" i="114"/>
  <c r="B29" i="114" s="1"/>
  <c r="B28" i="113"/>
  <c r="B29" i="113" s="1"/>
  <c r="B37" i="112"/>
  <c r="B38" i="112" s="1"/>
  <c r="B30" i="111"/>
  <c r="B31" i="111" s="1"/>
  <c r="B26" i="110"/>
  <c r="B27" i="110" s="1"/>
  <c r="B26" i="109"/>
  <c r="B27" i="109" s="1"/>
  <c r="B26" i="108"/>
  <c r="B27" i="108" s="1"/>
  <c r="B26" i="107"/>
  <c r="B27" i="107" s="1"/>
  <c r="B22" i="106"/>
  <c r="B23" i="106" s="1"/>
  <c r="B30" i="105"/>
  <c r="B31" i="105" s="1"/>
  <c r="B30" i="104"/>
  <c r="B31" i="104" s="1"/>
  <c r="B25" i="103"/>
  <c r="B26" i="103" s="1"/>
  <c r="B44" i="102"/>
  <c r="B45" i="102" s="1"/>
  <c r="B19" i="101"/>
  <c r="B20" i="101" s="1"/>
  <c r="B37" i="100"/>
  <c r="B38" i="100" s="1"/>
  <c r="B6" i="100"/>
  <c r="B7" i="100" s="1"/>
  <c r="B37" i="99"/>
  <c r="B19" i="99"/>
  <c r="B6" i="99"/>
  <c r="B7" i="99" s="1"/>
  <c r="B28" i="97"/>
  <c r="B14" i="97"/>
  <c r="B6" i="97"/>
  <c r="B7" i="97" s="1"/>
  <c r="B25" i="96"/>
  <c r="B14" i="96"/>
  <c r="B6" i="96"/>
  <c r="B7" i="96" s="1"/>
  <c r="B27" i="95"/>
  <c r="B18" i="95"/>
  <c r="B6" i="95"/>
  <c r="B7" i="95" s="1"/>
  <c r="B17" i="94"/>
  <c r="B11" i="94"/>
  <c r="B6" i="94"/>
  <c r="B7" i="94" s="1"/>
  <c r="B30" i="93"/>
  <c r="B11" i="93"/>
  <c r="B6" i="93"/>
  <c r="B7" i="93" s="1"/>
  <c r="B25" i="92"/>
  <c r="B30" i="92"/>
  <c r="B6" i="92"/>
  <c r="B7" i="92" s="1"/>
  <c r="B32" i="91"/>
  <c r="B19" i="91"/>
  <c r="B6" i="91"/>
  <c r="B7" i="91" s="1"/>
  <c r="B32" i="90"/>
  <c r="B19" i="90"/>
  <c r="B6" i="90"/>
  <c r="B7" i="90" s="1"/>
  <c r="B32" i="89"/>
  <c r="B19" i="89"/>
  <c r="B6" i="89"/>
  <c r="B7" i="89" s="1"/>
  <c r="B29" i="88"/>
  <c r="B19" i="88"/>
  <c r="B6" i="88"/>
  <c r="B7" i="88" s="1"/>
  <c r="B37" i="87"/>
  <c r="B19" i="87"/>
  <c r="B6" i="87"/>
  <c r="B7" i="87" s="1"/>
  <c r="B15" i="86"/>
  <c r="B27" i="86"/>
  <c r="B6" i="86"/>
  <c r="B7" i="86" s="1"/>
  <c r="B10" i="85"/>
  <c r="B22" i="85"/>
  <c r="B6" i="85"/>
  <c r="B7" i="85" s="1"/>
  <c r="B6" i="84"/>
  <c r="B28" i="84"/>
  <c r="B11" i="84"/>
  <c r="B7" i="84"/>
  <c r="B15" i="83"/>
  <c r="B26" i="83"/>
  <c r="B6" i="83"/>
  <c r="B7" i="83" s="1"/>
  <c r="B23" i="82"/>
  <c r="B12" i="82"/>
  <c r="B6" i="82"/>
  <c r="B7" i="82" s="1"/>
  <c r="B23" i="81"/>
  <c r="B18" i="81"/>
  <c r="B6" i="81"/>
  <c r="B7" i="81" s="1"/>
  <c r="B6" i="80"/>
  <c r="B18" i="80"/>
  <c r="B11" i="80"/>
  <c r="B7" i="80"/>
  <c r="B28" i="79"/>
  <c r="B35" i="79"/>
  <c r="B6" i="79"/>
  <c r="B7" i="79" s="1"/>
  <c r="B21" i="78"/>
  <c r="B14" i="78"/>
  <c r="B6" i="78"/>
  <c r="B7" i="78" s="1"/>
  <c r="B30" i="77"/>
  <c r="B14" i="77"/>
  <c r="B6" i="77"/>
  <c r="B7" i="77" s="1"/>
  <c r="B25" i="76"/>
  <c r="B21" i="76"/>
  <c r="B6" i="76"/>
  <c r="B7" i="76" s="1"/>
  <c r="B25" i="75"/>
  <c r="B20" i="75"/>
  <c r="B6" i="75"/>
  <c r="B7" i="75" s="1"/>
  <c r="B29" i="74"/>
  <c r="B20" i="74"/>
  <c r="B6" i="74"/>
  <c r="B7" i="74" s="1"/>
  <c r="B20" i="73"/>
  <c r="B29" i="73"/>
  <c r="B6" i="73"/>
  <c r="B7" i="73" s="1"/>
  <c r="B25" i="72"/>
  <c r="B26" i="72" s="1"/>
  <c r="B14" i="72"/>
  <c r="B6" i="72"/>
  <c r="B7" i="72" s="1"/>
  <c r="B39" i="100" l="1"/>
  <c r="B38" i="99"/>
  <c r="B39" i="99" s="1"/>
  <c r="B29" i="97"/>
  <c r="B30" i="97" s="1"/>
  <c r="B26" i="96"/>
  <c r="B27" i="96" s="1"/>
  <c r="B28" i="95"/>
  <c r="B29" i="95" s="1"/>
  <c r="B18" i="94"/>
  <c r="B19" i="94" s="1"/>
  <c r="B31" i="93"/>
  <c r="B32" i="93" s="1"/>
  <c r="B31" i="92"/>
  <c r="B32" i="92" s="1"/>
  <c r="B33" i="91"/>
  <c r="B34" i="91" s="1"/>
  <c r="B33" i="90"/>
  <c r="B34" i="90" s="1"/>
  <c r="B33" i="89"/>
  <c r="B34" i="89" s="1"/>
  <c r="B30" i="88"/>
  <c r="B31" i="88" s="1"/>
  <c r="B38" i="87"/>
  <c r="B39" i="87" s="1"/>
  <c r="B28" i="86"/>
  <c r="B29" i="86" s="1"/>
  <c r="B23" i="85"/>
  <c r="B24" i="85" s="1"/>
  <c r="B29" i="84"/>
  <c r="B30" i="84" s="1"/>
  <c r="B27" i="83"/>
  <c r="B28" i="83" s="1"/>
  <c r="B24" i="82"/>
  <c r="B25" i="82" s="1"/>
  <c r="B24" i="81"/>
  <c r="B25" i="81" s="1"/>
  <c r="B19" i="80"/>
  <c r="B20" i="80" s="1"/>
  <c r="B36" i="79"/>
  <c r="B37" i="79" s="1"/>
  <c r="B22" i="78"/>
  <c r="B23" i="78" s="1"/>
  <c r="B31" i="77"/>
  <c r="B32" i="77" s="1"/>
  <c r="B26" i="76"/>
  <c r="B27" i="76" s="1"/>
  <c r="B26" i="75"/>
  <c r="B27" i="75" s="1"/>
  <c r="B30" i="74"/>
  <c r="B31" i="74" s="1"/>
  <c r="B30" i="73"/>
  <c r="B31" i="73" s="1"/>
  <c r="B27" i="72"/>
  <c r="B25" i="71"/>
  <c r="B14" i="71"/>
  <c r="B6" i="71"/>
  <c r="B7" i="71" s="1"/>
  <c r="B26" i="71" l="1"/>
  <c r="B27" i="71" s="1"/>
  <c r="B29" i="70"/>
  <c r="B14" i="70"/>
  <c r="B6" i="70"/>
  <c r="B7" i="70" s="1"/>
  <c r="B30" i="70" l="1"/>
  <c r="B31" i="70" s="1"/>
  <c r="B29" i="69"/>
  <c r="B14" i="69"/>
  <c r="B6" i="69"/>
  <c r="B7" i="69" s="1"/>
  <c r="B30" i="69" l="1"/>
  <c r="B31" i="69" s="1"/>
  <c r="B57" i="68"/>
  <c r="B30" i="68"/>
  <c r="B6" i="68"/>
  <c r="B7" i="68" s="1"/>
  <c r="B58" i="68" l="1"/>
  <c r="B59" i="68" s="1"/>
  <c r="B30" i="67"/>
  <c r="B22" i="67"/>
  <c r="B31" i="67" s="1"/>
  <c r="B6" i="67"/>
  <c r="B7" i="67" s="1"/>
  <c r="B32" i="67" l="1"/>
  <c r="B36" i="66"/>
  <c r="B20" i="66"/>
  <c r="B6" i="66"/>
  <c r="B7" i="66" s="1"/>
  <c r="B37" i="66" l="1"/>
  <c r="B38" i="66" s="1"/>
  <c r="B32" i="65"/>
  <c r="B16" i="65"/>
  <c r="B6" i="65"/>
  <c r="B7" i="65" s="1"/>
  <c r="B33" i="65" l="1"/>
  <c r="B34" i="65" s="1"/>
  <c r="B21" i="64"/>
  <c r="B16" i="64"/>
  <c r="B6" i="64"/>
  <c r="B7" i="64" s="1"/>
  <c r="B22" i="64" l="1"/>
  <c r="B23" i="64"/>
  <c r="B22" i="63"/>
  <c r="B16" i="63"/>
  <c r="B6" i="63"/>
  <c r="B7" i="63" s="1"/>
  <c r="B23" i="63" l="1"/>
  <c r="B24" i="63"/>
  <c r="B27" i="62"/>
  <c r="B21" i="62"/>
  <c r="B6" i="62"/>
  <c r="B7" i="62" s="1"/>
  <c r="B28" i="62" l="1"/>
  <c r="B29" i="62" s="1"/>
  <c r="B35" i="61"/>
  <c r="B29" i="61"/>
  <c r="B6" i="61"/>
  <c r="B7" i="61" s="1"/>
  <c r="B36" i="61" l="1"/>
  <c r="B37" i="61" s="1"/>
  <c r="B62" i="60"/>
  <c r="B33" i="60"/>
  <c r="B6" i="60"/>
  <c r="B7" i="60" s="1"/>
  <c r="B63" i="60" l="1"/>
  <c r="B64" i="60" s="1"/>
  <c r="B31" i="59"/>
  <c r="B23" i="59"/>
  <c r="B6" i="59"/>
  <c r="B7" i="59" s="1"/>
  <c r="B32" i="59" l="1"/>
  <c r="B33" i="59" s="1"/>
  <c r="B16" i="58"/>
  <c r="B24" i="58"/>
  <c r="B6" i="58"/>
  <c r="B7" i="58" s="1"/>
  <c r="B25" i="58" l="1"/>
  <c r="B26" i="58"/>
  <c r="B29" i="57"/>
  <c r="B13" i="57"/>
  <c r="B30" i="57" s="1"/>
  <c r="B6" i="57"/>
  <c r="B7" i="57" s="1"/>
  <c r="B31" i="57" l="1"/>
  <c r="B17" i="56"/>
  <c r="B33" i="56"/>
  <c r="B6" i="56"/>
  <c r="B7" i="56" s="1"/>
  <c r="B34" i="56" l="1"/>
  <c r="B35" i="56" s="1"/>
  <c r="B13" i="55"/>
  <c r="B69" i="55"/>
  <c r="B6" i="55"/>
  <c r="B7" i="55" s="1"/>
  <c r="B70" i="55" l="1"/>
  <c r="B71" i="55" s="1"/>
  <c r="B61" i="54"/>
  <c r="B11" i="54"/>
  <c r="B6" i="54"/>
  <c r="B7" i="54" s="1"/>
  <c r="B62" i="54" l="1"/>
  <c r="B63" i="54" s="1"/>
  <c r="B24" i="53"/>
  <c r="B14" i="53"/>
  <c r="B6" i="53"/>
  <c r="B7" i="53" s="1"/>
  <c r="B25" i="53" l="1"/>
  <c r="B26" i="53"/>
  <c r="B24" i="52"/>
  <c r="B14" i="52"/>
  <c r="B6" i="52"/>
  <c r="B7" i="52" s="1"/>
  <c r="B25" i="52" l="1"/>
  <c r="B26" i="52"/>
  <c r="B21" i="51"/>
  <c r="B44" i="51"/>
  <c r="B6" i="51"/>
  <c r="B7" i="51" s="1"/>
  <c r="B45" i="51" l="1"/>
  <c r="B46" i="51" s="1"/>
  <c r="B32" i="50"/>
  <c r="B15" i="50"/>
  <c r="B6" i="50"/>
  <c r="B7" i="50" s="1"/>
  <c r="B33" i="50" l="1"/>
  <c r="B34" i="50"/>
  <c r="B33" i="49"/>
  <c r="B15" i="49"/>
  <c r="B6" i="49"/>
  <c r="B7" i="49" s="1"/>
  <c r="B34" i="49" l="1"/>
  <c r="B35" i="49"/>
  <c r="B34" i="48"/>
  <c r="B28" i="48"/>
  <c r="B6" i="48"/>
  <c r="B7" i="48" s="1"/>
  <c r="B35" i="48" l="1"/>
  <c r="B36" i="48" s="1"/>
  <c r="B34" i="47"/>
  <c r="B28" i="47"/>
  <c r="B6" i="47"/>
  <c r="B7" i="47" s="1"/>
  <c r="B35" i="47" l="1"/>
  <c r="B36" i="47" s="1"/>
  <c r="B24" i="46"/>
  <c r="B30" i="46"/>
  <c r="B6" i="46"/>
  <c r="B7" i="46" s="1"/>
  <c r="B31" i="46" l="1"/>
  <c r="B32" i="46" s="1"/>
  <c r="B22" i="45"/>
  <c r="B19" i="45" l="1"/>
  <c r="B23" i="45" s="1"/>
  <c r="B6" i="45"/>
  <c r="B7" i="45" s="1"/>
  <c r="B24" i="45" l="1"/>
  <c r="B15" i="44"/>
  <c r="B19" i="44"/>
  <c r="B6" i="44"/>
  <c r="B7" i="44" s="1"/>
  <c r="B20" i="44" l="1"/>
  <c r="B21" i="44" s="1"/>
  <c r="B26" i="43"/>
  <c r="B12" i="43"/>
  <c r="B6" i="43"/>
  <c r="B7" i="43" s="1"/>
  <c r="B27" i="43" l="1"/>
  <c r="B28" i="43" s="1"/>
  <c r="B36" i="42"/>
  <c r="B21" i="42"/>
  <c r="B6" i="42"/>
  <c r="B7" i="42" s="1"/>
  <c r="B37" i="42" l="1"/>
  <c r="B38" i="42" s="1"/>
  <c r="B29" i="41"/>
  <c r="B14" i="41"/>
  <c r="B6" i="41"/>
  <c r="B7" i="41" s="1"/>
  <c r="B30" i="41" l="1"/>
  <c r="B31" i="41" s="1"/>
  <c r="B20" i="40"/>
  <c r="B14" i="40" l="1"/>
  <c r="B6" i="40"/>
  <c r="B7" i="40" s="1"/>
  <c r="B21" i="40" l="1"/>
  <c r="B22" i="40" s="1"/>
  <c r="B31" i="39"/>
  <c r="B21" i="39"/>
  <c r="B6" i="39"/>
  <c r="B7" i="39" s="1"/>
  <c r="B32" i="39" l="1"/>
  <c r="B33" i="39" s="1"/>
  <c r="B31" i="38"/>
  <c r="B16" i="38"/>
  <c r="B6" i="38"/>
  <c r="B7" i="38" s="1"/>
  <c r="B32" i="38" l="1"/>
  <c r="B33" i="38" s="1"/>
  <c r="B31" i="37"/>
  <c r="B16" i="37"/>
  <c r="B6" i="37"/>
  <c r="B7" i="37" s="1"/>
  <c r="B32" i="37" l="1"/>
  <c r="B33" i="37" s="1"/>
  <c r="B31" i="36"/>
  <c r="B16" i="36"/>
  <c r="B6" i="36"/>
  <c r="B7" i="36" s="1"/>
  <c r="B32" i="36" l="1"/>
  <c r="B33" i="36" s="1"/>
  <c r="B21" i="34"/>
  <c r="B43" i="34" l="1"/>
  <c r="B6" i="34"/>
  <c r="B7" i="34" s="1"/>
  <c r="B44" i="34" l="1"/>
  <c r="B45" i="34" s="1"/>
  <c r="B34" i="33"/>
  <c r="B22" i="33"/>
  <c r="B6" i="33"/>
  <c r="B7" i="33" s="1"/>
  <c r="B35" i="33" l="1"/>
  <c r="B36" i="33" s="1"/>
  <c r="B30" i="32"/>
  <c r="B25" i="32"/>
  <c r="B6" i="32"/>
  <c r="B7" i="32" s="1"/>
  <c r="B31" i="32" l="1"/>
  <c r="B32" i="32"/>
  <c r="B30" i="31"/>
  <c r="B25" i="31"/>
  <c r="B6" i="31"/>
  <c r="B7" i="31" s="1"/>
  <c r="B31" i="31" l="1"/>
  <c r="B32" i="31" s="1"/>
  <c r="B27" i="30"/>
  <c r="B32" i="30"/>
  <c r="B6" i="30"/>
  <c r="B7" i="30" s="1"/>
  <c r="B33" i="30" l="1"/>
  <c r="B34" i="30" s="1"/>
  <c r="B20" i="29"/>
  <c r="B25" i="29"/>
  <c r="B6" i="29"/>
  <c r="B7" i="29" s="1"/>
  <c r="B26" i="29" l="1"/>
  <c r="B27" i="29" s="1"/>
  <c r="B29" i="28"/>
  <c r="B41" i="28"/>
  <c r="B6" i="28"/>
  <c r="B7" i="28" s="1"/>
  <c r="B42" i="28" l="1"/>
  <c r="B43" i="28" s="1"/>
  <c r="B41" i="27"/>
  <c r="B34" i="27"/>
  <c r="B6" i="27"/>
  <c r="B7" i="27" s="1"/>
  <c r="B42" i="27" l="1"/>
  <c r="B43" i="27" s="1"/>
  <c r="B25" i="26"/>
  <c r="B14" i="26"/>
  <c r="B6" i="26"/>
  <c r="B7" i="26" s="1"/>
  <c r="B26" i="26" l="1"/>
  <c r="B27" i="26" s="1"/>
  <c r="B30" i="25"/>
  <c r="B23" i="25"/>
  <c r="B6" i="25"/>
  <c r="B7" i="25" s="1"/>
  <c r="B31" i="25" l="1"/>
  <c r="B32" i="25" s="1"/>
  <c r="B30" i="24"/>
  <c r="B23" i="24"/>
  <c r="B31" i="24" s="1"/>
  <c r="B6" i="24"/>
  <c r="B7" i="24" s="1"/>
  <c r="B32" i="24" l="1"/>
  <c r="B30" i="23"/>
  <c r="B23" i="23"/>
  <c r="B6" i="23"/>
  <c r="B7" i="23" s="1"/>
  <c r="B31" i="23" l="1"/>
  <c r="B32" i="23" s="1"/>
  <c r="B30" i="22"/>
  <c r="B23" i="22"/>
  <c r="B6" i="22"/>
  <c r="B7" i="22" s="1"/>
  <c r="B31" i="22" l="1"/>
  <c r="B32" i="22"/>
  <c r="B23" i="21"/>
  <c r="B30" i="21"/>
  <c r="B6" i="21"/>
  <c r="B7" i="21" s="1"/>
  <c r="B31" i="21" l="1"/>
  <c r="B32" i="21" s="1"/>
  <c r="B19" i="20"/>
  <c r="B12" i="20"/>
  <c r="B6" i="20"/>
  <c r="B7" i="20" s="1"/>
  <c r="B20" i="20" l="1"/>
  <c r="B21" i="20"/>
  <c r="B19" i="19"/>
  <c r="B12" i="19"/>
  <c r="B6" i="19"/>
  <c r="B7" i="19" s="1"/>
  <c r="B20" i="19" l="1"/>
  <c r="B21" i="19" s="1"/>
  <c r="B6" i="18"/>
  <c r="B7" i="18" s="1"/>
  <c r="B25" i="18"/>
  <c r="B32" i="18"/>
  <c r="B33" i="18" l="1"/>
  <c r="B34" i="18"/>
  <c r="B24" i="17"/>
  <c r="B20" i="17"/>
  <c r="B7" i="17"/>
  <c r="B25" i="17" l="1"/>
  <c r="B26" i="17"/>
  <c r="B24" i="16"/>
  <c r="B20" i="16"/>
  <c r="B6" i="16"/>
  <c r="B7" i="16" s="1"/>
  <c r="B25" i="16" l="1"/>
  <c r="B26" i="16" s="1"/>
  <c r="B25" i="15"/>
  <c r="B20" i="15"/>
  <c r="B6" i="15"/>
  <c r="B7" i="15" s="1"/>
  <c r="B26" i="15" l="1"/>
  <c r="B27" i="15" s="1"/>
  <c r="B25" i="14"/>
  <c r="B20" i="14"/>
  <c r="B6" i="14"/>
  <c r="B7" i="14" s="1"/>
  <c r="B26" i="14" l="1"/>
  <c r="B27" i="14" s="1"/>
  <c r="B20" i="13"/>
  <c r="B25" i="13"/>
  <c r="B26" i="13"/>
  <c r="B6" i="13"/>
  <c r="B7" i="13" s="1"/>
  <c r="B27" i="13" l="1"/>
  <c r="B16" i="12"/>
  <c r="B21" i="12"/>
  <c r="B22" i="12" l="1"/>
  <c r="B6" i="12"/>
  <c r="B7" i="12" s="1"/>
  <c r="B23" i="12" l="1"/>
  <c r="B34" i="11"/>
  <c r="B11" i="11"/>
  <c r="B7" i="11"/>
  <c r="B8" i="11" s="1"/>
  <c r="B35" i="11" l="1"/>
  <c r="B36" i="11" s="1"/>
  <c r="B11" i="10"/>
  <c r="B32" i="10"/>
  <c r="B7" i="10"/>
  <c r="B8" i="10" s="1"/>
  <c r="B33" i="10" l="1"/>
  <c r="B34" i="10" s="1"/>
  <c r="B7" i="9"/>
  <c r="B8" i="9" s="1"/>
  <c r="B41" i="9"/>
  <c r="B11" i="9"/>
  <c r="B42" i="9" l="1"/>
  <c r="B43" i="9"/>
  <c r="B41" i="8"/>
  <c r="B11" i="8"/>
  <c r="B7" i="8"/>
  <c r="B8" i="8" s="1"/>
  <c r="B42" i="8" l="1"/>
  <c r="B43" i="8"/>
  <c r="B34" i="7"/>
  <c r="B11" i="7"/>
  <c r="B7" i="7"/>
  <c r="B8" i="7" s="1"/>
  <c r="B35" i="7" l="1"/>
  <c r="B36" i="7"/>
  <c r="B34" i="6"/>
  <c r="B11" i="6"/>
  <c r="B7" i="6"/>
  <c r="B8" i="6" s="1"/>
  <c r="B35" i="6" l="1"/>
  <c r="B36" i="6"/>
  <c r="B34" i="5"/>
  <c r="B11" i="5"/>
  <c r="B7" i="5"/>
  <c r="B8" i="5" s="1"/>
  <c r="B35" i="5" l="1"/>
  <c r="B36" i="5" s="1"/>
  <c r="B35" i="4"/>
  <c r="B11" i="4"/>
  <c r="B7" i="4"/>
  <c r="B8" i="4" s="1"/>
  <c r="B36" i="4" l="1"/>
  <c r="B37" i="4" s="1"/>
  <c r="B38" i="3"/>
  <c r="B11" i="3"/>
  <c r="B7" i="3"/>
  <c r="B8" i="3" s="1"/>
  <c r="B7" i="2" l="1"/>
  <c r="B8" i="2"/>
  <c r="B14" i="2"/>
  <c r="B33" i="2"/>
  <c r="B34" i="2" s="1"/>
  <c r="B35" i="2" l="1"/>
  <c r="B39" i="3"/>
  <c r="B40" i="3"/>
</calcChain>
</file>

<file path=xl/sharedStrings.xml><?xml version="1.0" encoding="utf-8"?>
<sst xmlns="http://schemas.openxmlformats.org/spreadsheetml/2006/main" count="3696" uniqueCount="1724">
  <si>
    <t>Variance</t>
  </si>
  <si>
    <t>Net adjustments</t>
  </si>
  <si>
    <t>On statement-not on GL</t>
  </si>
  <si>
    <t>On schedule-not on statement</t>
  </si>
  <si>
    <t>Difference</t>
  </si>
  <si>
    <t>Total GL</t>
  </si>
  <si>
    <t>GL Balances</t>
  </si>
  <si>
    <t>Total Outstanding per stmt</t>
  </si>
  <si>
    <t>Floorplan Reconciliation-Ada Dodge Chrysler Jeep Ram</t>
  </si>
  <si>
    <t>EH298301</t>
  </si>
  <si>
    <t>EH303127</t>
  </si>
  <si>
    <t>EW255798</t>
  </si>
  <si>
    <t>EW337913</t>
  </si>
  <si>
    <t>EL300852</t>
  </si>
  <si>
    <t>ES317282</t>
  </si>
  <si>
    <t>ES317285</t>
  </si>
  <si>
    <t>EG260275</t>
  </si>
  <si>
    <t>ES326108</t>
  </si>
  <si>
    <t>ED862134 - D1020</t>
  </si>
  <si>
    <t>EW256464 - J5138</t>
  </si>
  <si>
    <t>FN518808 - C1011</t>
  </si>
  <si>
    <t>ES301939 - R1100</t>
  </si>
  <si>
    <t>ES326109 - R1102</t>
  </si>
  <si>
    <t>EG244410 - R1101</t>
  </si>
  <si>
    <t>BOA Floored 5/30</t>
  </si>
  <si>
    <t>BOA Floored 5/27</t>
  </si>
  <si>
    <t>BOA Floored 5/9</t>
  </si>
  <si>
    <t>BOA Floored 5/5</t>
  </si>
  <si>
    <t>BOA Floored 5/28</t>
  </si>
  <si>
    <t>BOA Floored 5/8</t>
  </si>
  <si>
    <t>BOA Floored 5/16</t>
  </si>
  <si>
    <t>BOA Floored 4/30</t>
  </si>
  <si>
    <t>BOA Floored 4/29</t>
  </si>
  <si>
    <t>BOA Floored 5/6 INV'D 6/5</t>
  </si>
  <si>
    <t>BOA Floored 4/16 INV'D 6/5</t>
  </si>
  <si>
    <t>BOA Floored 5/22 INV'D 6/5</t>
  </si>
  <si>
    <t>BOA Floored 4/10 INV'D 6/5</t>
  </si>
  <si>
    <t>BOA Floored 4/1 INV'D 6/5</t>
  </si>
  <si>
    <t>BOA Floored 5/16 INV'D 6/5</t>
  </si>
  <si>
    <t>ED904158 - D1025</t>
  </si>
  <si>
    <t>EFN503074 - C1014</t>
  </si>
  <si>
    <t>ES381261 - R1114</t>
  </si>
  <si>
    <t>EC589592 - J5151</t>
  </si>
  <si>
    <t>EC580136 - J5150</t>
  </si>
  <si>
    <t>EC580137 - J5149</t>
  </si>
  <si>
    <t>EC572558 - J5152</t>
  </si>
  <si>
    <t>ES317282 - R1115</t>
  </si>
  <si>
    <t>BOA Floored 6/24 inv'd 7/7</t>
  </si>
  <si>
    <t>BOA Floored 6/17 inv'd 7/7</t>
  </si>
  <si>
    <t>BOA Floored 6/18 inv'd 7/7</t>
  </si>
  <si>
    <t>BOA Floored 6/26 inv'd 7/7</t>
  </si>
  <si>
    <t>BOA Floored 6/25 inv'd 7/7</t>
  </si>
  <si>
    <t>BOA Floored 5/25 inv'd 7/7</t>
  </si>
  <si>
    <t>BOA Floored 5/8 inv'd 7/7</t>
  </si>
  <si>
    <t>EH327755 - C1015</t>
  </si>
  <si>
    <t>BOA Floored 6/26 inv'd 7/10</t>
  </si>
  <si>
    <t>EC581324 - J5156</t>
  </si>
  <si>
    <t>BOA Floored 6/25 inv'd 7/10</t>
  </si>
  <si>
    <t>EG292192 - R1116</t>
  </si>
  <si>
    <t>BOA Floored 6/23 inv'd 7/10</t>
  </si>
  <si>
    <t>EG292193 - R1117</t>
  </si>
  <si>
    <t>BOA Floored 6/27 inv'd 7/10</t>
  </si>
  <si>
    <t>ES317285 - R1121</t>
  </si>
  <si>
    <t>BOA Floored 5/16 inv'd 7/14</t>
  </si>
  <si>
    <t>EG296885 - R1118</t>
  </si>
  <si>
    <t>BOA Floored 6/20 inv'd 7/10</t>
  </si>
  <si>
    <t>EC559886 - J5155</t>
  </si>
  <si>
    <t>ES337913 - R1129</t>
  </si>
  <si>
    <t>BOA Floored 5/5 inv'd 7/15</t>
  </si>
  <si>
    <t>ES412471 - R1119</t>
  </si>
  <si>
    <t>BOA Floored 6/30 inv'd 7/10</t>
  </si>
  <si>
    <t>EG288982 - R1125</t>
  </si>
  <si>
    <t>BOA Floored 6/26 inv'd 7/15</t>
  </si>
  <si>
    <t>EG288983 - R1124</t>
  </si>
  <si>
    <t>BOA Floored 6/18 inv'd 7/15</t>
  </si>
  <si>
    <t>ES403798 IN TRANSIT</t>
  </si>
  <si>
    <t>ES403800 IN TRANSIT</t>
  </si>
  <si>
    <t>EG297601 IN TRANSIT</t>
  </si>
  <si>
    <t>EL300852  IN TRANSIT</t>
  </si>
  <si>
    <t>ES386107   IN TRANSIT</t>
  </si>
  <si>
    <t>EG288590   IN TRANSIT</t>
  </si>
  <si>
    <t>BOA floored 6/23 PER RICK DEL. 7/21</t>
  </si>
  <si>
    <t>BOA Floored 6/20 PER RICK DEL. 7/21</t>
  </si>
  <si>
    <t>BOA Floored 6/20 PER RICK DEL. 7/30</t>
  </si>
  <si>
    <t>BOA Floored 5/28 PER RICK DEL. 7/25</t>
  </si>
  <si>
    <t>BOA Floored 6/2 PER RICK DEL. 7/28</t>
  </si>
  <si>
    <t>BOA Floored 6/30 PER RICK DEL. 8/6</t>
  </si>
  <si>
    <t>ER221778</t>
  </si>
  <si>
    <t>ED898408</t>
  </si>
  <si>
    <t>EG318230</t>
  </si>
  <si>
    <t>EG321641</t>
  </si>
  <si>
    <t>EG321642</t>
  </si>
  <si>
    <t>EG321643</t>
  </si>
  <si>
    <t>EG321644</t>
  </si>
  <si>
    <t>EG321629</t>
  </si>
  <si>
    <t>EG321630</t>
  </si>
  <si>
    <t>EG321631</t>
  </si>
  <si>
    <t>EG288590</t>
  </si>
  <si>
    <t>ED904159 - D1032</t>
  </si>
  <si>
    <t>EW324052 - J5162</t>
  </si>
  <si>
    <t>ES403798 - R1137</t>
  </si>
  <si>
    <t>EC589321 - J5163</t>
  </si>
  <si>
    <t>ES386107 - R1145</t>
  </si>
  <si>
    <t>EG286433 - R1143</t>
  </si>
  <si>
    <t>EG302400 - R1144</t>
  </si>
  <si>
    <t>BOA floored 7/22 inv'd 8/4</t>
  </si>
  <si>
    <t>BOA floored 7/15 inv'd 8/4</t>
  </si>
  <si>
    <t>BOA floored 7/18 inv'd 8/4</t>
  </si>
  <si>
    <t>BOA floored 6/2 inv'd 8/4</t>
  </si>
  <si>
    <t>BOA floored 7/8 inv'd 8/4</t>
  </si>
  <si>
    <t>BOA floored 7/9 inv'd 8/4</t>
  </si>
  <si>
    <t>BOA fl'd 7/28 in-t eta 8/11</t>
  </si>
  <si>
    <t>BOA fl'd 7/29 in-t eta 8/11</t>
  </si>
  <si>
    <t>BOA fl'd 7/22 in-t eta 8/18</t>
  </si>
  <si>
    <t>BOA fl'd 6/20 st'd in 7/28 not pt'd 8/6</t>
  </si>
  <si>
    <t>BOA fl'd 7/29 in-t eta 8/14</t>
  </si>
  <si>
    <t>BOA fl'd 7/29 in-t eta 8/18</t>
  </si>
  <si>
    <t>BOA fl'd 6/30 in-t eta 8/7</t>
  </si>
  <si>
    <t>FT531729</t>
  </si>
  <si>
    <t>EG332988</t>
  </si>
  <si>
    <t>FH702574</t>
  </si>
  <si>
    <t>D1041 - FH701653</t>
  </si>
  <si>
    <t>FR514450</t>
  </si>
  <si>
    <t>EC596638</t>
  </si>
  <si>
    <t>FR514447</t>
  </si>
  <si>
    <t>C1019 - FR514448</t>
  </si>
  <si>
    <t>FW524787</t>
  </si>
  <si>
    <t>C1018 - FR514449</t>
  </si>
  <si>
    <t>EC589320</t>
  </si>
  <si>
    <t>R1179 - EG296887</t>
  </si>
  <si>
    <t>R1181 - EG321712</t>
  </si>
  <si>
    <t>EG323873</t>
  </si>
  <si>
    <t>R1180 - EG315982</t>
  </si>
  <si>
    <t>BOA FLOORED 8/14 INV'D 9/3</t>
  </si>
  <si>
    <t>BOA FLOORED 8/20 INV'D 9/3</t>
  </si>
  <si>
    <t>BOA FLOORED 8/20INV'D 9/3</t>
  </si>
  <si>
    <t>BOA FLOORED 8/19 INV'D 9/3</t>
  </si>
  <si>
    <t>BOA FLOORED 8/15 INV'D 9/3</t>
  </si>
  <si>
    <t>BOA FLOORED 8/18 INV'D 9/3</t>
  </si>
  <si>
    <t>BOA FLOORED 8/28 in transit</t>
  </si>
  <si>
    <t>BOA FLOORED 8/27 in transit</t>
  </si>
  <si>
    <t>BOA FLOORED 8/21 in transit</t>
  </si>
  <si>
    <t>BOA FLOORED 8/22 in transit</t>
  </si>
  <si>
    <t>BOA FLOORED 8/25 in transit</t>
  </si>
  <si>
    <t>BOA FLOORED 8/26 in transit</t>
  </si>
  <si>
    <t xml:space="preserve">BOA FLOORED 8/20 in transit </t>
  </si>
  <si>
    <t>FD149594</t>
  </si>
  <si>
    <t>FD141533</t>
  </si>
  <si>
    <t>FR512395</t>
  </si>
  <si>
    <t>FL545966</t>
  </si>
  <si>
    <t>FH701121</t>
  </si>
  <si>
    <t>FL545967</t>
  </si>
  <si>
    <t>EC970428</t>
  </si>
  <si>
    <t>FW564551</t>
  </si>
  <si>
    <t>FG515487</t>
  </si>
  <si>
    <t>FR542740</t>
  </si>
  <si>
    <t>BOA floored 9/26 in transit</t>
  </si>
  <si>
    <t>BOA floored 9/16 in transit</t>
  </si>
  <si>
    <t>BOA floored 9/30 in transit</t>
  </si>
  <si>
    <t>BOA floored 9/22 in transit</t>
  </si>
  <si>
    <t>BOA floored 8/28 in transit</t>
  </si>
  <si>
    <t>BOA floored 9/29 in transit</t>
  </si>
  <si>
    <t>BOA floored 9/23 in transit</t>
  </si>
  <si>
    <t>FD173207</t>
  </si>
  <si>
    <t>FW589833</t>
  </si>
  <si>
    <t>FG549363</t>
  </si>
  <si>
    <t>FR546432</t>
  </si>
  <si>
    <t>FG524764</t>
  </si>
  <si>
    <t>FL566890</t>
  </si>
  <si>
    <t>FL566898</t>
  </si>
  <si>
    <t>FS507832</t>
  </si>
  <si>
    <t>FS515392</t>
  </si>
  <si>
    <t>FS500747 - R1213</t>
  </si>
  <si>
    <t>FS504648 - R1216</t>
  </si>
  <si>
    <t>FS504645 - R1215</t>
  </si>
  <si>
    <t>FS502584 - R1214</t>
  </si>
  <si>
    <t>FG520079 - R1212</t>
  </si>
  <si>
    <t>BOA FLOORED 10/17 INV 11/5</t>
  </si>
  <si>
    <t>BOA FLOORED 10/22 inv'd 11/5</t>
  </si>
  <si>
    <t>BOA FLOORED 10/21 inv'd 11/5</t>
  </si>
  <si>
    <t>BOA FLOORED 10/28 - ETA 11/17</t>
  </si>
  <si>
    <t>BOA FLOORED 10/30 - ETA 11/17</t>
  </si>
  <si>
    <t>BOA FLOORED 10/31 - ETA 11/14</t>
  </si>
  <si>
    <t>BOA FLOORED 10/28 - ETA 11/10</t>
  </si>
  <si>
    <t>BOA FLOORED 10/27 - ETA 11/12</t>
  </si>
  <si>
    <t>BOA FLOORED 10/23 - ETA 11/10</t>
  </si>
  <si>
    <t>BOA FLOORED 10/28 - ETA 11/14</t>
  </si>
  <si>
    <t>BOA FLOORED 10/29 - ETA 11/14</t>
  </si>
  <si>
    <t>FD200858</t>
  </si>
  <si>
    <t>FW611838</t>
  </si>
  <si>
    <t>FW611907</t>
  </si>
  <si>
    <t xml:space="preserve">FR615188 </t>
  </si>
  <si>
    <t>FN629570</t>
  </si>
  <si>
    <t>FN622507</t>
  </si>
  <si>
    <t>FG559697 - R1238</t>
  </si>
  <si>
    <t>FH724935</t>
  </si>
  <si>
    <t>FH724913</t>
  </si>
  <si>
    <t>FH728860</t>
  </si>
  <si>
    <t>FH721698</t>
  </si>
  <si>
    <t>FH724891</t>
  </si>
  <si>
    <t>FS554186</t>
  </si>
  <si>
    <t>FS554254</t>
  </si>
  <si>
    <t>FC702367 - D1072</t>
  </si>
  <si>
    <t>FL583607 - J5215</t>
  </si>
  <si>
    <t>FG557982 - R1239</t>
  </si>
  <si>
    <t>FG563018</t>
  </si>
  <si>
    <t>FC697739</t>
  </si>
  <si>
    <t>FS518974</t>
  </si>
  <si>
    <t>FS515393 - R1236</t>
  </si>
  <si>
    <t>FG550961</t>
  </si>
  <si>
    <t>FG550963</t>
  </si>
  <si>
    <t>FG550657</t>
  </si>
  <si>
    <t>FG550658 - R1237</t>
  </si>
  <si>
    <t>FG561381</t>
  </si>
  <si>
    <t>FG550965</t>
  </si>
  <si>
    <t>BOA Floored 11/14, GL 12/2</t>
  </si>
  <si>
    <t>BOA floored 11/19, GL 12/2</t>
  </si>
  <si>
    <t>BOA floored 11/18, GL 12/2</t>
  </si>
  <si>
    <t>BOA floored 11/13, GL 12/2</t>
  </si>
  <si>
    <t>BOA floored 11/12 in transit</t>
  </si>
  <si>
    <t>BOA floored 11/26 in transit</t>
  </si>
  <si>
    <t>BOA floored 11/20 in transit</t>
  </si>
  <si>
    <t>BOA floored 11/25 in transit</t>
  </si>
  <si>
    <t>BOA floored 11/24 in transit</t>
  </si>
  <si>
    <t>BOA floored 11/28 in transit</t>
  </si>
  <si>
    <t>BOA Floored 11/14 in transit</t>
  </si>
  <si>
    <t>BOA floored 11/19 in transit</t>
  </si>
  <si>
    <t>BOA floored 11/07 in transit</t>
  </si>
  <si>
    <t>FT617682</t>
  </si>
  <si>
    <t>FN634614</t>
  </si>
  <si>
    <t>FH742839</t>
  </si>
  <si>
    <t>FH742865</t>
  </si>
  <si>
    <t>FH733387</t>
  </si>
  <si>
    <t>FS543662</t>
  </si>
  <si>
    <t>FS548193</t>
  </si>
  <si>
    <t xml:space="preserve">FN634615 - C1026 </t>
  </si>
  <si>
    <t>FS580697 - R1270</t>
  </si>
  <si>
    <t>FS516392 - R1269</t>
  </si>
  <si>
    <t>FC730315 - D1093</t>
  </si>
  <si>
    <t>FH739593 - D1092</t>
  </si>
  <si>
    <t>FG570231 - R1271</t>
  </si>
  <si>
    <t>BOA floored 12/23  INV'D 1/6</t>
  </si>
  <si>
    <t>BOA floored 12/29  INV'D 1/6</t>
  </si>
  <si>
    <t>BOA floored 12/10  INV'D 1/6</t>
  </si>
  <si>
    <t>BOA floored 12/15  INV'D 1/6</t>
  </si>
  <si>
    <t>BOA floored 12/16  INV'D 1/6</t>
  </si>
  <si>
    <t>BOA floored 12/2  INV'D 1/6</t>
  </si>
  <si>
    <t>BOA floored 12/23 - IN TRANSIT</t>
  </si>
  <si>
    <t>BOA floored 12/18 - IN TRANSIT</t>
  </si>
  <si>
    <t>BOA floored 12/26 - IN TRANSIT</t>
  </si>
  <si>
    <t>BOA floored 12/12 - IN TRANSIT</t>
  </si>
  <si>
    <t>BOA floored 12/24 - IN TRANSIT</t>
  </si>
  <si>
    <t>J5231 - FD263785</t>
  </si>
  <si>
    <t>D1098 - FR687187</t>
  </si>
  <si>
    <t>FW656695</t>
  </si>
  <si>
    <t>FL623058</t>
  </si>
  <si>
    <t>FH761282</t>
  </si>
  <si>
    <t>FH758203</t>
  </si>
  <si>
    <t>J5230 - FL619234</t>
  </si>
  <si>
    <t>D1099 - FH761395</t>
  </si>
  <si>
    <t>FG600670</t>
  </si>
  <si>
    <t>INV'D 2/3, BOA floored 1/27</t>
  </si>
  <si>
    <t>INV'D 2/3, BOA floored 1/16</t>
  </si>
  <si>
    <t>INV'D 2/3, BOA floored 1/20</t>
  </si>
  <si>
    <t>INV'D 2/3, BOA floored 1/21</t>
  </si>
  <si>
    <t>BOA floored 1/21 - In Transit</t>
  </si>
  <si>
    <t>BOA floored 1/29 - In Transit</t>
  </si>
  <si>
    <t>BOA floored 1/23 - In Transit</t>
  </si>
  <si>
    <t>BOA floored 1/15 - In Transit</t>
  </si>
  <si>
    <t>P150 - AB106307</t>
  </si>
  <si>
    <t xml:space="preserve">FD299182 - </t>
  </si>
  <si>
    <t xml:space="preserve">FD299183 - </t>
  </si>
  <si>
    <t xml:space="preserve">FD301438 - </t>
  </si>
  <si>
    <t xml:space="preserve">FD297276 - </t>
  </si>
  <si>
    <t xml:space="preserve">FS623477 - </t>
  </si>
  <si>
    <t xml:space="preserve">FG617606 - </t>
  </si>
  <si>
    <t xml:space="preserve">FG620352 - </t>
  </si>
  <si>
    <t xml:space="preserve">FG617036 - </t>
  </si>
  <si>
    <t xml:space="preserve">FH794136 - </t>
  </si>
  <si>
    <t xml:space="preserve">FG613992 - </t>
  </si>
  <si>
    <t xml:space="preserve">FS605772 - </t>
  </si>
  <si>
    <t xml:space="preserve">FG620415 - </t>
  </si>
  <si>
    <t>FH761282 - D1108</t>
  </si>
  <si>
    <t>FH761283 - D1109</t>
  </si>
  <si>
    <t>FL646803 - J5253</t>
  </si>
  <si>
    <t>FS620712 - R1291</t>
  </si>
  <si>
    <t>FS614775 - R1292</t>
  </si>
  <si>
    <t>FS621429 - R1290</t>
  </si>
  <si>
    <t>FC779173 - J5254</t>
  </si>
  <si>
    <t>FG598755 - R1289</t>
  </si>
  <si>
    <t>INV'D 3/3, BOA floored 1/23</t>
  </si>
  <si>
    <t>INV'D 3/3, BOA floored 2/17</t>
  </si>
  <si>
    <t>INV'D 3/3, BOA floored 2/12</t>
  </si>
  <si>
    <t>INV'D 3/3, BOA floored 2/24</t>
  </si>
  <si>
    <t>INV'D 3/3, BOA floored 2/20</t>
  </si>
  <si>
    <t>INV'D 3/3, BOA floored 2/18</t>
  </si>
  <si>
    <t>INV'D 3/3, BOA floored 2/10</t>
  </si>
  <si>
    <t>BOA not floored, check to Manhiem 3/2</t>
  </si>
  <si>
    <t>BOA floored 2/24, in transit</t>
  </si>
  <si>
    <t>BOA floored 2/23, in transit</t>
  </si>
  <si>
    <t>BOA floored 2/25, in transit</t>
  </si>
  <si>
    <t>BOA floored 2/26, in transit</t>
  </si>
  <si>
    <t>BOA floored 2/27, in transit</t>
  </si>
  <si>
    <t>BOA floored 2/10, in transit</t>
  </si>
  <si>
    <t>Floorplan Reconciliation - Hiley Mazda of Hurst</t>
  </si>
  <si>
    <t>M8712 - GM310246</t>
  </si>
  <si>
    <t>M8711 - G0819831</t>
  </si>
  <si>
    <t>GL floored 6/29, BOA floored 7/6</t>
  </si>
  <si>
    <t>GL floored 6/29, BOA floored 7/1</t>
  </si>
  <si>
    <t>M8851 - GM311825</t>
  </si>
  <si>
    <t>M8850 - GM318018</t>
  </si>
  <si>
    <t>M8837 - G1486408</t>
  </si>
  <si>
    <t>M8838 - G1487258</t>
  </si>
  <si>
    <t xml:space="preserve">M8839 - G1486597 </t>
  </si>
  <si>
    <t>M8016 - NO VIN</t>
  </si>
  <si>
    <t>M8840 - G0829715</t>
  </si>
  <si>
    <t>M8835 - G1486494</t>
  </si>
  <si>
    <t>M8836 - G1486570</t>
  </si>
  <si>
    <t>M8834 - G1486734</t>
  </si>
  <si>
    <t>G1444159</t>
  </si>
  <si>
    <t>SERVICE LOANER</t>
  </si>
  <si>
    <t>GL 7/29, BOA floored 8/1</t>
  </si>
  <si>
    <t>GL 7/29, not floored with BOA, emailed Christy</t>
  </si>
  <si>
    <t>M8945 - GM327381</t>
  </si>
  <si>
    <t>M8946 - GM327180</t>
  </si>
  <si>
    <t>M8942 - GM327536</t>
  </si>
  <si>
    <t>M8947 - GM325798</t>
  </si>
  <si>
    <t>M8943 - GM326964</t>
  </si>
  <si>
    <t>M8949 - GM327766</t>
  </si>
  <si>
    <t>M8935 - GM0114663</t>
  </si>
  <si>
    <t>M8937 - GM0115056</t>
  </si>
  <si>
    <t>M8936 - G0114914</t>
  </si>
  <si>
    <t>GL 8/31, BOA 9/6</t>
  </si>
  <si>
    <t>GL 8/30, BOA 9/6</t>
  </si>
  <si>
    <t>GL 8/29, BOA 9/6</t>
  </si>
  <si>
    <t>M9016 - GM329601</t>
  </si>
  <si>
    <t>M9020 - H1108210</t>
  </si>
  <si>
    <t>M9017 - G0860416</t>
  </si>
  <si>
    <t>M9022 - H1108998</t>
  </si>
  <si>
    <t>M9018 - G0860374</t>
  </si>
  <si>
    <t>M9019 - G860778</t>
  </si>
  <si>
    <t>M9021 - G0117741</t>
  </si>
  <si>
    <t>GL FLOORED 9/30, BOA 10/4</t>
  </si>
  <si>
    <t>GL FLOORED 9/30, BOA 10/6</t>
  </si>
  <si>
    <t>GL FLOROED 9/30, BOA 10/4</t>
  </si>
  <si>
    <t>M9097 - HM109371</t>
  </si>
  <si>
    <t xml:space="preserve">M9078 - HM107905 </t>
  </si>
  <si>
    <t>M9080 - HM104804</t>
  </si>
  <si>
    <t>M9079 - HM106287</t>
  </si>
  <si>
    <t>M9082 - HM107154</t>
  </si>
  <si>
    <t>M9081 - HM102360</t>
  </si>
  <si>
    <t>M9083 - HM102722</t>
  </si>
  <si>
    <t>M9096 - H1112982</t>
  </si>
  <si>
    <t>M9094 - H1114414</t>
  </si>
  <si>
    <t>M9095 - G0873367</t>
  </si>
  <si>
    <t>HM100657</t>
  </si>
  <si>
    <t>FLOORED GL 10/31, BOA 11/8</t>
  </si>
  <si>
    <t>GL 10/25, BOA 11/3</t>
  </si>
  <si>
    <t>GL 10/31, BOA 11/7</t>
  </si>
  <si>
    <t xml:space="preserve">BOA FLOORED 10/27, DAMAGED AT RR, BEING REPAIRED </t>
  </si>
  <si>
    <t>M9200 - HM113308</t>
  </si>
  <si>
    <t>M9193 - HM111350</t>
  </si>
  <si>
    <t>M9202 - HM114243</t>
  </si>
  <si>
    <t>M9194 - HM111909</t>
  </si>
  <si>
    <t>M9199 - HM113856</t>
  </si>
  <si>
    <t>M9203 - H1121046</t>
  </si>
  <si>
    <t>M9201 - HM114022</t>
  </si>
  <si>
    <t>M9204 - 7G0124939</t>
  </si>
  <si>
    <t>gl floor 11/30, boa floor 12/7</t>
  </si>
  <si>
    <t>gl floor 11/28, boa floor 12/2</t>
  </si>
  <si>
    <t>gl floor 11/30, boa floor 12/5</t>
  </si>
  <si>
    <t>M9314 - HM119936</t>
  </si>
  <si>
    <t>M9304 - H1118844</t>
  </si>
  <si>
    <t>M9310 - H1129341</t>
  </si>
  <si>
    <t>M9309 - H127774</t>
  </si>
  <si>
    <t>M9299 - H1120123</t>
  </si>
  <si>
    <t>M9303 - G0902143</t>
  </si>
  <si>
    <t>M9305 - G0902065</t>
  </si>
  <si>
    <t xml:space="preserve">M9308 - H1127486 </t>
  </si>
  <si>
    <t>M9311 - H1127922</t>
  </si>
  <si>
    <t>M9307 - H1118878</t>
  </si>
  <si>
    <t>M9312 - H1127547</t>
  </si>
  <si>
    <t>M9298 - G0902812</t>
  </si>
  <si>
    <t>M9301 - G0903243</t>
  </si>
  <si>
    <t>M9300 - G0903407</t>
  </si>
  <si>
    <t>M9302 - H0101545</t>
  </si>
  <si>
    <t>M9313 - H0101756</t>
  </si>
  <si>
    <t>HM118600</t>
  </si>
  <si>
    <t>M9320 - H0160589</t>
  </si>
  <si>
    <t>Outstanding per stmt</t>
  </si>
  <si>
    <t>GL FLOORED 12/30, BOA 1/6</t>
  </si>
  <si>
    <t>GL FLOORED 12/28, BOA 1/4</t>
  </si>
  <si>
    <t>GL FLOORED 12/30, BOA 1/4</t>
  </si>
  <si>
    <t>GL FLOORED 12/28, BOA 1/3</t>
  </si>
  <si>
    <t>BOA FLOORED 12/28, GL 1/2</t>
  </si>
  <si>
    <t>Mazda is taking back, per Allen</t>
  </si>
  <si>
    <t>M9168 - H0120353</t>
  </si>
  <si>
    <t>BOA FLOORED 12/14, extra auto show car, at Jason's house, stocked in 1/12</t>
  </si>
  <si>
    <t>BOA FLOORED 12/28, to be delivered 1/13</t>
  </si>
  <si>
    <t>M9373 - G0911821</t>
  </si>
  <si>
    <t>GL FLOOR 1/24, BOA 2/09</t>
  </si>
  <si>
    <t>M9497 - H0163314</t>
  </si>
  <si>
    <t>M9496 - H0131326</t>
  </si>
  <si>
    <t>GL FLOORED 2/24, BOA FLOORED 3/1</t>
  </si>
  <si>
    <t>M9590 - H0165663</t>
  </si>
  <si>
    <t>M9588 - H0167095</t>
  </si>
  <si>
    <t>M9589 - H0167046</t>
  </si>
  <si>
    <t>M9605 - H0106217</t>
  </si>
  <si>
    <t>M9611 - H0106551</t>
  </si>
  <si>
    <t>M9607 - H0106556</t>
  </si>
  <si>
    <t>M9610 - H0100693</t>
  </si>
  <si>
    <t>M9604 - H0104572</t>
  </si>
  <si>
    <t>M9609 - H0106177</t>
  </si>
  <si>
    <t>M9612 - H0103614</t>
  </si>
  <si>
    <t>M9592 - HM140129</t>
  </si>
  <si>
    <t>GL FLOORED 3/28, BOA FLOORED 4/3</t>
  </si>
  <si>
    <t>GL FLOORED 3/31, BOA FLOORED 4/4</t>
  </si>
  <si>
    <t>M9608 - H0106204</t>
  </si>
  <si>
    <t>BOA FLOORED 3/28, GL floored 4/1</t>
  </si>
  <si>
    <t>M9724 - H1134700</t>
  </si>
  <si>
    <t>M9727 - H1134439</t>
  </si>
  <si>
    <t>M9722 - H0172042</t>
  </si>
  <si>
    <t>M9723 - H0171436</t>
  </si>
  <si>
    <t>M9725 - H0117590</t>
  </si>
  <si>
    <t>M9712 - H0115580</t>
  </si>
  <si>
    <t>M9718 - H0114937</t>
  </si>
  <si>
    <t>M9714 - H0115289</t>
  </si>
  <si>
    <t>M9717 - H0114529</t>
  </si>
  <si>
    <t>M9713 - H0116693</t>
  </si>
  <si>
    <t>M9716 - H0104850</t>
  </si>
  <si>
    <t>HM135031</t>
  </si>
  <si>
    <t>HM141534 - M9746</t>
  </si>
  <si>
    <t>GL FLOORED 4/26, BOA FLOORED 5/2</t>
  </si>
  <si>
    <t>GL FLOORED 4/26, BOA FLOORED 5/1</t>
  </si>
  <si>
    <t>BOA FLOORED 4/27, GL FLOORED 5/5</t>
  </si>
  <si>
    <t xml:space="preserve">BOA FLOORED 4/25 </t>
  </si>
  <si>
    <t>M9839 - H0174876</t>
  </si>
  <si>
    <t>M9835 - H1137441</t>
  </si>
  <si>
    <t>M9842 - H0133667</t>
  </si>
  <si>
    <t>M9837 - H1137566</t>
  </si>
  <si>
    <t>GL FLOORED 5/30, BOA FLOORED 6/5</t>
  </si>
  <si>
    <t>M9924 - H0152833</t>
  </si>
  <si>
    <t>M9921 - H1139004</t>
  </si>
  <si>
    <t>M9922 - H0154401</t>
  </si>
  <si>
    <t>M9919 - H0153879</t>
  </si>
  <si>
    <t>M9920 - H0153852</t>
  </si>
  <si>
    <t>M9926 - H0152488</t>
  </si>
  <si>
    <t>M9923 - H0153136</t>
  </si>
  <si>
    <t>M9927 -H0106409</t>
  </si>
  <si>
    <t>GL FLOORED 6/30, BOA FLOORED 7/5</t>
  </si>
  <si>
    <t>M9925 - H0153132</t>
  </si>
  <si>
    <t>M9976 - H0123476</t>
  </si>
  <si>
    <t>M9974 - H0123485</t>
  </si>
  <si>
    <t>M9975 - H0123480</t>
  </si>
  <si>
    <t>M9973 - H0107245</t>
  </si>
  <si>
    <t>GL FLOORED 7/26, BOA FLOORED 8/1</t>
  </si>
  <si>
    <t>M10225 - J0304623</t>
  </si>
  <si>
    <t>M10219 - J0304460</t>
  </si>
  <si>
    <t>M10224 - H0192186</t>
  </si>
  <si>
    <t>M10072 - H0130292</t>
  </si>
  <si>
    <t>GL FLOORED 8/29, BOA FLOORED 9/5</t>
  </si>
  <si>
    <t>JM167197 - M10252</t>
  </si>
  <si>
    <t>JM167477 - M10248</t>
  </si>
  <si>
    <t>JM167866 - M10256</t>
  </si>
  <si>
    <t>JM167342 - M10249</t>
  </si>
  <si>
    <t>JM167757 - M10250</t>
  </si>
  <si>
    <t>H0137788 - U3259</t>
  </si>
  <si>
    <t>H0163029 - WRONG VIN</t>
  </si>
  <si>
    <t>BOA FLOORED 8/2, BOA PAID OFF 9/1, CHRISTY ENTERED WRONG VIN</t>
  </si>
  <si>
    <t>BOA FLOORED 8/31, GL FLOORED 9/1</t>
  </si>
  <si>
    <t>BOA FLOORED 8/8, MAZDA SERVICE REPS DEMO TURNED IN, CREDIT IN 2115</t>
  </si>
  <si>
    <t>GL FLOORED 8/29, GL PAID OFF 9/1, SEE BELOW</t>
  </si>
  <si>
    <t>M9248 -  NO VIN</t>
  </si>
  <si>
    <t>M10304 - H0190887</t>
  </si>
  <si>
    <t>M10325 - H0188423</t>
  </si>
  <si>
    <t>M10308 - H0192549</t>
  </si>
  <si>
    <t>M10311 - H0195174</t>
  </si>
  <si>
    <t>M10319 - H0195259</t>
  </si>
  <si>
    <t>M10327 - H0195697</t>
  </si>
  <si>
    <t>M10312 - H0206037</t>
  </si>
  <si>
    <t>M10332 - H0196462</t>
  </si>
  <si>
    <t>M10328 - H0195103</t>
  </si>
  <si>
    <t>M10313 - H0195986</t>
  </si>
  <si>
    <t>M10318 - H0194993</t>
  </si>
  <si>
    <t>M10329 - H0193055</t>
  </si>
  <si>
    <t>M10330 - H0195682</t>
  </si>
  <si>
    <t>M10310 - H0197525</t>
  </si>
  <si>
    <t>M10306 - H0194783</t>
  </si>
  <si>
    <t>M10321 - H0197587</t>
  </si>
  <si>
    <t>M10320 - H0194052</t>
  </si>
  <si>
    <t>M10324 - H0206594</t>
  </si>
  <si>
    <t xml:space="preserve">M10315 - H0204899 </t>
  </si>
  <si>
    <t>M10317 - H0207184</t>
  </si>
  <si>
    <t>M10331 - H0188036</t>
  </si>
  <si>
    <t>M10326 - H0206088</t>
  </si>
  <si>
    <t>M10316 - H0206477</t>
  </si>
  <si>
    <t>U3308 - H1100830</t>
  </si>
  <si>
    <t>U3306 - GM315518</t>
  </si>
  <si>
    <t>U3307 - H1105754</t>
  </si>
  <si>
    <t>U3310 - GM265863</t>
  </si>
  <si>
    <t>M10309 - H0204573</t>
  </si>
  <si>
    <t>GL FLOORED 9/25, BOA FLOORED 10/2</t>
  </si>
  <si>
    <t>GL FLOORED 9/28, BOA FLOORED 10/2</t>
  </si>
  <si>
    <t>GL FLOORED 9/26, BOA FLOORED 10/2</t>
  </si>
  <si>
    <t>GL FLOORED 9/27, BOA FLOORED 10/2</t>
  </si>
  <si>
    <t>GL FLOORED 9/28, BOA FLOORED 10/3</t>
  </si>
  <si>
    <t>GL FLOROED 9/26, BOA FLOORED 10/2</t>
  </si>
  <si>
    <t>BOA FLOORED 9/27, BOA PAYOFF 10/5</t>
  </si>
  <si>
    <t>GL FLOORED 2016, Christy paid off in Oct</t>
  </si>
  <si>
    <t>BOA FLOORED AS M9248 IN 2016, Christy paid off in Oct</t>
  </si>
  <si>
    <t>M10484 - H1145563</t>
  </si>
  <si>
    <t>M10490 - J0315460</t>
  </si>
  <si>
    <t>M10479 - H1145147</t>
  </si>
  <si>
    <t>M10480 - H1145522</t>
  </si>
  <si>
    <t>M10485 - H1146672</t>
  </si>
  <si>
    <t>M10483 - H1146693</t>
  </si>
  <si>
    <t>M10487 - H0216844</t>
  </si>
  <si>
    <t>M10489 - H0217149</t>
  </si>
  <si>
    <t>M10491 - H0217135</t>
  </si>
  <si>
    <t>M10482 - H0216344</t>
  </si>
  <si>
    <t>M10486 - H0216200</t>
  </si>
  <si>
    <t>M10468 - H0215511</t>
  </si>
  <si>
    <t>M10481 - H0220366</t>
  </si>
  <si>
    <t>M10488 - H0215905</t>
  </si>
  <si>
    <t>M10478 - H0219962</t>
  </si>
  <si>
    <t>M10469 - J0207607</t>
  </si>
  <si>
    <t>M10466 - J0206825</t>
  </si>
  <si>
    <t>M10471 - J0206965</t>
  </si>
  <si>
    <t>M10464 - J0206826</t>
  </si>
  <si>
    <t>M10498 - JM179258</t>
  </si>
  <si>
    <t>M10493 - JM179636</t>
  </si>
  <si>
    <t>M10496 - JM179317</t>
  </si>
  <si>
    <t>M10501 - JM180072</t>
  </si>
  <si>
    <t xml:space="preserve">M10497 - JM179081 </t>
  </si>
  <si>
    <t>U3335 - H0133105</t>
  </si>
  <si>
    <t>GL FLOORED 10/31, BOA FLOORED 11/6</t>
  </si>
  <si>
    <t>GL FLOORED 10/27, BOA FLOORED 11/1</t>
  </si>
  <si>
    <t>GL FLOORED 10/31, BOA FLOORED 11/8</t>
  </si>
  <si>
    <t>BOA FLOORED 10/26, PAYOFF 11/7</t>
  </si>
  <si>
    <t>BOA FLOORED 10/30, GL FLOORED 11/1</t>
  </si>
  <si>
    <t>BOA FLOORED 10/31, GL FLOORED 11/1</t>
  </si>
  <si>
    <t>M10793 - J0347515</t>
  </si>
  <si>
    <t>M10787 - J1345500</t>
  </si>
  <si>
    <t>M10789 - J1339917</t>
  </si>
  <si>
    <t>M10786 - J1346703</t>
  </si>
  <si>
    <t>M10784 - J1347322</t>
  </si>
  <si>
    <t>M10791 - J0346575</t>
  </si>
  <si>
    <t>M10790 - J0220380</t>
  </si>
  <si>
    <t>M10783 - J0345011</t>
  </si>
  <si>
    <t>GL FLOORED 2/28, BOA FLOORED 3/5</t>
  </si>
  <si>
    <t>GL FLOORED 2/28, BOA FLOORED 3/1</t>
  </si>
  <si>
    <t>M10858 - J0332204</t>
  </si>
  <si>
    <t>M10856 - J0332167</t>
  </si>
  <si>
    <t>M10843 - J1369356</t>
  </si>
  <si>
    <t xml:space="preserve">M10867 - J0332301 </t>
  </si>
  <si>
    <t>M10854 - J0366374</t>
  </si>
  <si>
    <t>M10861 - J1370298</t>
  </si>
  <si>
    <t>M10860 - J0371557</t>
  </si>
  <si>
    <t>M10857 - J0363153</t>
  </si>
  <si>
    <t>M10859 - J0363953</t>
  </si>
  <si>
    <t>M10863 - J1370055</t>
  </si>
  <si>
    <t>M10890 - JM213408</t>
  </si>
  <si>
    <t xml:space="preserve">M10862 - J1361567 </t>
  </si>
  <si>
    <t>M10855 - J1361566</t>
  </si>
  <si>
    <t>GL FLOORED 3/29, BOA FLOORED 4/2</t>
  </si>
  <si>
    <t>GL FLOORED 3/23, BOA FLOORED 4/3</t>
  </si>
  <si>
    <t>GL FLOORED 3/30, BOA FLOORED 4/9</t>
  </si>
  <si>
    <t>GL FLOORED 3/28, BOA FLOORED 4/2</t>
  </si>
  <si>
    <t>GL FLOORED 3/29, BOA FLOORED 4/3</t>
  </si>
  <si>
    <t>BOA FLOORED 3/28,  GL FLOORED 4/3</t>
  </si>
  <si>
    <t>M10984 - J1309630</t>
  </si>
  <si>
    <t>M10990 - J1379641</t>
  </si>
  <si>
    <t>M11004 - J1381790</t>
  </si>
  <si>
    <t>M10991 - J1381039</t>
  </si>
  <si>
    <t xml:space="preserve">M10978 - J0379174 </t>
  </si>
  <si>
    <t>M10979 - J0380573</t>
  </si>
  <si>
    <t>M10982 - J0378658</t>
  </si>
  <si>
    <t>M11007 - J1380360</t>
  </si>
  <si>
    <t>M10981 - J0379472</t>
  </si>
  <si>
    <t>M10980 - J1380222</t>
  </si>
  <si>
    <t>M11009 - J1380336</t>
  </si>
  <si>
    <t>M10989 - J1379636</t>
  </si>
  <si>
    <t>M10983 - J1375932</t>
  </si>
  <si>
    <t>M10992 - J0205179</t>
  </si>
  <si>
    <t>M11008 - J1308724</t>
  </si>
  <si>
    <t>J0376400</t>
  </si>
  <si>
    <t>J1302819 - M10959</t>
  </si>
  <si>
    <t>M10977 - J0381431</t>
  </si>
  <si>
    <t>GL FLOORED 4/25, BOA FLOORED 5/1</t>
  </si>
  <si>
    <t>GL FLOORED 4/30, BOA FLOORED 5/2</t>
  </si>
  <si>
    <t>GL FLOORED 4/27, BOA FLOORED 5/8</t>
  </si>
  <si>
    <t>BOA FLOORED 4/25, GL FLOORED 5/1</t>
  </si>
  <si>
    <t>BOA FLOORED 4/26, PER RICH - NOT ON LOT - EMAILED REP 5/10</t>
  </si>
  <si>
    <t>M11121 - J1400193</t>
  </si>
  <si>
    <t>M11123 - J0401458</t>
  </si>
  <si>
    <t>M11124 - J0401676</t>
  </si>
  <si>
    <t>M11125 - J0401058</t>
  </si>
  <si>
    <t>M11119 - J1394729</t>
  </si>
  <si>
    <t>M11118 - J0401492</t>
  </si>
  <si>
    <t>M11120 - J1397683</t>
  </si>
  <si>
    <t>GL FLOORED 5/31, BOA FLOORED 6/4</t>
  </si>
  <si>
    <t>GL FLOORED 5/30, BOA FLOORED 6/4</t>
  </si>
  <si>
    <t>M11204 - J1412119</t>
  </si>
  <si>
    <t>M11193 - J0412860</t>
  </si>
  <si>
    <t>M11203 - J1416162</t>
  </si>
  <si>
    <t>M11198 - J1411152</t>
  </si>
  <si>
    <t>M11190 - J0416790</t>
  </si>
  <si>
    <t>M11192 - J1413344</t>
  </si>
  <si>
    <t>M11197 - J0412634</t>
  </si>
  <si>
    <t>M11195 - J1412130</t>
  </si>
  <si>
    <t>M11199 - J0412794</t>
  </si>
  <si>
    <t xml:space="preserve">M11200 - J1413356 </t>
  </si>
  <si>
    <t>M11201 - J1412217</t>
  </si>
  <si>
    <t>JM229875</t>
  </si>
  <si>
    <t>M11205 - J0412676</t>
  </si>
  <si>
    <t>JM230378 - M11246</t>
  </si>
  <si>
    <t>JM230731 - M11237</t>
  </si>
  <si>
    <t>GL FLOORED 6/27, BOA FLOORED 7/2</t>
  </si>
  <si>
    <t>GL FLOORED 6/25, BOA FLOORED 7/2</t>
  </si>
  <si>
    <t>GL FLOORED 6/27, BOA FLOORED 7/3</t>
  </si>
  <si>
    <t>GL FLOORED 6/26, BOA FLOORED 7/2</t>
  </si>
  <si>
    <t>BOA FLOORED 6/26, GL FLOORED 7/12</t>
  </si>
  <si>
    <t>BOA FLOORED 6/26, GL FLOORED 7/9</t>
  </si>
  <si>
    <t>JM228929 - M11279</t>
  </si>
  <si>
    <t xml:space="preserve">BOA FLOORED 6/28 - Per Christy, emailed rep </t>
  </si>
  <si>
    <t>BOA FLOORED 6/19 - per Christy cannot post new invoices</t>
  </si>
  <si>
    <t>M11325 - JM243013</t>
  </si>
  <si>
    <t>M11322 - K0414752</t>
  </si>
  <si>
    <t>M11324 - JM242753</t>
  </si>
  <si>
    <t>M11292 - J0424850</t>
  </si>
  <si>
    <t>M11311 - J1436649</t>
  </si>
  <si>
    <t>M11314 - J1432457</t>
  </si>
  <si>
    <t>M11319 - J0434926</t>
  </si>
  <si>
    <t>M11307 - J1435802</t>
  </si>
  <si>
    <t>M11321 - J1437961</t>
  </si>
  <si>
    <t>M11320 - J1433506</t>
  </si>
  <si>
    <t>M11310 - J1432441</t>
  </si>
  <si>
    <t>JM240112</t>
  </si>
  <si>
    <t>JM229624</t>
  </si>
  <si>
    <t>K0411117</t>
  </si>
  <si>
    <t>J0433364</t>
  </si>
  <si>
    <t>J0433861</t>
  </si>
  <si>
    <t>J1316088</t>
  </si>
  <si>
    <t>J1316148</t>
  </si>
  <si>
    <t>J1315936</t>
  </si>
  <si>
    <t>J1427904</t>
  </si>
  <si>
    <t>J1431664</t>
  </si>
  <si>
    <t>J0418510</t>
  </si>
  <si>
    <t>J1314927</t>
  </si>
  <si>
    <t>J1426063</t>
  </si>
  <si>
    <t>J1318427</t>
  </si>
  <si>
    <t>J1318363</t>
  </si>
  <si>
    <t>J0412770</t>
  </si>
  <si>
    <t>J0229890</t>
  </si>
  <si>
    <t>9J042485</t>
  </si>
  <si>
    <t>GL FLOORED 7/31, BOA FLOORED 8/1</t>
  </si>
  <si>
    <t>GL FLOORED 7/30, BOA FLOORED 8/1</t>
  </si>
  <si>
    <t>GL FLOORED 7/30, BOA FLOORED 8/6</t>
  </si>
  <si>
    <t>M11326 - J1320648</t>
  </si>
  <si>
    <t>J1420648</t>
  </si>
  <si>
    <t>GL FLOORED 7/31, BOA FLOORED 8/6</t>
  </si>
  <si>
    <t>BOA FLOORED 7/27, BOA TRANSFER TO WEST 8/10</t>
  </si>
  <si>
    <t>BOA FLOORED 7/31, BOA TRANSFER TO WEST 8/10</t>
  </si>
  <si>
    <t>BOA FLOORED 7/30, BOA TRANSFER TO WEST 8/10</t>
  </si>
  <si>
    <t>BOA FLOORED 7/26, BOA TRANSFER TO WEST 8/10</t>
  </si>
  <si>
    <t>BOA FLOORED 7/18, BOA TRANSFER TO WEST 8/10</t>
  </si>
  <si>
    <t>BOA FLOORED 7/24, BOA TRANSFER TO WEST 8/10</t>
  </si>
  <si>
    <t>BOA FLOORED 7/23, BOA TRANSFER TO WEST 8/10</t>
  </si>
  <si>
    <t>BOA FLOORED 7/13, BOA TRANSFER TO WEST 8/10</t>
  </si>
  <si>
    <t>J1431535</t>
  </si>
  <si>
    <t>KELLY WITH BOA CORRECTED VIN 8/15</t>
  </si>
  <si>
    <t>BOA FLOORED 7/16, BOA TRANSFER TO WEST 8/15</t>
  </si>
  <si>
    <t>BOA FLOORED 7/26, BOA TRANSFER TO WEST 8/15</t>
  </si>
  <si>
    <t>BOA FLOORED 7/18, BOA TRANSFER TO WEST 8/15</t>
  </si>
  <si>
    <t>BOA FLOORED 7/30, BOA TRANSFER TO WEST 8/15</t>
  </si>
  <si>
    <t>M11382 - J1446765</t>
  </si>
  <si>
    <t>M11385 - J1445697</t>
  </si>
  <si>
    <t>M11389 - J1322430</t>
  </si>
  <si>
    <t>M11383 - K0300820</t>
  </si>
  <si>
    <t>M11388 - K0300904</t>
  </si>
  <si>
    <t>JM244871</t>
  </si>
  <si>
    <t>JM243285</t>
  </si>
  <si>
    <t>JM246943</t>
  </si>
  <si>
    <t>H0210344</t>
  </si>
  <si>
    <t>J0219930</t>
  </si>
  <si>
    <t>J1437858</t>
  </si>
  <si>
    <t>J1444059</t>
  </si>
  <si>
    <t>J0446077</t>
  </si>
  <si>
    <t>J0204618</t>
  </si>
  <si>
    <t>J0205117</t>
  </si>
  <si>
    <t>J1321554</t>
  </si>
  <si>
    <t>JM250297 - M11392</t>
  </si>
  <si>
    <t>M11390 - K0300937</t>
  </si>
  <si>
    <t>GL FLOORED 8/29, BOA FLOORED 9/4</t>
  </si>
  <si>
    <t>GL FLOORED 8/31, BOA FLOORED 9/4</t>
  </si>
  <si>
    <t>BOA FLOORED 8/29, GL FLOORED 9/4</t>
  </si>
  <si>
    <t>WEST'S CAR, TRANSFERRED TO WEST 8/20</t>
  </si>
  <si>
    <t>WEST'S CAR, TRANSFERRED TO WEST 8/24</t>
  </si>
  <si>
    <t>M11455 - J1456236</t>
  </si>
  <si>
    <t>M11456 - J1454958</t>
  </si>
  <si>
    <t>M11450 - J1456274</t>
  </si>
  <si>
    <t>M11451 - J1455607</t>
  </si>
  <si>
    <t>M11449 - J1323685</t>
  </si>
  <si>
    <t>M11452 - J1456172</t>
  </si>
  <si>
    <t>M11457 - K0303870</t>
  </si>
  <si>
    <t>GL FP/PO</t>
  </si>
  <si>
    <t>BOA FP/PO</t>
  </si>
  <si>
    <t>FL 9/28</t>
  </si>
  <si>
    <t>FL 9/26</t>
  </si>
  <si>
    <t>FL 9/27</t>
  </si>
  <si>
    <t>FL 10/2</t>
  </si>
  <si>
    <t>M11661 - K1506087</t>
  </si>
  <si>
    <t>M11675 - K1508382</t>
  </si>
  <si>
    <t>M11678 - K1506813</t>
  </si>
  <si>
    <t>M11660 - K1508438</t>
  </si>
  <si>
    <t>M11676 - K1506192</t>
  </si>
  <si>
    <t>M11658 - J1328262</t>
  </si>
  <si>
    <t>M11674 - J1328660</t>
  </si>
  <si>
    <t>M11677 - K1505476</t>
  </si>
  <si>
    <t>M11659 - K0302792</t>
  </si>
  <si>
    <t>M11680 - K0503874</t>
  </si>
  <si>
    <t>M11673 - J1327928</t>
  </si>
  <si>
    <t>JM266371 - M11690</t>
  </si>
  <si>
    <t xml:space="preserve">JM267289 - M11688 </t>
  </si>
  <si>
    <t>JM266948 - M11695</t>
  </si>
  <si>
    <t>JM267195 - M11692</t>
  </si>
  <si>
    <t>JM267236 - M11693</t>
  </si>
  <si>
    <t>JM267051 - M11691</t>
  </si>
  <si>
    <t>JM267628 - M11689</t>
  </si>
  <si>
    <t>GL Floored</t>
  </si>
  <si>
    <t>BOA Floored</t>
  </si>
  <si>
    <t>M11902 - K0547217</t>
  </si>
  <si>
    <t>M11901 - K0315037</t>
  </si>
  <si>
    <t>JM267999 - M11908</t>
  </si>
  <si>
    <t>M9671 - HM143980</t>
  </si>
  <si>
    <t>HM143980- M9671</t>
  </si>
  <si>
    <t>TARA CORRECTED INTERST PAYMENT IN MARCH</t>
  </si>
  <si>
    <t>TARA CORRECTED INTEREST PAYMENT IN MARCH</t>
  </si>
  <si>
    <t>K0315925 - M11937</t>
  </si>
  <si>
    <t>K0550814 - M11939</t>
  </si>
  <si>
    <t>K0315366 - M11948</t>
  </si>
  <si>
    <t>K0315678 - M11936</t>
  </si>
  <si>
    <t>K0547563 - M11949</t>
  </si>
  <si>
    <t>K0316546 - M11940</t>
  </si>
  <si>
    <t>K0314716 - M11946</t>
  </si>
  <si>
    <t>K0315996 - M11941</t>
  </si>
  <si>
    <t>K0314950 - M11947</t>
  </si>
  <si>
    <t>K0316066 - M11942</t>
  </si>
  <si>
    <t>K0315995 - M11938</t>
  </si>
  <si>
    <t>M12032 - K1110381</t>
  </si>
  <si>
    <t>M12033 - K1108825</t>
  </si>
  <si>
    <t>M12037 - K1579095</t>
  </si>
  <si>
    <t>M12036 - K1116313</t>
  </si>
  <si>
    <t>M12038 - K1122965</t>
  </si>
  <si>
    <t>M12035 - K1123020</t>
  </si>
  <si>
    <t>M12034 - K1574550</t>
  </si>
  <si>
    <t>M12028 - K1579774</t>
  </si>
  <si>
    <t>M12031 - K1574617</t>
  </si>
  <si>
    <t>M12030 - K0568957</t>
  </si>
  <si>
    <t>KM104128</t>
  </si>
  <si>
    <t>KM104143</t>
  </si>
  <si>
    <t>KM104772</t>
  </si>
  <si>
    <t>KM102674</t>
  </si>
  <si>
    <t>KM102714 - M12045</t>
  </si>
  <si>
    <t>M12029 - K1576309</t>
  </si>
  <si>
    <t>PER CHRISTY, IN MEXICO IN TRANSIT</t>
  </si>
  <si>
    <t>m12137 - k1592285</t>
  </si>
  <si>
    <t>km110403</t>
  </si>
  <si>
    <t>km102674</t>
  </si>
  <si>
    <t>km104128</t>
  </si>
  <si>
    <t>km104143</t>
  </si>
  <si>
    <t>km104772</t>
  </si>
  <si>
    <t>m12072 - k1575431</t>
  </si>
  <si>
    <t>j1324036 - m12121</t>
  </si>
  <si>
    <t>per rep in transit</t>
  </si>
  <si>
    <t>floored this VIN BOA 4/30 but posted as M12072; this VIN paid off 5/6 also posted to M12072</t>
  </si>
  <si>
    <t>floored M12072 on GL 4/30; floored VIN of M12121 on BOA - paid off 5/6</t>
  </si>
  <si>
    <t>M12242-K1505221</t>
  </si>
  <si>
    <t>M12244-K1505561</t>
  </si>
  <si>
    <t>M12241-K0608922</t>
  </si>
  <si>
    <t>M12245-K1134346</t>
  </si>
  <si>
    <t>M12243-K0325033</t>
  </si>
  <si>
    <t>KM110403</t>
  </si>
  <si>
    <t>BATTERY WAS STOLEN ON THE RAIL, WAITING FOR REPLACEMENT, SEE EMAIL</t>
  </si>
  <si>
    <t>M12297-K1448036</t>
  </si>
  <si>
    <t>M12298-K0638851</t>
  </si>
  <si>
    <t>M12302-K0638209</t>
  </si>
  <si>
    <t>M12295-K0636408</t>
  </si>
  <si>
    <t>M12301-K1634819</t>
  </si>
  <si>
    <t>M12300-K0308954</t>
  </si>
  <si>
    <t>M12299-K0308980</t>
  </si>
  <si>
    <t>M12296-K0327255</t>
  </si>
  <si>
    <t>GL PAYOFF</t>
  </si>
  <si>
    <t>M12303 - K1638615</t>
  </si>
  <si>
    <t>M12389 - K1452138</t>
  </si>
  <si>
    <t>M12392 - K1146412</t>
  </si>
  <si>
    <t>M12383 - K1508179</t>
  </si>
  <si>
    <t>M12391 - K1655154</t>
  </si>
  <si>
    <t>M12384 - K0659181</t>
  </si>
  <si>
    <t>M12378 - K1507467</t>
  </si>
  <si>
    <t>M12387 - K1507712</t>
  </si>
  <si>
    <t>M12381 - K1656238</t>
  </si>
  <si>
    <t>M12380 - K1657823</t>
  </si>
  <si>
    <t>M12379 - K0309355</t>
  </si>
  <si>
    <t>M12390 - K0330774</t>
  </si>
  <si>
    <t>M12386 - K1451827</t>
  </si>
  <si>
    <t>M12491 - K1454893</t>
  </si>
  <si>
    <t>M12490 - K1509945</t>
  </si>
  <si>
    <t>M12477 - K1454105</t>
  </si>
  <si>
    <t>M12487 - K1454021</t>
  </si>
  <si>
    <t>M12480 - K0673374</t>
  </si>
  <si>
    <t>M12486 - K0675019</t>
  </si>
  <si>
    <t>M12484 - K0674691</t>
  </si>
  <si>
    <t>M12488 - K0674579</t>
  </si>
  <si>
    <t>M12476 - K0673119</t>
  </si>
  <si>
    <t>M12478 - K1510030</t>
  </si>
  <si>
    <t>M12479 - K0665929</t>
  </si>
  <si>
    <t>M12485 - K0333980</t>
  </si>
  <si>
    <t>M12489 - K1665745</t>
  </si>
  <si>
    <t>M12580 - K1453500</t>
  </si>
  <si>
    <t>M12579 - K0675450</t>
  </si>
  <si>
    <t>K0695317</t>
  </si>
  <si>
    <t>K1460709 - M12667</t>
  </si>
  <si>
    <t>K1460820 - M12659</t>
  </si>
  <si>
    <t>K1460549 - M12665</t>
  </si>
  <si>
    <t>K0690577 - M12666</t>
  </si>
  <si>
    <t>K0695123 - M12658</t>
  </si>
  <si>
    <t>K0692543 - M12664</t>
  </si>
  <si>
    <t>K0692120 - M12662</t>
  </si>
  <si>
    <t>GL FLOORED</t>
  </si>
  <si>
    <t>K0695603 - M12672</t>
  </si>
  <si>
    <t>K0692545 - M12670</t>
  </si>
  <si>
    <t>K0696060 - M12671</t>
  </si>
  <si>
    <t>RELEASED TO CARRIER 11/5, REP TO LOOK INTO DELAY OF DELIVERY</t>
  </si>
  <si>
    <t>LM126584 - M12731</t>
  </si>
  <si>
    <t>LM125220 - M12736</t>
  </si>
  <si>
    <t>K0695317 - M12786</t>
  </si>
  <si>
    <t>M12841 - L1518642</t>
  </si>
  <si>
    <t>M12846 - L0756431</t>
  </si>
  <si>
    <t>M12843 - L0753710</t>
  </si>
  <si>
    <t>M12844 - K1518161</t>
  </si>
  <si>
    <t>M12839 - L1518949</t>
  </si>
  <si>
    <t>M12840 - L1518219</t>
  </si>
  <si>
    <t>M12845 - L0754222</t>
  </si>
  <si>
    <t>M12842 - L0754521</t>
  </si>
  <si>
    <t>LM113309 - M12876</t>
  </si>
  <si>
    <t>L1517468 - M12860</t>
  </si>
  <si>
    <t>L1155898 - M12867</t>
  </si>
  <si>
    <t>LM112979 - M12879</t>
  </si>
  <si>
    <t>LM111000 - M12866</t>
  </si>
  <si>
    <t>LM111134 - M12878</t>
  </si>
  <si>
    <t>L0750176 - M12865</t>
  </si>
  <si>
    <t>L0753403 - M12888</t>
  </si>
  <si>
    <t>L1511299 - M12883</t>
  </si>
  <si>
    <t>L1517578 - M12862</t>
  </si>
  <si>
    <t>L0741894 - M12863</t>
  </si>
  <si>
    <t>L0748957 - M12884</t>
  </si>
  <si>
    <t>L0742479 - M12864</t>
  </si>
  <si>
    <t>L0748759 - M12887</t>
  </si>
  <si>
    <t>L0749257 - M12886</t>
  </si>
  <si>
    <t>LM112290 - M12877</t>
  </si>
  <si>
    <t>L1517310 - M12868</t>
  </si>
  <si>
    <t>L0407922 - M12861</t>
  </si>
  <si>
    <t>LM108776 - M12967</t>
  </si>
  <si>
    <t>L1465664 - M13012</t>
  </si>
  <si>
    <t>L1465680 - M13009</t>
  </si>
  <si>
    <t>L0762319 - M13011</t>
  </si>
  <si>
    <t>L0411889 - M13007</t>
  </si>
  <si>
    <t>L0412113 - M13013</t>
  </si>
  <si>
    <t>L0411958 - M13010</t>
  </si>
  <si>
    <t>L0782518 - M13111</t>
  </si>
  <si>
    <t>L1163845 - M13105</t>
  </si>
  <si>
    <t>L0412419 - M13107</t>
  </si>
  <si>
    <t>M13245 -L1471011</t>
  </si>
  <si>
    <t>L1470525</t>
  </si>
  <si>
    <t>L1472167</t>
  </si>
  <si>
    <t>LM130677</t>
  </si>
  <si>
    <t>LM131845</t>
  </si>
  <si>
    <t>L1166186</t>
  </si>
  <si>
    <t>LM130541</t>
  </si>
  <si>
    <t>LM133340</t>
  </si>
  <si>
    <t>L1166263</t>
  </si>
  <si>
    <t>LM132168</t>
  </si>
  <si>
    <t>LM131213</t>
  </si>
  <si>
    <t>L1471011 - M13245</t>
  </si>
  <si>
    <t>L0809160</t>
  </si>
  <si>
    <t>L0808314</t>
  </si>
  <si>
    <t>L1171121</t>
  </si>
  <si>
    <t>L0808773</t>
  </si>
  <si>
    <t>L0789179</t>
  </si>
  <si>
    <t>L1170539</t>
  </si>
  <si>
    <t>L1171845</t>
  </si>
  <si>
    <t>L0807545</t>
  </si>
  <si>
    <t>L0807183</t>
  </si>
  <si>
    <t>L0792299</t>
  </si>
  <si>
    <t>L1155546</t>
  </si>
  <si>
    <t>LM130188</t>
  </si>
  <si>
    <t>L0802413</t>
  </si>
  <si>
    <t>L0808791</t>
  </si>
  <si>
    <t>L1809954</t>
  </si>
  <si>
    <t>LM128734</t>
  </si>
  <si>
    <t>L1806918</t>
  </si>
  <si>
    <t>L0803290</t>
  </si>
  <si>
    <t>L0806477</t>
  </si>
  <si>
    <t>LM129113</t>
  </si>
  <si>
    <t>L0804103</t>
  </si>
  <si>
    <t>L0805296</t>
  </si>
  <si>
    <t>L0808890</t>
  </si>
  <si>
    <t>L0807118</t>
  </si>
  <si>
    <t>L0802345</t>
  </si>
  <si>
    <t>L1522293</t>
  </si>
  <si>
    <t>L0785818</t>
  </si>
  <si>
    <t>L0804220</t>
  </si>
  <si>
    <t>L0420185</t>
  </si>
  <si>
    <t>L0420122</t>
  </si>
  <si>
    <t>L0419542</t>
  </si>
  <si>
    <t>L0419919</t>
  </si>
  <si>
    <t>L0419366</t>
  </si>
  <si>
    <t>L0419087</t>
  </si>
  <si>
    <t>L0417100</t>
  </si>
  <si>
    <t>PER ALLEN ON HOLD AT MAZDA</t>
  </si>
  <si>
    <t>TARA CORRECTED POSTING PER CHRISTY'S EMAIL</t>
  </si>
  <si>
    <t>M13261 - LM135362</t>
  </si>
  <si>
    <t>M13260 - LM134882</t>
  </si>
  <si>
    <t>L0799344</t>
  </si>
  <si>
    <t>L0803351</t>
  </si>
  <si>
    <t>L0804221</t>
  </si>
  <si>
    <t>L0804179</t>
  </si>
  <si>
    <t>L0805050</t>
  </si>
  <si>
    <t>M13262 - L0414183</t>
  </si>
  <si>
    <t>L0417090</t>
  </si>
  <si>
    <t>L0419050</t>
  </si>
  <si>
    <t>PER ALLEN, OFF HOLD, START SHIPPING 5/7</t>
  </si>
  <si>
    <t>M13042 - KM13042</t>
  </si>
  <si>
    <t>M12992 - VTM12992</t>
  </si>
  <si>
    <t>M13353 - L1791998</t>
  </si>
  <si>
    <t>M13303 - 8KM13303</t>
  </si>
  <si>
    <t>M13329 - 8KM13329</t>
  </si>
  <si>
    <t>M13214 - 3KM13214</t>
  </si>
  <si>
    <t>M13294 - 8KM13294</t>
  </si>
  <si>
    <t>L1161601 - M13042</t>
  </si>
  <si>
    <t>LM119567 - M13404</t>
  </si>
  <si>
    <t>L0762376 - M12992</t>
  </si>
  <si>
    <t>L0799609 - M13214</t>
  </si>
  <si>
    <t>L0802413 - M13329</t>
  </si>
  <si>
    <t>L0808791 - M13303</t>
  </si>
  <si>
    <t>L1806918 - M13294</t>
  </si>
  <si>
    <t>DEALER TRACK PULLED WRONG VIN</t>
  </si>
  <si>
    <t>CORRECT VIN - CASE CREATED WITH DEALER TRACK</t>
  </si>
  <si>
    <t>Case update 6/16: should be fixed when 20.06 is released</t>
  </si>
  <si>
    <t>L1473273 - M13501</t>
  </si>
  <si>
    <t>L1473465 - M13502</t>
  </si>
  <si>
    <t>L1473625 - M13503</t>
  </si>
  <si>
    <t>L1173042 - M13508</t>
  </si>
  <si>
    <t>L1173251 - M13507</t>
  </si>
  <si>
    <t>L1173395 - M13509</t>
  </si>
  <si>
    <t>L1173508 - M13511</t>
  </si>
  <si>
    <t>L1173667 - M13510</t>
  </si>
  <si>
    <t>LM135819 - M13492</t>
  </si>
  <si>
    <t>M13560 - L1833347</t>
  </si>
  <si>
    <t>M13512 - L0415085</t>
  </si>
  <si>
    <t>M13548 - L0422940</t>
  </si>
  <si>
    <t>M13542 - L0422763</t>
  </si>
  <si>
    <t>M13543 - L0422743</t>
  </si>
  <si>
    <t>M13549 - L0422495</t>
  </si>
  <si>
    <t>M13724 - L0849436</t>
  </si>
  <si>
    <t>M13722 - L0849917</t>
  </si>
  <si>
    <t>M13725 - L0853854</t>
  </si>
  <si>
    <t>M13735 - L0857334</t>
  </si>
  <si>
    <t>M13739 - L1854326</t>
  </si>
  <si>
    <t>M13738 - L0415155</t>
  </si>
  <si>
    <t>M13728 - L0838595</t>
  </si>
  <si>
    <t>M13729 - L0841284</t>
  </si>
  <si>
    <t>M13726 - L0851379</t>
  </si>
  <si>
    <t>M13727 - L0850810</t>
  </si>
  <si>
    <t>M13721 - L0850137</t>
  </si>
  <si>
    <t>L0854132 - M13752</t>
  </si>
  <si>
    <t>L0849873 - M13755</t>
  </si>
  <si>
    <t>L0849307 - M13753</t>
  </si>
  <si>
    <t>L0849678 - M13751</t>
  </si>
  <si>
    <t>L0851955 - M13750</t>
  </si>
  <si>
    <t>M13723 - L0849502</t>
  </si>
  <si>
    <t>M31720 - L0415189</t>
  </si>
  <si>
    <t>MM215029</t>
  </si>
  <si>
    <t>M13800 - L0855463</t>
  </si>
  <si>
    <t>M13759 - L0857429</t>
  </si>
  <si>
    <t>M13787 - L0858834</t>
  </si>
  <si>
    <t>M13786 - L0859973</t>
  </si>
  <si>
    <t>M13784 - L0854715</t>
  </si>
  <si>
    <t>M13794 - L0854747</t>
  </si>
  <si>
    <t>M13764 - L087986</t>
  </si>
  <si>
    <t>M13773 - L0859882</t>
  </si>
  <si>
    <t>M13762 - L0855848</t>
  </si>
  <si>
    <t>M13758 - L0855939</t>
  </si>
  <si>
    <t>M13776 - L0857963</t>
  </si>
  <si>
    <t>M13774 - L0859736</t>
  </si>
  <si>
    <t>M13788 - L0856224</t>
  </si>
  <si>
    <t>M13818 - L0862082</t>
  </si>
  <si>
    <t>L0860826</t>
  </si>
  <si>
    <t>M13763 - L0856063</t>
  </si>
  <si>
    <t>M13791 - L0854750</t>
  </si>
  <si>
    <t>M13760 - L0857670</t>
  </si>
  <si>
    <t>M13789 - L0856501</t>
  </si>
  <si>
    <t>M13792 - L0858416</t>
  </si>
  <si>
    <t>M13761 - L0855464</t>
  </si>
  <si>
    <t>M13850 - L0422901</t>
  </si>
  <si>
    <t>L0423253</t>
  </si>
  <si>
    <t>M13801 - L0859877</t>
  </si>
  <si>
    <t>L0857429 - M13759</t>
  </si>
  <si>
    <t>L0858834 - M13787</t>
  </si>
  <si>
    <t>L0859973 - M13786</t>
  </si>
  <si>
    <t>L0854715 - M13784</t>
  </si>
  <si>
    <t>L0854747 - M13794</t>
  </si>
  <si>
    <t>L0857986 - M13764</t>
  </si>
  <si>
    <t>L0859882 - M13773</t>
  </si>
  <si>
    <t>L0855848 - M13762</t>
  </si>
  <si>
    <t>L0855939 - M13758</t>
  </si>
  <si>
    <t>L0857963 - M13776</t>
  </si>
  <si>
    <t>M13793 - L0857650</t>
  </si>
  <si>
    <t>L0856224 - M13788</t>
  </si>
  <si>
    <t>L0857650 - M13793</t>
  </si>
  <si>
    <t>L0856063 - M13763</t>
  </si>
  <si>
    <t>L0854750 - M13791</t>
  </si>
  <si>
    <t>L0857670 - M13760</t>
  </si>
  <si>
    <t>L0856501 - M13789</t>
  </si>
  <si>
    <t>L0858416 - M13792</t>
  </si>
  <si>
    <t>L0855464 - M13761</t>
  </si>
  <si>
    <t>L0855463 - M13800</t>
  </si>
  <si>
    <t>MM202508 - M13856</t>
  </si>
  <si>
    <t>L0864620 - M13858</t>
  </si>
  <si>
    <t>L0859877 - M13801</t>
  </si>
  <si>
    <t>L0859736 - M13774</t>
  </si>
  <si>
    <t>NEVER FLOORED WITH BOA</t>
  </si>
  <si>
    <t xml:space="preserve">PAID OFF 10/6 </t>
  </si>
  <si>
    <t>FLOORPLAN NEVER POSTED ON GL</t>
  </si>
  <si>
    <t>CHRISTY CORRECTED VIN 10/8</t>
  </si>
  <si>
    <t>CHRISTY CORRECTED VIN ON OUR SIDE 10/8</t>
  </si>
  <si>
    <t>POSTED WRONG INV, COST OF SALE AFTER PAID OFF</t>
  </si>
  <si>
    <t>POSTED WRONG INV, TARA CORRECTED 10/8</t>
  </si>
  <si>
    <t>TARA CORRECTED GL POSTING 10/8</t>
  </si>
  <si>
    <t>PAID OFF 10/7</t>
  </si>
  <si>
    <t>DELIVERED BY 10/11 PER DAVID SIDES</t>
  </si>
  <si>
    <t>M13982 - M1503804</t>
  </si>
  <si>
    <t>M13973 - M1310840</t>
  </si>
  <si>
    <t>M13990 - M1311396</t>
  </si>
  <si>
    <t>M13987 - M1311951</t>
  </si>
  <si>
    <t>M13983 - M1310105</t>
  </si>
  <si>
    <t>M13981 - M0310983</t>
  </si>
  <si>
    <t>M13988 - M0309062</t>
  </si>
  <si>
    <t>M13992 - M0310958</t>
  </si>
  <si>
    <t>M13980 - M0311032</t>
  </si>
  <si>
    <t>M13986 - M0310011</t>
  </si>
  <si>
    <t>M13991 - M0307881</t>
  </si>
  <si>
    <t>M13989 - M0311092</t>
  </si>
  <si>
    <t>M13977 - M0308690</t>
  </si>
  <si>
    <t>M13978 - M0307549</t>
  </si>
  <si>
    <t>M13976 - M0307546</t>
  </si>
  <si>
    <t>M13979 - M0310636</t>
  </si>
  <si>
    <t>M13975 - M0307900</t>
  </si>
  <si>
    <t>M13985 - M0505048</t>
  </si>
  <si>
    <t>M13984 - M0506929</t>
  </si>
  <si>
    <t>M1302397 - M14067</t>
  </si>
  <si>
    <t>L0417304 - M14065</t>
  </si>
  <si>
    <t>M14116 - M1320833</t>
  </si>
  <si>
    <t>M14118 - M1326597</t>
  </si>
  <si>
    <t>MM232827 - M14251</t>
  </si>
  <si>
    <t>M14468 - M1512709</t>
  </si>
  <si>
    <t>M14481 - M0380872</t>
  </si>
  <si>
    <t>M14482 - M0381730</t>
  </si>
  <si>
    <t>M14483 - M0382046</t>
  </si>
  <si>
    <t>M14480 - M0380264</t>
  </si>
  <si>
    <t>M14484 - M0521696</t>
  </si>
  <si>
    <t>M1334452 - M14518</t>
  </si>
  <si>
    <t>MM250487 - M14491</t>
  </si>
  <si>
    <t>MM251867 - M14490</t>
  </si>
  <si>
    <t>MM251963 - M14492</t>
  </si>
  <si>
    <t>MM251191 - M14493</t>
  </si>
  <si>
    <t>MM250686 - M14494</t>
  </si>
  <si>
    <t>MM250700 - M14496</t>
  </si>
  <si>
    <t>MM250567 - M14495</t>
  </si>
  <si>
    <t>MM250160 - M14497</t>
  </si>
  <si>
    <t>M0454705 - M14513</t>
  </si>
  <si>
    <t>M0376830 - M14519</t>
  </si>
  <si>
    <t>MM252801 - M14523</t>
  </si>
  <si>
    <t>M14613 - M0396176</t>
  </si>
  <si>
    <t>M14619 - M0390409</t>
  </si>
  <si>
    <t>M14622 - M0390381</t>
  </si>
  <si>
    <t>M14618 - M1610961</t>
  </si>
  <si>
    <t>M14620 - M0455627</t>
  </si>
  <si>
    <t>M14621 - M0455052</t>
  </si>
  <si>
    <t>M14623 - M0384469</t>
  </si>
  <si>
    <t>M0385108 - M14634</t>
  </si>
  <si>
    <t>M0523434 - M14635</t>
  </si>
  <si>
    <t>M14738 - M1613261</t>
  </si>
  <si>
    <t>M14722 - M1398141</t>
  </si>
  <si>
    <t>M14748 - M0409695</t>
  </si>
  <si>
    <t>M14736 - M1613321</t>
  </si>
  <si>
    <t>M14726 - M0398514</t>
  </si>
  <si>
    <t>M14737 - M1613535</t>
  </si>
  <si>
    <t>M14739 - M1613495</t>
  </si>
  <si>
    <t>M14759 - M0526319</t>
  </si>
  <si>
    <t>M14723 - M0399267</t>
  </si>
  <si>
    <t>M14721 - M0400617</t>
  </si>
  <si>
    <t xml:space="preserve">M1613523 </t>
  </si>
  <si>
    <t>M0456185 - M14760</t>
  </si>
  <si>
    <t>M0456394 - M14762</t>
  </si>
  <si>
    <t>M0521428 - M14761</t>
  </si>
  <si>
    <t>M14725 - M1398811</t>
  </si>
  <si>
    <t>5/26, PAID OFF 6/8</t>
  </si>
  <si>
    <t>NEVER FLOORED</t>
  </si>
  <si>
    <t>M14866 - M0416510</t>
  </si>
  <si>
    <t>M14908 - M0417711</t>
  </si>
  <si>
    <t>M14884 - M0423151</t>
  </si>
  <si>
    <t>M14880 - M0423268</t>
  </si>
  <si>
    <t>M14919 - M0417208</t>
  </si>
  <si>
    <t>M14848 - M0423966</t>
  </si>
  <si>
    <t>M14916 - M0418246</t>
  </si>
  <si>
    <t>M14907 - M0418831</t>
  </si>
  <si>
    <t>M14927 - M0420464</t>
  </si>
  <si>
    <t>M14917 - M0418078</t>
  </si>
  <si>
    <t>M14905 - M0421759</t>
  </si>
  <si>
    <t>M14909 - M0422568</t>
  </si>
  <si>
    <t>M14915 - M0416874</t>
  </si>
  <si>
    <t>M14918 - M0417890</t>
  </si>
  <si>
    <t>M14914 - M0417596</t>
  </si>
  <si>
    <t>M14857 - M0530706</t>
  </si>
  <si>
    <t>M14879 - M0530026</t>
  </si>
  <si>
    <t>M14904 - M0530261</t>
  </si>
  <si>
    <t>M14911 - M0530402</t>
  </si>
  <si>
    <t>MM269415 - M14948</t>
  </si>
  <si>
    <t>M1343230 - M14963</t>
  </si>
  <si>
    <t>MM269401 - M14947</t>
  </si>
  <si>
    <t>MM268698 - M14933</t>
  </si>
  <si>
    <t>MM268720 - M14949</t>
  </si>
  <si>
    <t>MM268294 - M14931</t>
  </si>
  <si>
    <t>MM268587 - M14932</t>
  </si>
  <si>
    <t>MM268779 - M14946</t>
  </si>
  <si>
    <t>M1343169 - M14960</t>
  </si>
  <si>
    <t>M0417504 - M14942</t>
  </si>
  <si>
    <t>M1340634 - M14959</t>
  </si>
  <si>
    <t>M1614482 - M14958</t>
  </si>
  <si>
    <t>MM268605 - M14961</t>
  </si>
  <si>
    <t>MM268626 - M14950</t>
  </si>
  <si>
    <t>M0417931 - M14939</t>
  </si>
  <si>
    <t>M0457360 - M14964</t>
  </si>
  <si>
    <t>M0418398 - M14941</t>
  </si>
  <si>
    <t>M0529839 - M14940</t>
  </si>
  <si>
    <t>M0529870 - M14937</t>
  </si>
  <si>
    <t>M0529955 - M14938</t>
  </si>
  <si>
    <t>M0529461 - M14936</t>
  </si>
  <si>
    <t>M0416747 - M14869</t>
  </si>
  <si>
    <t>M0417671 - M14925</t>
  </si>
  <si>
    <t>M0417301 - M14979</t>
  </si>
  <si>
    <t>M0456029</t>
  </si>
  <si>
    <t>M15171 - M0457732</t>
  </si>
  <si>
    <t>MM250670 - M15172</t>
  </si>
  <si>
    <t>MM305130 - M15175</t>
  </si>
  <si>
    <t>M1400604 - M15173</t>
  </si>
  <si>
    <t>MM250514 - M15192</t>
  </si>
  <si>
    <t>MM250504 - M18188</t>
  </si>
  <si>
    <t>MM250348 - M15193</t>
  </si>
  <si>
    <t>MM305352 - M15194</t>
  </si>
  <si>
    <t>MM305271 - M15189</t>
  </si>
  <si>
    <t>MM304992 - M15190</t>
  </si>
  <si>
    <t>Jeremy Willams</t>
  </si>
  <si>
    <t>Luke Thurman</t>
  </si>
  <si>
    <t>PER REP - DAMAGED IN TRANSIT, WORKING ON REPAIRS</t>
  </si>
  <si>
    <t>MM251281 - M15243</t>
  </si>
  <si>
    <t>DAMAGED IN TRANSIT LAST MONTH, PARTS FOR REPAIR ON BACKORDER, SEE EMAIL FROM REP</t>
  </si>
  <si>
    <t>M15285 - M0473912</t>
  </si>
  <si>
    <t>M15286 - M0476556</t>
  </si>
  <si>
    <t>MM308973 - M15289</t>
  </si>
  <si>
    <t>FL 8/24, PO 11/4</t>
  </si>
  <si>
    <t>NEVER IN INVENTORY</t>
  </si>
  <si>
    <t>MM253953 - M15354</t>
  </si>
  <si>
    <t>MM316220 - M15348</t>
  </si>
  <si>
    <t>M1403143 - M15353</t>
  </si>
  <si>
    <t>M15445 - N1502602</t>
  </si>
  <si>
    <t>M15444 - N1503241</t>
  </si>
  <si>
    <t>M15441 - N1504653</t>
  </si>
  <si>
    <t>M15443 - N1500476</t>
  </si>
  <si>
    <t>M15435 - N1504149</t>
  </si>
  <si>
    <t>M15404 - M0499317</t>
  </si>
  <si>
    <t>M15427 - M0499341</t>
  </si>
  <si>
    <t>M15438 - N0523374</t>
  </si>
  <si>
    <t>M15442 - N0602726</t>
  </si>
  <si>
    <t>M15436 - N0603032</t>
  </si>
  <si>
    <t>MM319836 - M15430</t>
  </si>
  <si>
    <t>MM320079 - M15454</t>
  </si>
  <si>
    <t>MM320104 - M15453</t>
  </si>
  <si>
    <t>MM319852 - M15429</t>
  </si>
  <si>
    <t>MM319382 - M15385</t>
  </si>
  <si>
    <t>M1619991 - M15387</t>
  </si>
  <si>
    <t>M15535 - N0542979</t>
  </si>
  <si>
    <t>M15472 - N1535834</t>
  </si>
  <si>
    <t>M15474 - N0536578</t>
  </si>
  <si>
    <t>M15473 - N0536032</t>
  </si>
  <si>
    <t>M15530 - N0606990</t>
  </si>
  <si>
    <t>M15621 - N1511948</t>
  </si>
  <si>
    <t>M15617 - N0559278</t>
  </si>
  <si>
    <t>M15619 - N1553217</t>
  </si>
  <si>
    <t>M15638 - N0557029</t>
  </si>
  <si>
    <t>M15627 - N1562007</t>
  </si>
  <si>
    <t>M15639 - N0501504</t>
  </si>
  <si>
    <t>M15618 - N0502017</t>
  </si>
  <si>
    <t>M15626 -N0557176</t>
  </si>
  <si>
    <t>NM409715 - M15673</t>
  </si>
  <si>
    <t>DEALER TRADE, CHRISTY CORRECTED 3/11</t>
  </si>
  <si>
    <t>M15680 - NM413797</t>
  </si>
  <si>
    <t>M15846 - NM418227</t>
  </si>
  <si>
    <t>M15855 - NM415051</t>
  </si>
  <si>
    <t>M15847 - N0502893</t>
  </si>
  <si>
    <t>M15734 - N0502803</t>
  </si>
  <si>
    <t>M15751 - N0586657</t>
  </si>
  <si>
    <t>M15752 - N0588859</t>
  </si>
  <si>
    <t>M15740 - PN100761</t>
  </si>
  <si>
    <t>M15741 - PN100770</t>
  </si>
  <si>
    <t>M15738 - PN100741</t>
  </si>
  <si>
    <t>M15739 - PN100692</t>
  </si>
  <si>
    <t>NM414776 - M15890</t>
  </si>
  <si>
    <t>NM304773 - M15987</t>
  </si>
  <si>
    <t>NM420855 - M15874</t>
  </si>
  <si>
    <t>NM420881 - M15877</t>
  </si>
  <si>
    <t>NM418948 - M15717</t>
  </si>
  <si>
    <t>NM421214 - M15883</t>
  </si>
  <si>
    <t>NM419239 - M15886</t>
  </si>
  <si>
    <t>NM418252 - M15885</t>
  </si>
  <si>
    <t>NM422492 - M15988</t>
  </si>
  <si>
    <t>N1593007 - M15975</t>
  </si>
  <si>
    <t>NM421995 - M15871</t>
  </si>
  <si>
    <t>NM422336 - M15872</t>
  </si>
  <si>
    <t>N0595187 - M15974</t>
  </si>
  <si>
    <t>M15948 - N0603291</t>
  </si>
  <si>
    <t>NM422829 - M15934</t>
  </si>
  <si>
    <t>M16027 - N0616942</t>
  </si>
  <si>
    <t>M16033 - N0616565</t>
  </si>
  <si>
    <t>M16039 - N0620216</t>
  </si>
  <si>
    <t>M16069 - NM430673</t>
  </si>
  <si>
    <t>M16067 - NM432931</t>
  </si>
  <si>
    <t>M16068 - NM433473</t>
  </si>
  <si>
    <t>M16046 - N0620318</t>
  </si>
  <si>
    <t>M16032 - N0618450</t>
  </si>
  <si>
    <t>M16031 - N0618592</t>
  </si>
  <si>
    <t>M16066 - PN107001</t>
  </si>
  <si>
    <t>M16064 - PN106947</t>
  </si>
  <si>
    <t>M16071 - N0621151</t>
  </si>
  <si>
    <t>M16049 - N0620207</t>
  </si>
  <si>
    <t>M16052 - N0616558</t>
  </si>
  <si>
    <t>M16070 - N0620552</t>
  </si>
  <si>
    <t>M16065 - PN107341</t>
  </si>
  <si>
    <t>M16063 - PN106732</t>
  </si>
  <si>
    <t>M15942 - PN106566</t>
  </si>
  <si>
    <t>NM425008 - M15926</t>
  </si>
  <si>
    <t>NM305723 - M16090</t>
  </si>
  <si>
    <t>NM430195 - M16091</t>
  </si>
  <si>
    <t>NM431913</t>
  </si>
  <si>
    <t>M16104 - PN109959</t>
  </si>
  <si>
    <t>N0628228 - M16170</t>
  </si>
  <si>
    <t>NM432581 - M16200</t>
  </si>
  <si>
    <t>NM432585 - M16201</t>
  </si>
  <si>
    <t>CURRENTLY NO ETA PER LUKE</t>
  </si>
  <si>
    <t>M16226 - PN115403</t>
  </si>
  <si>
    <t>M16227 - PN115249</t>
  </si>
  <si>
    <t>M16230 - PN115043</t>
  </si>
  <si>
    <t>M16236 - PN115032</t>
  </si>
  <si>
    <t>M16237 - PN112945</t>
  </si>
  <si>
    <t>M16232 - PN115087</t>
  </si>
  <si>
    <t>M16228 - PN112903</t>
  </si>
  <si>
    <t>M16229 - PN112864</t>
  </si>
  <si>
    <t>NM431913 - M16209</t>
  </si>
  <si>
    <t>NM438271 - M16321</t>
  </si>
  <si>
    <t>DAMAGED PER REP, WILL NOT BE GETTING SEE EMAIL</t>
  </si>
  <si>
    <t>M16389 - P0115219</t>
  </si>
  <si>
    <t>M16345 - P0113166</t>
  </si>
  <si>
    <t xml:space="preserve">NM431913 - M16209 </t>
  </si>
  <si>
    <t>DID NOT RECEIVE</t>
  </si>
  <si>
    <t>N0506012 - M16423</t>
  </si>
  <si>
    <t>N0506083 - M16424</t>
  </si>
  <si>
    <t>P0108150 - M16338</t>
  </si>
  <si>
    <t>PN118792 - M16418</t>
  </si>
  <si>
    <t>PN114018 - M16422</t>
  </si>
  <si>
    <t>PN114773 - M16419</t>
  </si>
  <si>
    <t>PN114837 - M16420</t>
  </si>
  <si>
    <t>FACT. P/O 10/7</t>
  </si>
  <si>
    <t>STILL AT PORT PER CHRISTY</t>
  </si>
  <si>
    <t>M16476 - NM317310</t>
  </si>
  <si>
    <t>M16453 - NM457559</t>
  </si>
  <si>
    <t>M16473 - NM317777</t>
  </si>
  <si>
    <t>M16467 - PN120438</t>
  </si>
  <si>
    <t>NM313743 - M16438</t>
  </si>
  <si>
    <t>NM314356 - M16437</t>
  </si>
  <si>
    <t>NM456537 - M16450</t>
  </si>
  <si>
    <t>NM316479 - M16440</t>
  </si>
  <si>
    <t>NM317733 - M16475</t>
  </si>
  <si>
    <t>P1602898 - M16401</t>
  </si>
  <si>
    <t>P1602926 - M16402</t>
  </si>
  <si>
    <t>NM316729 - M16477</t>
  </si>
  <si>
    <t>PER LUKE ETA ANY DAY</t>
  </si>
  <si>
    <t>P0146236 - M16500</t>
  </si>
  <si>
    <t>P0149517 - M16501</t>
  </si>
  <si>
    <t>P1603232 - M16404</t>
  </si>
  <si>
    <t>NM459447 - M16569</t>
  </si>
  <si>
    <t>N0507672 - M16573</t>
  </si>
  <si>
    <t>P0146930 - M16511</t>
  </si>
  <si>
    <t>P0148105 - M16513</t>
  </si>
  <si>
    <t>NM459540 - M16570</t>
  </si>
  <si>
    <t>P0144747 - M16530</t>
  </si>
  <si>
    <t>P0150106 - M16531</t>
  </si>
  <si>
    <t>PM504394 - M16568</t>
  </si>
  <si>
    <t>P0148482 - M16529</t>
  </si>
  <si>
    <t>P0142655 - M16527</t>
  </si>
  <si>
    <t>P0148938 - M16498</t>
  </si>
  <si>
    <t>DAMAGED PER LUKE ETA 12/26 - 12/30</t>
  </si>
  <si>
    <t>P0178336</t>
  </si>
  <si>
    <t>PM357648 - M16777</t>
  </si>
  <si>
    <t>PM354102 - M16778</t>
  </si>
  <si>
    <t>PM524651 - M16768</t>
  </si>
  <si>
    <t>PM523346 - M16769</t>
  </si>
  <si>
    <t>PM357863 - M16779</t>
  </si>
  <si>
    <t>PM524572 - M16770</t>
  </si>
  <si>
    <t>PN124341 - M16788</t>
  </si>
  <si>
    <t>PM503359 - M16800</t>
  </si>
  <si>
    <t>PER REP DAMAGED ETA AT LEAST 1 MORE MONTH</t>
  </si>
  <si>
    <t>M16818 - P0194746</t>
  </si>
  <si>
    <t>M16817 - P0191124</t>
  </si>
  <si>
    <t>PM533574 - M16858</t>
  </si>
  <si>
    <t>PM533547 - M16864</t>
  </si>
  <si>
    <t>P0178336 - M16962</t>
  </si>
  <si>
    <t>PM530394 - M16869</t>
  </si>
  <si>
    <t>PER REP DAMAGED, NO NEW ETA</t>
  </si>
  <si>
    <t>M17054 - PN142963</t>
  </si>
  <si>
    <t>M17126 - PN143289</t>
  </si>
  <si>
    <t>M17134 - PN142604</t>
  </si>
  <si>
    <t>M17135 - PN141514</t>
  </si>
  <si>
    <t>M17194 - PN144481</t>
  </si>
  <si>
    <t>M17127 - PN144321</t>
  </si>
  <si>
    <t>M17133 - PN143820</t>
  </si>
  <si>
    <t>M17130 - PN143030</t>
  </si>
  <si>
    <t>P0233783 - M17036</t>
  </si>
  <si>
    <t>P0236801 - M17037</t>
  </si>
  <si>
    <t>P0233161 - M17044</t>
  </si>
  <si>
    <t>P0234080 - M17045</t>
  </si>
  <si>
    <t>P0658538 - M17145</t>
  </si>
  <si>
    <t>PN142828 - M17059</t>
  </si>
  <si>
    <t>R1105255 - M17028</t>
  </si>
  <si>
    <t>M17129 - PN144077</t>
  </si>
  <si>
    <t>PER REP SHOULD SHIP IN "NEXT FEW DAYS" AS OF 5/11</t>
  </si>
  <si>
    <t>M17296 - PM369482</t>
  </si>
  <si>
    <t>M17217 - PM554541</t>
  </si>
  <si>
    <t>M17255 - P0257719</t>
  </si>
  <si>
    <t>M17225 - PN148357</t>
  </si>
  <si>
    <t>M17052 - P0237838</t>
  </si>
  <si>
    <t>M17224 - PN147806</t>
  </si>
  <si>
    <t>PM513584 - M16833</t>
  </si>
  <si>
    <t>PM555172 - M17220</t>
  </si>
  <si>
    <t>PM556662 - M17207</t>
  </si>
  <si>
    <t>P0256496 - M17264</t>
  </si>
  <si>
    <t>P0254673 - M17262</t>
  </si>
  <si>
    <t>P0635034 - U5005</t>
  </si>
  <si>
    <t>PAID OFF 6/1</t>
  </si>
  <si>
    <t>M17263 - P0257615</t>
  </si>
  <si>
    <t>M17349 - PN150378</t>
  </si>
  <si>
    <t>M17351 - PN151732</t>
  </si>
  <si>
    <t>M17350 - PN151807</t>
  </si>
  <si>
    <t>PM373972 - M17309</t>
  </si>
  <si>
    <t>PM370940 - M17294</t>
  </si>
  <si>
    <t>PM563412 - M17320</t>
  </si>
  <si>
    <t>PM513487 - M16838</t>
  </si>
  <si>
    <t>PM373849 - M17307</t>
  </si>
  <si>
    <t>PM552584 - M17219</t>
  </si>
  <si>
    <t>PM513282 - M16850</t>
  </si>
  <si>
    <t>PM563692 - M17323</t>
  </si>
  <si>
    <t>PER JEREMY ETA 7/14</t>
  </si>
  <si>
    <t>M17392 - P0279526</t>
  </si>
  <si>
    <t>M17393 - P0279541</t>
  </si>
  <si>
    <t>M17575 - RN156671</t>
  </si>
  <si>
    <t>M17578 - RN156193</t>
  </si>
  <si>
    <t>M17395 - P0277686</t>
  </si>
  <si>
    <t>M17546 - RN156487</t>
  </si>
  <si>
    <t>M17580 - RN156589</t>
  </si>
  <si>
    <t>PN154114 - M17436</t>
  </si>
  <si>
    <t>P0273449 - M17387</t>
  </si>
  <si>
    <t>AT PORT, NO ETA PER JEREMY</t>
  </si>
  <si>
    <t>SHIPPED, ETA 8/10 PER JEREMY</t>
  </si>
  <si>
    <t>M17699 - RN160489</t>
  </si>
  <si>
    <t>M17705 - RN159518</t>
  </si>
  <si>
    <t>M17819 - RN159150</t>
  </si>
  <si>
    <t>M17522 - P0558761</t>
  </si>
  <si>
    <t>M17738 - RN160084</t>
  </si>
  <si>
    <t>PM572824 - M17531</t>
  </si>
  <si>
    <t>R1120232 - M17592</t>
  </si>
  <si>
    <t>M17671 - R0362269</t>
  </si>
  <si>
    <t>M17672 - R0362595</t>
  </si>
  <si>
    <t>M17734 - R0368894</t>
  </si>
  <si>
    <t>M17669 - R0360734</t>
  </si>
  <si>
    <t>M17804 - RN164488</t>
  </si>
  <si>
    <t>M17733 - R0368565</t>
  </si>
  <si>
    <t>M17840 - RN164873</t>
  </si>
  <si>
    <t>M17667 - R0363874</t>
  </si>
  <si>
    <t>M17735 - R0369614</t>
  </si>
  <si>
    <t>M17803 - RN164273</t>
  </si>
  <si>
    <t>M17676 - R0360646</t>
  </si>
  <si>
    <t>M17805 - RN163643</t>
  </si>
  <si>
    <t>M17807 - RN163651</t>
  </si>
  <si>
    <t>M17707 - R1127884</t>
  </si>
  <si>
    <t>M17709 - R1128160</t>
  </si>
  <si>
    <t>R1700200 - M17770</t>
  </si>
  <si>
    <t>RM608865 - M17909</t>
  </si>
  <si>
    <t>PM589349 - M17775</t>
  </si>
  <si>
    <t>RM608992 - M17906</t>
  </si>
  <si>
    <t>RM607280 - M17907</t>
  </si>
  <si>
    <t>RM603809 - M17877</t>
  </si>
  <si>
    <t>R0392461 - M17953</t>
  </si>
  <si>
    <t>R0396395 - M17952</t>
  </si>
  <si>
    <t>R0360310 - M17665</t>
  </si>
  <si>
    <t>RM601172 - M17908</t>
  </si>
  <si>
    <t>R1701171 - M17829</t>
  </si>
  <si>
    <t>R0378482 - M17836</t>
  </si>
  <si>
    <t>R1129769 - M17895</t>
  </si>
  <si>
    <t>R1134034 - M17842</t>
  </si>
  <si>
    <t>per rep damaged, repairs not started</t>
  </si>
  <si>
    <t>per rep should ship this week</t>
  </si>
  <si>
    <t>M18106 - RN177980</t>
  </si>
  <si>
    <t>DAMAGED NO ETA ON REPAIRS PER REP</t>
  </si>
  <si>
    <t>NOT ASSIGNED TO RAIL CAR PER REP</t>
  </si>
  <si>
    <t>M18154 - RM625027</t>
  </si>
  <si>
    <t>M18147 - RN185826</t>
  </si>
  <si>
    <t>M18146 - RN185807</t>
  </si>
  <si>
    <t>M18149 - RN185795</t>
  </si>
  <si>
    <t>M18151 - RN185523</t>
  </si>
  <si>
    <t>M18120 - RN184773</t>
  </si>
  <si>
    <t>R0422100 - M18145</t>
  </si>
  <si>
    <t>RN184704 - M18148</t>
  </si>
  <si>
    <t xml:space="preserve">10/2/23 PAID OFF 1/5, DAMAGED MAZDA TOOK OUT OF INV </t>
  </si>
  <si>
    <t>10/2/23 PAID OFF 1/5, DAMAGED MAZDA TOOK OUT OF INV</t>
  </si>
  <si>
    <t>M18367 - RM647602</t>
  </si>
  <si>
    <t>M18312 - RN192390</t>
  </si>
  <si>
    <t>RM645872 - M18302</t>
  </si>
  <si>
    <t>RM643544 - M18239</t>
  </si>
  <si>
    <t>RM633366 - M18216</t>
  </si>
  <si>
    <t>RM634205 - M18217</t>
  </si>
  <si>
    <t>RM642403 - M18234</t>
  </si>
  <si>
    <t>R0410064 - M18073</t>
  </si>
  <si>
    <t>R0436179 - M18178</t>
  </si>
  <si>
    <t>R0435087 - M18191</t>
  </si>
  <si>
    <t>M18225 - R0441915</t>
  </si>
  <si>
    <t>ETA 2/23 PER LUKE</t>
  </si>
  <si>
    <t>ETA 2/26 BUT DAMAGED PER REP</t>
  </si>
  <si>
    <t>M18531 - RN199359</t>
  </si>
  <si>
    <t>M18461 - RN197559</t>
  </si>
  <si>
    <t>M18466 - RN197552</t>
  </si>
  <si>
    <t>RM646979 - M18301</t>
  </si>
  <si>
    <t>R0454068 - M18338</t>
  </si>
  <si>
    <t>R0455042 - M18375</t>
  </si>
  <si>
    <t>R0450887 - M18345</t>
  </si>
  <si>
    <t>R0457029 - M18372</t>
  </si>
  <si>
    <t>R0455867 - M18369</t>
  </si>
  <si>
    <t>R0455468 - M18381</t>
  </si>
  <si>
    <t>ETA 3/22 PER REP</t>
  </si>
  <si>
    <t>DAMAGED - ETA MID APRIL PER REP</t>
  </si>
  <si>
    <t>DAMAGED - ETA A FEW MONTHS PER REP</t>
  </si>
  <si>
    <t>M18599 - RM673111</t>
  </si>
  <si>
    <t>M18455 - R0469236</t>
  </si>
  <si>
    <t>M18614 - RN206760</t>
  </si>
  <si>
    <t>M18617 - RN206355</t>
  </si>
  <si>
    <t>M18615 - RN206556</t>
  </si>
  <si>
    <t>M18609 - RN205435</t>
  </si>
  <si>
    <t>M18612 - RN206975</t>
  </si>
  <si>
    <t>M18618 - RN206748</t>
  </si>
  <si>
    <t>RM416145 - M18494</t>
  </si>
  <si>
    <t>RM416698 - M18508</t>
  </si>
  <si>
    <t>RM656071 - M18444</t>
  </si>
  <si>
    <t>RM669572 - M18605</t>
  </si>
  <si>
    <t>RM655533 - M18431</t>
  </si>
  <si>
    <t>RM659264 - M18448</t>
  </si>
  <si>
    <t>RM415153 - M18425</t>
  </si>
  <si>
    <t>RM660871 - M18495</t>
  </si>
  <si>
    <t>RM416577 - M18491</t>
  </si>
  <si>
    <t>RM416194 - M18492</t>
  </si>
  <si>
    <t>R0464257 - M18433</t>
  </si>
  <si>
    <t>R0468131 - M18453</t>
  </si>
  <si>
    <t>RM671908 - M18602</t>
  </si>
  <si>
    <t>M18815 - RM423641</t>
  </si>
  <si>
    <t>M18820 - RM685704</t>
  </si>
  <si>
    <t>M18814 - RM423144</t>
  </si>
  <si>
    <t>M18819 - RM688350</t>
  </si>
  <si>
    <t>M18816 - RM684067</t>
  </si>
  <si>
    <t>M18678 - R0491136</t>
  </si>
  <si>
    <t>M18686 - R0491205</t>
  </si>
  <si>
    <t>M18655 - R0491183</t>
  </si>
  <si>
    <t xml:space="preserve">M18663 - R0488974 </t>
  </si>
  <si>
    <t>M18662 - R0489419</t>
  </si>
  <si>
    <t>M18818 - RM686921</t>
  </si>
  <si>
    <t>M18637 - R0488843</t>
  </si>
  <si>
    <t>M18633 - R0488520</t>
  </si>
  <si>
    <t>M18643 - R0491480</t>
  </si>
  <si>
    <t>M18759 - RN217461</t>
  </si>
  <si>
    <t>M18817 - RM687462</t>
  </si>
  <si>
    <t>M18672 - R0488753</t>
  </si>
  <si>
    <t>M18668 - R0488037</t>
  </si>
  <si>
    <t>M18763 - RN215299</t>
  </si>
  <si>
    <t>M18770 - RN214652</t>
  </si>
  <si>
    <t>M18769 - RN216909</t>
  </si>
  <si>
    <t>M18836 - R1146132</t>
  </si>
  <si>
    <t xml:space="preserve">M18767 - RN214569 </t>
  </si>
  <si>
    <t>R0480661 - M18652</t>
  </si>
  <si>
    <t>INCOMING DT POSTING ERROR CORR 5/15</t>
  </si>
  <si>
    <t xml:space="preserve">PER LUKE ETA 5/16, EMAILED REP </t>
  </si>
  <si>
    <t>M18827 - RN221696</t>
  </si>
  <si>
    <t>M18856 - RN228850</t>
  </si>
  <si>
    <t>M18960 - RM707486</t>
  </si>
  <si>
    <t>M19061 - RM709201</t>
  </si>
  <si>
    <t>M19062 - RM708626</t>
  </si>
  <si>
    <t>M19058 - RM708728</t>
  </si>
  <si>
    <t>M19059 - RM709115</t>
  </si>
  <si>
    <t>M19057 - RM709344</t>
  </si>
  <si>
    <t>M18988 - RN234564</t>
  </si>
  <si>
    <t>M18987 - RN234779</t>
  </si>
  <si>
    <t>M18962 - RN234445</t>
  </si>
  <si>
    <t>M18966 - RN234388</t>
  </si>
  <si>
    <t>M18967 - RN234268</t>
  </si>
  <si>
    <t>M18963 - RN234423</t>
  </si>
  <si>
    <t>M18981 - RN234090</t>
  </si>
  <si>
    <t>M18976 - RN234805</t>
  </si>
  <si>
    <t>M18983 - RN234818</t>
  </si>
  <si>
    <t>M18980 - RN234346</t>
  </si>
  <si>
    <t>M19060 - RM708441</t>
  </si>
  <si>
    <t>M18982 - RN234812</t>
  </si>
  <si>
    <t>M18977 - RN234313</t>
  </si>
  <si>
    <t>M18974 - RN234878</t>
  </si>
  <si>
    <t>M18907 - RN230246</t>
  </si>
  <si>
    <t>M18972 - RN234611</t>
  </si>
  <si>
    <t>M18975 - RN234655</t>
  </si>
  <si>
    <t>M18991 - RN234378</t>
  </si>
  <si>
    <t>M18906 - RN230748</t>
  </si>
  <si>
    <t>M18915 - RN233765</t>
  </si>
  <si>
    <t>M18916 - RN233872</t>
  </si>
  <si>
    <t>M18919 - R1174362</t>
  </si>
  <si>
    <t>RM699616 - M18873</t>
  </si>
  <si>
    <t>M18978 - RN234814</t>
  </si>
  <si>
    <t>PER JEREMY - ETA END OF JULY</t>
  </si>
  <si>
    <t>R1183943 - M19035</t>
  </si>
  <si>
    <t>R1183429 - M19038</t>
  </si>
  <si>
    <t>S1112225 - M19004</t>
  </si>
  <si>
    <t>R1180238 - M18954</t>
  </si>
  <si>
    <t>M19151 - SN300338</t>
  </si>
  <si>
    <t>M19144 - SN301154</t>
  </si>
  <si>
    <t>M19185 - S0546116</t>
  </si>
  <si>
    <t>M19237 - SN306560</t>
  </si>
  <si>
    <t>M19146 - SN300070</t>
  </si>
  <si>
    <t>M19230 - SN306412</t>
  </si>
  <si>
    <t>M19240 - SN306128</t>
  </si>
  <si>
    <t>M19215 - SN304645</t>
  </si>
  <si>
    <t>M19217 - SN305093</t>
  </si>
  <si>
    <t>M19216 - SN305831</t>
  </si>
  <si>
    <t>M19214 - SN304935</t>
  </si>
  <si>
    <t>M19213 - SN304951</t>
  </si>
  <si>
    <t>RM719887 - M19157</t>
  </si>
  <si>
    <t>R0604985 - M19094</t>
  </si>
  <si>
    <t>DAMAGED IN TRANSIT - SEE EMAIL</t>
  </si>
  <si>
    <t>M19345 - SN316005</t>
  </si>
  <si>
    <t>M19350 - R0607363</t>
  </si>
  <si>
    <t>M19341 - SN317387</t>
  </si>
  <si>
    <t>M19342 - SN317391</t>
  </si>
  <si>
    <t>M19348 - SN317589</t>
  </si>
  <si>
    <t>M19338 - SN316062</t>
  </si>
  <si>
    <t>M19461 - SN326003</t>
  </si>
  <si>
    <t>M19460 - SN326135</t>
  </si>
  <si>
    <t>M19459 - SN326362</t>
  </si>
  <si>
    <t>S1764312 - M19415</t>
  </si>
  <si>
    <t>S0570435 - M19452</t>
  </si>
  <si>
    <t>R0608264 - M19474</t>
  </si>
  <si>
    <t>S1203940 - M19464</t>
  </si>
  <si>
    <t>S1203785 - M19470</t>
  </si>
  <si>
    <t>M19667 - SM787860</t>
  </si>
  <si>
    <t>M19608 - SN333352</t>
  </si>
  <si>
    <t>M19634 - SN103702</t>
  </si>
  <si>
    <t>M19628 - SN103659</t>
  </si>
  <si>
    <t>M19629 - SN103607</t>
  </si>
  <si>
    <t>M19635 - SN103682</t>
  </si>
  <si>
    <t>S0577052 - M19571</t>
  </si>
  <si>
    <t>S0577041 - M19572</t>
  </si>
  <si>
    <t>S1211373 - M19616</t>
  </si>
  <si>
    <t>S1212131 - M19617</t>
  </si>
  <si>
    <t>S0582039 - M19604</t>
  </si>
  <si>
    <t>S1211908 - M19580</t>
  </si>
  <si>
    <t>M19751 - S0597721</t>
  </si>
  <si>
    <t>M19750 - S0594477</t>
  </si>
  <si>
    <t>M19752 - S0597857</t>
  </si>
  <si>
    <t>M19800 - S0611693</t>
  </si>
  <si>
    <t>M19799 - S0611863</t>
  </si>
  <si>
    <t>M19797 - S0611229</t>
  </si>
  <si>
    <t>S1221774 - M19817</t>
  </si>
  <si>
    <t>S1219504 - M19786</t>
  </si>
  <si>
    <t>M19925 - S0631266</t>
  </si>
  <si>
    <t>M19947 - SN348201</t>
  </si>
  <si>
    <t>M19943 - SN347572</t>
  </si>
  <si>
    <t>M19921 - S0630734</t>
  </si>
  <si>
    <t>M19952 - SN113590</t>
  </si>
  <si>
    <t>M20078 - SN354485</t>
  </si>
  <si>
    <t>M20087 - SN354290</t>
  </si>
  <si>
    <t>M20132 - S1127634</t>
  </si>
  <si>
    <t>M20086 - SN354415</t>
  </si>
  <si>
    <t>S0647185 - M20039</t>
  </si>
  <si>
    <t>S0647240 - M20020</t>
  </si>
  <si>
    <t>S0647251 - M20011</t>
  </si>
  <si>
    <t>S0647764 - M20022</t>
  </si>
  <si>
    <t>S0646391 - M20027</t>
  </si>
  <si>
    <t>S0646046 - M20029</t>
  </si>
  <si>
    <t>S1232401 - M20040</t>
  </si>
  <si>
    <t>S1231615 - M20046</t>
  </si>
  <si>
    <t>ETA 4/11 PER REP</t>
  </si>
  <si>
    <t>ETA 4/17 PER REP</t>
  </si>
  <si>
    <t>M20172 - SN360487</t>
  </si>
  <si>
    <t>M20184 - SN360658</t>
  </si>
  <si>
    <t>M20185 - SN360802</t>
  </si>
  <si>
    <t>M20181 - SN123469</t>
  </si>
  <si>
    <t>M20182 - SN123553</t>
  </si>
  <si>
    <t>M20186 - SN360690</t>
  </si>
  <si>
    <t>M20183 - SN123558</t>
  </si>
  <si>
    <t>S1782876 - M20057</t>
  </si>
  <si>
    <t>S0660977 - M20213</t>
  </si>
  <si>
    <t>S0660248 - M20193</t>
  </si>
  <si>
    <t>S0662462 - M20188</t>
  </si>
  <si>
    <t>S1782107 - M20000</t>
  </si>
  <si>
    <t>S0660579 - M20202</t>
  </si>
  <si>
    <t>S0657768 - M20060</t>
  </si>
  <si>
    <t>S0659821 - M20073</t>
  </si>
  <si>
    <t>S0662470 - M20194</t>
  </si>
  <si>
    <t>S0662110 - M20195</t>
  </si>
  <si>
    <t>S0655141 - M20189</t>
  </si>
  <si>
    <t>S0658896 - M20061</t>
  </si>
  <si>
    <t>S1236645 - M20198</t>
  </si>
  <si>
    <t>S0659605 - M20196</t>
  </si>
  <si>
    <t>S1234698 - M20197</t>
  </si>
  <si>
    <t>M20327 - SN128682</t>
  </si>
  <si>
    <t>M20329 - SN128665</t>
  </si>
  <si>
    <t>M20328 - SN128544</t>
  </si>
  <si>
    <t>M20333 - SN128600</t>
  </si>
  <si>
    <t xml:space="preserve">M20332 - SN128621 </t>
  </si>
  <si>
    <t>M20331 - SN128690</t>
  </si>
  <si>
    <t>M20275 - S1244071</t>
  </si>
  <si>
    <t>M20284 - S1243588</t>
  </si>
  <si>
    <t>SN125431 - M20239</t>
  </si>
  <si>
    <t>M20372 - S0685452</t>
  </si>
  <si>
    <t>M20373 - S0685048</t>
  </si>
  <si>
    <t>M20376 - S0687003</t>
  </si>
  <si>
    <t>M20377 - S0687213</t>
  </si>
  <si>
    <t>M20381 - S1247654</t>
  </si>
  <si>
    <t>M20388 - S1247317</t>
  </si>
  <si>
    <t>M20391 - S1247545</t>
  </si>
  <si>
    <t>S0704640 - M20413</t>
  </si>
  <si>
    <t>M20670 - SN386387</t>
  </si>
  <si>
    <t>M20675 - SN389151</t>
  </si>
  <si>
    <t>M20671 - SN139698</t>
  </si>
  <si>
    <t>M20669 - SN386483</t>
  </si>
  <si>
    <t>M20607 - S0727121</t>
  </si>
  <si>
    <t>M20616 - S0726600</t>
  </si>
  <si>
    <t>M20634 - SN384051</t>
  </si>
  <si>
    <t>M20617 - S0731189</t>
  </si>
  <si>
    <t>M20632 - SN383810</t>
  </si>
  <si>
    <t>SN383810 - M20632</t>
  </si>
  <si>
    <t>M20604 - S0727253</t>
  </si>
  <si>
    <t>FP POSTED 2X, CORR 9/11</t>
  </si>
  <si>
    <t>M20690 - S0743219</t>
  </si>
  <si>
    <t>M20689 - S0741834</t>
  </si>
  <si>
    <t xml:space="preserve">M20695 - S0743631 </t>
  </si>
  <si>
    <t>M20696 - S0741446</t>
  </si>
  <si>
    <t>M20806 - SN392782</t>
  </si>
  <si>
    <t>M21060 - T1855288</t>
  </si>
  <si>
    <t>M21058 - T1855365</t>
  </si>
  <si>
    <t>M21057 - T1855362</t>
  </si>
  <si>
    <t>M20994 - S0781686</t>
  </si>
  <si>
    <t>M20996 - S0781337</t>
  </si>
  <si>
    <t>M21066 - T1360711</t>
  </si>
  <si>
    <t>M21065 - T1201184</t>
  </si>
  <si>
    <t>M21064 - T1201256</t>
  </si>
  <si>
    <t>T1358545 - M20949</t>
  </si>
  <si>
    <t>M21169 - TN467738</t>
  </si>
  <si>
    <t>M21170 - TN467859</t>
  </si>
  <si>
    <t>T1858525 - M21162</t>
  </si>
  <si>
    <t>T1365653 - M21102</t>
  </si>
  <si>
    <t>T1203401 - M21214</t>
  </si>
  <si>
    <t>M21317 - T1867950</t>
  </si>
  <si>
    <t>M21313 - T1868807</t>
  </si>
  <si>
    <t>M21444 - TM140456</t>
  </si>
  <si>
    <t>M21408 - TM139404</t>
  </si>
  <si>
    <t>M21406 - TM139417</t>
  </si>
  <si>
    <t>M21371 - TN478464</t>
  </si>
  <si>
    <t>M21369 - TN479163</t>
  </si>
  <si>
    <t>M21367 - TN479039</t>
  </si>
  <si>
    <t>M21368 - TN479046</t>
  </si>
  <si>
    <t>M21379 - TN161123</t>
  </si>
  <si>
    <t>M21376 - TN475306</t>
  </si>
  <si>
    <t>M21373 - TN478207</t>
  </si>
  <si>
    <t>M21374 - TN478886</t>
  </si>
  <si>
    <t>M21380 - TN163030</t>
  </si>
  <si>
    <t>M21266 - T1376715</t>
  </si>
  <si>
    <t>M21265 - T1205046</t>
  </si>
  <si>
    <t>M21517 - TN487349</t>
  </si>
  <si>
    <t>M21515 -TN486632</t>
  </si>
  <si>
    <t>M21366 - T0700998</t>
  </si>
  <si>
    <t>M21350 - T0700847</t>
  </si>
  <si>
    <t>M21349 - T0700438</t>
  </si>
  <si>
    <t>M21348 - T0702171</t>
  </si>
  <si>
    <t>T1872804 - M21344</t>
  </si>
  <si>
    <t>T1873144 - M21342</t>
  </si>
  <si>
    <t>T0108661 - M21354</t>
  </si>
  <si>
    <t>T0108989 - M21356</t>
  </si>
  <si>
    <t>T0701460 - M21346</t>
  </si>
  <si>
    <t>T0702467 - M21345</t>
  </si>
  <si>
    <t>T0701528 - M21351</t>
  </si>
  <si>
    <t>T0702471 - M21352</t>
  </si>
  <si>
    <t>T0701892 - M21421</t>
  </si>
  <si>
    <t>T0701455 - M21347</t>
  </si>
  <si>
    <t>M21326 - T1870612</t>
  </si>
  <si>
    <t>M21327 - T1871235</t>
  </si>
  <si>
    <t>T1870612 - M21326</t>
  </si>
  <si>
    <t>T1871235 - M21327</t>
  </si>
  <si>
    <t>T0126368 - M21538</t>
  </si>
  <si>
    <t>S1130761 - U5546</t>
  </si>
  <si>
    <t>CORRECTED 5/14</t>
  </si>
  <si>
    <t>POSTED 2115 4/27, P/O 5/14</t>
  </si>
  <si>
    <t>4/29/2026, PAYOFF 5/14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</si>
</sst>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14" fontId="0" fillId="0" borderId="0" xfId="0" applyNumberFormat="1" applyAlignment="1">
      <alignment horizontal="left"/>
    </xf>
    <xf numFmtId="43" fontId="2" fillId="0" borderId="0" xfId="1" applyFont="1"/>
    <xf numFmtId="43" fontId="2" fillId="2" borderId="0" xfId="1" applyFont="1" applyFill="1"/>
    <xf numFmtId="0" fontId="2" fillId="2" borderId="0" xfId="0" applyFont="1" applyFill="1"/>
    <xf numFmtId="14" fontId="2" fillId="0" borderId="0" xfId="0" applyNumberFormat="1" applyFont="1" applyAlignment="1">
      <alignment horizontal="left"/>
    </xf>
    <xf numFmtId="43" fontId="2" fillId="0" borderId="0" xfId="0" applyNumberFormat="1" applyFont="1"/>
    <xf numFmtId="14" fontId="2" fillId="0" borderId="0" xfId="0" applyNumberFormat="1" applyFont="1" applyAlignment="1">
      <alignment horizontal="right"/>
    </xf>
    <xf numFmtId="14" fontId="2" fillId="2" borderId="0" xfId="0" applyNumberFormat="1" applyFont="1" applyFill="1" applyAlignment="1">
      <alignment horizontal="left"/>
    </xf>
    <xf numFmtId="43" fontId="0" fillId="0" borderId="0" xfId="1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43" fontId="2" fillId="0" borderId="0" xfId="1" applyFont="1" applyFill="1"/>
    <xf numFmtId="0" fontId="4" fillId="0" borderId="0" xfId="0" applyFont="1"/>
    <xf numFmtId="43" fontId="4" fillId="0" borderId="0" xfId="1" applyFont="1"/>
    <xf numFmtId="14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right"/>
    </xf>
    <xf numFmtId="0" fontId="4" fillId="2" borderId="0" xfId="0" applyFont="1" applyFill="1"/>
    <xf numFmtId="43" fontId="4" fillId="2" borderId="0" xfId="1" applyFont="1" applyFill="1"/>
    <xf numFmtId="43" fontId="4" fillId="0" borderId="0" xfId="1" applyFont="1" applyFill="1"/>
    <xf numFmtId="14" fontId="4" fillId="0" borderId="0" xfId="0" applyNumberFormat="1" applyFont="1" applyAlignment="1">
      <alignment wrapText="1"/>
    </xf>
    <xf numFmtId="43" fontId="4" fillId="0" borderId="0" xfId="1" applyFont="1" applyAlignment="1"/>
    <xf numFmtId="14" fontId="4" fillId="0" borderId="0" xfId="0" applyNumberFormat="1" applyFont="1"/>
    <xf numFmtId="14" fontId="3" fillId="0" borderId="0" xfId="0" applyNumberFormat="1" applyFont="1"/>
    <xf numFmtId="0" fontId="4" fillId="0" borderId="1" xfId="0" applyFont="1" applyBorder="1"/>
    <xf numFmtId="14" fontId="4" fillId="0" borderId="3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4" fillId="0" borderId="1" xfId="0" applyNumberFormat="1" applyFont="1" applyBorder="1"/>
    <xf numFmtId="14" fontId="2" fillId="0" borderId="0" xfId="0" applyNumberFormat="1" applyFont="1"/>
    <xf numFmtId="14" fontId="4" fillId="0" borderId="0" xfId="0" applyNumberFormat="1" applyFont="1" applyAlignment="1">
      <alignment horizontal="center" wrapText="1"/>
    </xf>
    <xf numFmtId="43" fontId="4" fillId="0" borderId="0" xfId="1" applyFont="1" applyBorder="1"/>
    <xf numFmtId="43" fontId="4" fillId="0" borderId="0" xfId="1" applyFont="1" applyBorder="1" applyAlignment="1"/>
    <xf numFmtId="14" fontId="4" fillId="0" borderId="0" xfId="0" applyNumberFormat="1" applyFont="1" applyAlignment="1">
      <alignment horizontal="left" wrapText="1"/>
    </xf>
    <xf numFmtId="14" fontId="4" fillId="0" borderId="0" xfId="0" applyNumberFormat="1" applyFont="1" applyAlignment="1">
      <alignment horizontal="right" wrapText="1"/>
    </xf>
    <xf numFmtId="14" fontId="4" fillId="0" borderId="2" xfId="0" applyNumberFormat="1" applyFont="1" applyBorder="1" applyAlignment="1">
      <alignment horizontal="left" wrapText="1"/>
    </xf>
    <xf numFmtId="14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43" fontId="4" fillId="0" borderId="5" xfId="1" applyFont="1" applyBorder="1"/>
    <xf numFmtId="14" fontId="4" fillId="0" borderId="6" xfId="0" applyNumberFormat="1" applyFont="1" applyBorder="1" applyAlignment="1">
      <alignment horizontal="left"/>
    </xf>
    <xf numFmtId="16" fontId="4" fillId="0" borderId="0" xfId="0" applyNumberFormat="1" applyFont="1"/>
    <xf numFmtId="0" fontId="4" fillId="0" borderId="0" xfId="0" applyFont="1" applyAlignment="1">
      <alignment vertical="center"/>
    </xf>
    <xf numFmtId="43" fontId="4" fillId="0" borderId="0" xfId="1" applyFont="1" applyBorder="1" applyAlignment="1">
      <alignment vertical="center"/>
    </xf>
    <xf numFmtId="14" fontId="4" fillId="0" borderId="2" xfId="0" applyNumberFormat="1" applyFont="1" applyBorder="1" applyAlignment="1">
      <alignment horizontal="left" vertical="center"/>
    </xf>
    <xf numFmtId="14" fontId="4" fillId="0" borderId="7" xfId="0" applyNumberFormat="1" applyFont="1" applyBorder="1" applyAlignment="1">
      <alignment wrapText="1"/>
    </xf>
    <xf numFmtId="43" fontId="4" fillId="0" borderId="0" xfId="0" applyNumberFormat="1" applyFont="1"/>
    <xf numFmtId="14" fontId="4" fillId="0" borderId="0" xfId="0" applyNumberFormat="1" applyFont="1" applyAlignment="1">
      <alignment horizontal="left" wrapText="1"/>
    </xf>
    <xf numFmtId="14" fontId="4" fillId="0" borderId="0" xfId="0" applyNumberFormat="1" applyFont="1" applyAlignment="1">
      <alignment horizontal="center" wrapText="1"/>
    </xf>
    <xf numFmtId="14" fontId="0" fillId="0" borderId="4" xfId="0" applyNumberFormat="1" applyBorder="1" applyAlignment="1">
      <alignment horizontal="center" wrapText="1"/>
    </xf>
    <xf numFmtId="14" fontId="0" fillId="0" borderId="5" xfId="0" applyNumberFormat="1" applyBorder="1" applyAlignment="1">
      <alignment horizontal="center" wrapText="1"/>
    </xf>
    <xf numFmtId="14" fontId="0" fillId="0" borderId="6" xfId="0" applyNumberForma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workbookViewId="0">
      <selection activeCell="C34" sqref="C34"/>
    </sheetView>
  </sheetViews>
  <sheetFormatPr defaultRowHeight="18.75" x14ac:dyDescent="0.3"/>
  <cols>
    <col min="1" max="1" width="30.5703125" style="1" bestFit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41790</v>
      </c>
    </row>
    <row r="3" spans="1:9" ht="15.95" customHeight="1" x14ac:dyDescent="0.3">
      <c r="A3" s="1" t="s">
        <v>7</v>
      </c>
      <c r="B3" s="3">
        <v>4719298.5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-4156207.5</v>
      </c>
    </row>
    <row r="6" spans="1:9" ht="15.95" customHeight="1" x14ac:dyDescent="0.3"/>
    <row r="7" spans="1:9" ht="15.95" customHeight="1" x14ac:dyDescent="0.3">
      <c r="A7" s="1" t="s">
        <v>5</v>
      </c>
      <c r="B7" s="3">
        <f>SUM(B5:B6)</f>
        <v>-4156207.5</v>
      </c>
    </row>
    <row r="8" spans="1:9" ht="15.95" customHeight="1" x14ac:dyDescent="0.3">
      <c r="A8" s="5" t="s">
        <v>4</v>
      </c>
      <c r="B8" s="4">
        <f>SUM(B3+B7)</f>
        <v>563091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7"/>
    </row>
    <row r="12" spans="1:9" ht="15.95" customHeight="1" x14ac:dyDescent="0.3"/>
    <row r="13" spans="1:9" s="2" customFormat="1" ht="15.95" customHeight="1" x14ac:dyDescent="0.3">
      <c r="A13" s="1"/>
      <c r="B13" s="3"/>
      <c r="D13" s="1"/>
      <c r="E13" s="1"/>
      <c r="F13" s="1"/>
      <c r="G13" s="1"/>
      <c r="H13" s="1"/>
      <c r="I13" s="1"/>
    </row>
    <row r="14" spans="1:9" ht="15.95" customHeight="1" x14ac:dyDescent="0.3">
      <c r="B14" s="3">
        <f>SUM(B10:B13)</f>
        <v>0</v>
      </c>
    </row>
    <row r="15" spans="1:9" ht="15.95" customHeight="1" x14ac:dyDescent="0.3">
      <c r="A15" s="1" t="s">
        <v>2</v>
      </c>
    </row>
    <row r="16" spans="1:9" ht="15.95" customHeight="1" x14ac:dyDescent="0.3">
      <c r="A16" s="1" t="s">
        <v>18</v>
      </c>
      <c r="B16" s="3">
        <v>20740</v>
      </c>
      <c r="C16" s="6" t="s">
        <v>33</v>
      </c>
    </row>
    <row r="17" spans="1:9" ht="15.95" customHeight="1" x14ac:dyDescent="0.3">
      <c r="A17" s="1" t="s">
        <v>19</v>
      </c>
      <c r="B17" s="3">
        <v>24547</v>
      </c>
      <c r="C17" s="6" t="s">
        <v>34</v>
      </c>
    </row>
    <row r="18" spans="1:9" ht="15.95" customHeight="1" x14ac:dyDescent="0.3">
      <c r="A18" s="1" t="s">
        <v>9</v>
      </c>
      <c r="B18" s="3">
        <v>27655</v>
      </c>
      <c r="C18" s="6" t="s">
        <v>24</v>
      </c>
    </row>
    <row r="19" spans="1:9" ht="15.95" customHeight="1" x14ac:dyDescent="0.3">
      <c r="A19" s="1" t="s">
        <v>10</v>
      </c>
      <c r="B19" s="3">
        <v>27694</v>
      </c>
      <c r="C19" s="6" t="s">
        <v>25</v>
      </c>
      <c r="H19" s="3"/>
      <c r="I19" s="6"/>
    </row>
    <row r="20" spans="1:9" ht="15.95" customHeight="1" x14ac:dyDescent="0.3">
      <c r="A20" s="1" t="s">
        <v>20</v>
      </c>
      <c r="B20" s="3">
        <v>28635</v>
      </c>
      <c r="C20" s="6" t="s">
        <v>35</v>
      </c>
      <c r="H20" s="3"/>
      <c r="I20" s="6"/>
    </row>
    <row r="21" spans="1:9" ht="15.95" customHeight="1" x14ac:dyDescent="0.3">
      <c r="A21" s="1" t="s">
        <v>11</v>
      </c>
      <c r="B21" s="3">
        <v>30882</v>
      </c>
      <c r="C21" s="6" t="s">
        <v>26</v>
      </c>
      <c r="H21" s="3"/>
      <c r="I21" s="6"/>
    </row>
    <row r="22" spans="1:9" ht="15.95" customHeight="1" x14ac:dyDescent="0.3">
      <c r="A22" s="1" t="s">
        <v>12</v>
      </c>
      <c r="B22" s="3">
        <v>36189</v>
      </c>
      <c r="C22" s="6" t="s">
        <v>27</v>
      </c>
    </row>
    <row r="23" spans="1:9" s="6" customFormat="1" ht="15.95" customHeight="1" x14ac:dyDescent="0.3">
      <c r="A23" s="1" t="s">
        <v>21</v>
      </c>
      <c r="B23" s="3">
        <v>36469</v>
      </c>
      <c r="C23" s="6" t="s">
        <v>36</v>
      </c>
    </row>
    <row r="24" spans="1:9" s="6" customFormat="1" ht="15.95" customHeight="1" x14ac:dyDescent="0.3">
      <c r="A24" s="1" t="s">
        <v>13</v>
      </c>
      <c r="B24" s="3">
        <v>38849</v>
      </c>
      <c r="C24" s="6" t="s">
        <v>28</v>
      </c>
    </row>
    <row r="25" spans="1:9" s="6" customFormat="1" ht="15.95" customHeight="1" x14ac:dyDescent="0.3">
      <c r="A25" s="1" t="s">
        <v>14</v>
      </c>
      <c r="B25" s="3">
        <v>45133</v>
      </c>
      <c r="C25" s="6" t="s">
        <v>29</v>
      </c>
    </row>
    <row r="26" spans="1:9" s="6" customFormat="1" ht="15.95" customHeight="1" x14ac:dyDescent="0.3">
      <c r="A26" s="1" t="s">
        <v>15</v>
      </c>
      <c r="B26" s="3">
        <v>45133</v>
      </c>
      <c r="C26" s="6" t="s">
        <v>30</v>
      </c>
    </row>
    <row r="27" spans="1:9" s="6" customFormat="1" ht="15.95" customHeight="1" x14ac:dyDescent="0.3">
      <c r="A27" s="1" t="s">
        <v>22</v>
      </c>
      <c r="B27" s="3">
        <v>46838</v>
      </c>
      <c r="C27" s="6" t="s">
        <v>37</v>
      </c>
    </row>
    <row r="28" spans="1:9" s="6" customFormat="1" ht="15.95" customHeight="1" x14ac:dyDescent="0.3">
      <c r="A28" s="1" t="s">
        <v>16</v>
      </c>
      <c r="B28" s="3">
        <v>47443</v>
      </c>
      <c r="C28" s="6" t="s">
        <v>31</v>
      </c>
    </row>
    <row r="29" spans="1:9" s="6" customFormat="1" ht="15.95" customHeight="1" x14ac:dyDescent="0.3">
      <c r="A29" s="1" t="s">
        <v>17</v>
      </c>
      <c r="B29" s="3">
        <v>48127</v>
      </c>
      <c r="C29" s="6" t="s">
        <v>32</v>
      </c>
    </row>
    <row r="30" spans="1:9" s="6" customFormat="1" ht="15.95" customHeight="1" x14ac:dyDescent="0.3">
      <c r="A30" s="1" t="s">
        <v>23</v>
      </c>
      <c r="B30" s="3">
        <v>58757</v>
      </c>
      <c r="C30" s="6" t="s">
        <v>38</v>
      </c>
    </row>
    <row r="31" spans="1:9" s="6" customFormat="1" ht="15.95" customHeight="1" x14ac:dyDescent="0.3">
      <c r="A31" s="1"/>
      <c r="B31" s="3"/>
    </row>
    <row r="32" spans="1:9" s="6" customFormat="1" ht="15.95" customHeight="1" x14ac:dyDescent="0.3">
      <c r="A32" s="1"/>
      <c r="B32" s="3"/>
    </row>
    <row r="33" spans="1:9" s="2" customFormat="1" ht="15.95" customHeight="1" x14ac:dyDescent="0.3">
      <c r="A33" s="1"/>
      <c r="B33" s="3">
        <f>SUM(B16:B32)</f>
        <v>563091</v>
      </c>
      <c r="D33" s="1"/>
      <c r="E33" s="1"/>
      <c r="F33" s="1"/>
      <c r="G33" s="1"/>
      <c r="H33" s="1"/>
      <c r="I33" s="1"/>
    </row>
    <row r="34" spans="1:9" s="2" customFormat="1" ht="15.95" customHeight="1" x14ac:dyDescent="0.3">
      <c r="A34" s="5" t="s">
        <v>1</v>
      </c>
      <c r="B34" s="4">
        <f>B33+B14</f>
        <v>563091</v>
      </c>
      <c r="D34" s="1"/>
      <c r="E34" s="1"/>
      <c r="F34" s="1"/>
      <c r="G34" s="1"/>
      <c r="H34" s="1"/>
      <c r="I34" s="1"/>
    </row>
    <row r="35" spans="1:9" s="2" customFormat="1" ht="15.95" customHeight="1" x14ac:dyDescent="0.3">
      <c r="A35" s="1" t="s">
        <v>0</v>
      </c>
      <c r="B35" s="3">
        <f>B34-B8</f>
        <v>0</v>
      </c>
      <c r="D35" s="1"/>
      <c r="E35" s="1"/>
      <c r="F35" s="1"/>
      <c r="G35" s="1"/>
      <c r="H35" s="1"/>
      <c r="I35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workbookViewId="0">
      <selection activeCell="D8" sqref="D8"/>
    </sheetView>
  </sheetViews>
  <sheetFormatPr defaultRowHeight="18.75" x14ac:dyDescent="0.3"/>
  <cols>
    <col min="1" max="1" width="30.5703125" style="1" bestFit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41820</v>
      </c>
    </row>
    <row r="3" spans="1:9" ht="15.95" customHeight="1" x14ac:dyDescent="0.3">
      <c r="A3" s="1" t="s">
        <v>7</v>
      </c>
      <c r="B3" s="3">
        <v>4593419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-3597316</v>
      </c>
    </row>
    <row r="6" spans="1:9" ht="15.95" customHeight="1" x14ac:dyDescent="0.3"/>
    <row r="7" spans="1:9" ht="15.95" customHeight="1" x14ac:dyDescent="0.3">
      <c r="A7" s="1" t="s">
        <v>5</v>
      </c>
      <c r="B7" s="3">
        <f>SUM(B5:B6)</f>
        <v>-3597316</v>
      </c>
    </row>
    <row r="8" spans="1:9" ht="15.95" customHeight="1" x14ac:dyDescent="0.3">
      <c r="A8" s="5" t="s">
        <v>4</v>
      </c>
      <c r="B8" s="4">
        <f>SUM(B3+B7)</f>
        <v>996103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3">
        <f>B10</f>
        <v>0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39</v>
      </c>
      <c r="B13" s="3">
        <v>20381</v>
      </c>
      <c r="C13" s="6" t="s">
        <v>47</v>
      </c>
    </row>
    <row r="14" spans="1:9" ht="15.95" customHeight="1" x14ac:dyDescent="0.3">
      <c r="A14" s="1" t="s">
        <v>40</v>
      </c>
      <c r="B14" s="3">
        <v>23624</v>
      </c>
      <c r="C14" s="6" t="s">
        <v>48</v>
      </c>
    </row>
    <row r="15" spans="1:9" ht="15.95" customHeight="1" x14ac:dyDescent="0.3">
      <c r="A15" s="1" t="s">
        <v>77</v>
      </c>
      <c r="B15" s="3">
        <v>25715</v>
      </c>
      <c r="C15" s="6" t="s">
        <v>81</v>
      </c>
    </row>
    <row r="16" spans="1:9" ht="15.95" customHeight="1" x14ac:dyDescent="0.3">
      <c r="A16" s="1" t="s">
        <v>76</v>
      </c>
      <c r="B16" s="3">
        <v>31334</v>
      </c>
      <c r="C16" s="6" t="s">
        <v>82</v>
      </c>
      <c r="H16" s="3"/>
      <c r="I16" s="6"/>
    </row>
    <row r="17" spans="1:9" ht="15.95" customHeight="1" x14ac:dyDescent="0.3">
      <c r="A17" s="1" t="s">
        <v>75</v>
      </c>
      <c r="B17" s="3">
        <v>31674</v>
      </c>
      <c r="C17" s="6" t="s">
        <v>83</v>
      </c>
      <c r="H17" s="3"/>
      <c r="I17" s="6"/>
    </row>
    <row r="18" spans="1:9" ht="15.95" customHeight="1" x14ac:dyDescent="0.3">
      <c r="A18" s="1" t="s">
        <v>54</v>
      </c>
      <c r="B18" s="3">
        <v>34361</v>
      </c>
      <c r="C18" s="6" t="s">
        <v>55</v>
      </c>
      <c r="H18" s="3"/>
      <c r="I18" s="6"/>
    </row>
    <row r="19" spans="1:9" ht="15.95" customHeight="1" x14ac:dyDescent="0.3">
      <c r="A19" s="1" t="s">
        <v>41</v>
      </c>
      <c r="B19" s="3">
        <v>35602</v>
      </c>
      <c r="C19" s="6" t="s">
        <v>49</v>
      </c>
    </row>
    <row r="20" spans="1:9" s="6" customFormat="1" ht="15.95" customHeight="1" x14ac:dyDescent="0.3">
      <c r="A20" s="1" t="s">
        <v>56</v>
      </c>
      <c r="B20" s="3">
        <v>35953</v>
      </c>
      <c r="C20" s="6" t="s">
        <v>57</v>
      </c>
    </row>
    <row r="21" spans="1:9" s="6" customFormat="1" ht="15.95" customHeight="1" x14ac:dyDescent="0.3">
      <c r="A21" s="1" t="s">
        <v>67</v>
      </c>
      <c r="B21" s="3">
        <v>36189</v>
      </c>
      <c r="C21" s="6" t="s">
        <v>68</v>
      </c>
    </row>
    <row r="22" spans="1:9" s="6" customFormat="1" ht="15.95" customHeight="1" x14ac:dyDescent="0.3">
      <c r="A22" s="1" t="s">
        <v>42</v>
      </c>
      <c r="B22" s="3">
        <v>38348</v>
      </c>
      <c r="C22" s="6" t="s">
        <v>50</v>
      </c>
    </row>
    <row r="23" spans="1:9" s="6" customFormat="1" ht="15.95" customHeight="1" x14ac:dyDescent="0.3">
      <c r="A23" s="1" t="s">
        <v>43</v>
      </c>
      <c r="B23" s="3">
        <v>38697</v>
      </c>
      <c r="C23" s="6" t="s">
        <v>51</v>
      </c>
    </row>
    <row r="24" spans="1:9" s="6" customFormat="1" ht="15.95" customHeight="1" x14ac:dyDescent="0.3">
      <c r="A24" s="1" t="s">
        <v>78</v>
      </c>
      <c r="B24" s="3">
        <v>38849</v>
      </c>
      <c r="C24" s="9" t="s">
        <v>84</v>
      </c>
    </row>
    <row r="25" spans="1:9" s="6" customFormat="1" ht="15.95" customHeight="1" x14ac:dyDescent="0.3">
      <c r="A25" s="1" t="s">
        <v>69</v>
      </c>
      <c r="B25" s="3">
        <v>38957</v>
      </c>
      <c r="C25" s="6" t="s">
        <v>70</v>
      </c>
    </row>
    <row r="26" spans="1:9" ht="15.95" customHeight="1" x14ac:dyDescent="0.3">
      <c r="A26" s="1" t="s">
        <v>44</v>
      </c>
      <c r="B26" s="7">
        <v>41003</v>
      </c>
      <c r="C26" s="6" t="s">
        <v>52</v>
      </c>
    </row>
    <row r="27" spans="1:9" ht="15.95" customHeight="1" x14ac:dyDescent="0.3">
      <c r="A27" s="1" t="s">
        <v>58</v>
      </c>
      <c r="B27" s="3">
        <v>41261</v>
      </c>
      <c r="C27" s="6" t="s">
        <v>59</v>
      </c>
    </row>
    <row r="28" spans="1:9" s="2" customFormat="1" ht="15.95" customHeight="1" x14ac:dyDescent="0.3">
      <c r="A28" s="1" t="s">
        <v>60</v>
      </c>
      <c r="B28" s="3">
        <v>41261</v>
      </c>
      <c r="C28" s="6" t="s">
        <v>61</v>
      </c>
      <c r="D28" s="1"/>
      <c r="E28" s="1"/>
      <c r="F28" s="1"/>
      <c r="G28" s="1"/>
      <c r="H28" s="1"/>
      <c r="I28" s="1"/>
    </row>
    <row r="29" spans="1:9" s="6" customFormat="1" ht="15.95" customHeight="1" x14ac:dyDescent="0.3">
      <c r="A29" s="1" t="s">
        <v>79</v>
      </c>
      <c r="B29" s="3">
        <v>42331</v>
      </c>
      <c r="C29" s="6" t="s">
        <v>85</v>
      </c>
    </row>
    <row r="30" spans="1:9" s="6" customFormat="1" ht="15.95" customHeight="1" x14ac:dyDescent="0.3">
      <c r="A30" s="1" t="s">
        <v>45</v>
      </c>
      <c r="B30" s="3">
        <v>44962</v>
      </c>
      <c r="C30" s="6" t="s">
        <v>50</v>
      </c>
    </row>
    <row r="31" spans="1:9" s="6" customFormat="1" ht="15.95" customHeight="1" x14ac:dyDescent="0.3">
      <c r="A31" s="1" t="s">
        <v>46</v>
      </c>
      <c r="B31" s="3">
        <v>45133</v>
      </c>
      <c r="C31" s="6" t="s">
        <v>53</v>
      </c>
    </row>
    <row r="32" spans="1:9" s="6" customFormat="1" ht="15.95" customHeight="1" x14ac:dyDescent="0.3">
      <c r="A32" s="1" t="s">
        <v>62</v>
      </c>
      <c r="B32" s="3">
        <v>45133</v>
      </c>
      <c r="C32" s="6" t="s">
        <v>63</v>
      </c>
    </row>
    <row r="33" spans="1:9" s="6" customFormat="1" ht="15.95" customHeight="1" x14ac:dyDescent="0.3">
      <c r="A33" s="1" t="s">
        <v>64</v>
      </c>
      <c r="B33" s="3">
        <v>45535</v>
      </c>
      <c r="C33" s="6" t="s">
        <v>65</v>
      </c>
    </row>
    <row r="34" spans="1:9" s="6" customFormat="1" ht="15.95" customHeight="1" x14ac:dyDescent="0.3">
      <c r="A34" s="1" t="s">
        <v>80</v>
      </c>
      <c r="B34" s="3">
        <v>49215</v>
      </c>
      <c r="C34" s="6" t="s">
        <v>86</v>
      </c>
    </row>
    <row r="35" spans="1:9" s="6" customFormat="1" ht="15.95" customHeight="1" x14ac:dyDescent="0.3">
      <c r="A35" s="1" t="s">
        <v>66</v>
      </c>
      <c r="B35" s="3">
        <v>49562</v>
      </c>
      <c r="C35" s="6" t="s">
        <v>55</v>
      </c>
    </row>
    <row r="36" spans="1:9" s="6" customFormat="1" ht="15.95" customHeight="1" x14ac:dyDescent="0.3">
      <c r="A36" s="1" t="s">
        <v>71</v>
      </c>
      <c r="B36" s="3">
        <v>60318</v>
      </c>
      <c r="C36" s="6" t="s">
        <v>72</v>
      </c>
    </row>
    <row r="37" spans="1:9" s="6" customFormat="1" ht="15.95" customHeight="1" x14ac:dyDescent="0.3">
      <c r="A37" s="1" t="s">
        <v>73</v>
      </c>
      <c r="B37" s="3">
        <v>60705</v>
      </c>
      <c r="C37" s="6" t="s">
        <v>74</v>
      </c>
    </row>
    <row r="38" spans="1:9" s="2" customFormat="1" ht="15.95" customHeight="1" x14ac:dyDescent="0.3">
      <c r="A38" s="1"/>
      <c r="B38" s="3">
        <f>SUM(B13:B37)</f>
        <v>996103</v>
      </c>
      <c r="C38" s="6"/>
      <c r="D38" s="1"/>
      <c r="E38" s="1"/>
      <c r="F38" s="1"/>
      <c r="G38" s="1"/>
      <c r="H38" s="1"/>
      <c r="I38" s="1"/>
    </row>
    <row r="39" spans="1:9" s="2" customFormat="1" ht="15.95" customHeight="1" x14ac:dyDescent="0.3">
      <c r="A39" s="5" t="s">
        <v>1</v>
      </c>
      <c r="B39" s="4">
        <f>B38+B11</f>
        <v>996103</v>
      </c>
      <c r="D39" s="1"/>
      <c r="E39" s="1"/>
      <c r="F39" s="1"/>
      <c r="G39" s="1"/>
      <c r="H39" s="1"/>
      <c r="I39" s="1"/>
    </row>
    <row r="40" spans="1:9" s="2" customFormat="1" ht="15.95" customHeight="1" x14ac:dyDescent="0.3">
      <c r="A40" s="1" t="s">
        <v>0</v>
      </c>
      <c r="B40" s="3">
        <f>B39-B8</f>
        <v>0</v>
      </c>
      <c r="D40" s="1"/>
      <c r="E40" s="1"/>
      <c r="F40" s="1"/>
      <c r="G40" s="1"/>
      <c r="H40" s="1"/>
      <c r="I40" s="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workbookViewId="0">
      <selection activeCell="C30" sqref="C30"/>
    </sheetView>
  </sheetViews>
  <sheetFormatPr defaultRowHeight="18.75" x14ac:dyDescent="0.3"/>
  <cols>
    <col min="1" max="1" width="27.7109375" style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41851</v>
      </c>
    </row>
    <row r="3" spans="1:9" ht="15.95" customHeight="1" x14ac:dyDescent="0.3">
      <c r="A3" s="1" t="s">
        <v>7</v>
      </c>
      <c r="B3" s="3">
        <v>4499761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-3792036</v>
      </c>
    </row>
    <row r="6" spans="1:9" ht="15.95" customHeight="1" x14ac:dyDescent="0.3"/>
    <row r="7" spans="1:9" ht="15.95" customHeight="1" x14ac:dyDescent="0.3">
      <c r="A7" s="1" t="s">
        <v>5</v>
      </c>
      <c r="B7" s="3">
        <f>SUM(B5:B6)</f>
        <v>-3792036</v>
      </c>
    </row>
    <row r="8" spans="1:9" ht="15.95" customHeight="1" x14ac:dyDescent="0.3">
      <c r="A8" s="5" t="s">
        <v>4</v>
      </c>
      <c r="B8" s="4">
        <f>SUM(B3+B7)</f>
        <v>707725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3">
        <f>B10</f>
        <v>0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98</v>
      </c>
      <c r="B13" s="3">
        <v>20381</v>
      </c>
      <c r="C13" s="6" t="s">
        <v>105</v>
      </c>
    </row>
    <row r="14" spans="1:9" ht="15.95" customHeight="1" x14ac:dyDescent="0.3">
      <c r="A14" s="1" t="s">
        <v>87</v>
      </c>
      <c r="B14" s="3">
        <v>22282</v>
      </c>
      <c r="C14" s="6" t="s">
        <v>113</v>
      </c>
    </row>
    <row r="15" spans="1:9" ht="15.95" customHeight="1" x14ac:dyDescent="0.3">
      <c r="A15" s="1" t="s">
        <v>88</v>
      </c>
      <c r="B15" s="3">
        <v>23205</v>
      </c>
      <c r="C15" s="6" t="s">
        <v>112</v>
      </c>
    </row>
    <row r="16" spans="1:9" ht="15.95" customHeight="1" x14ac:dyDescent="0.3">
      <c r="A16" s="1" t="s">
        <v>99</v>
      </c>
      <c r="B16" s="3">
        <v>25753</v>
      </c>
      <c r="C16" s="6" t="s">
        <v>106</v>
      </c>
      <c r="H16" s="3"/>
      <c r="I16" s="6"/>
    </row>
    <row r="17" spans="1:9" ht="15.95" customHeight="1" x14ac:dyDescent="0.3">
      <c r="A17" s="1" t="s">
        <v>89</v>
      </c>
      <c r="B17" s="3">
        <v>30372</v>
      </c>
      <c r="C17" s="6" t="s">
        <v>111</v>
      </c>
      <c r="H17" s="3"/>
      <c r="I17" s="6"/>
    </row>
    <row r="18" spans="1:9" ht="15.95" customHeight="1" x14ac:dyDescent="0.3">
      <c r="A18" s="1" t="s">
        <v>100</v>
      </c>
      <c r="B18" s="3">
        <v>31674</v>
      </c>
      <c r="C18" s="2" t="s">
        <v>114</v>
      </c>
      <c r="H18" s="3"/>
      <c r="I18" s="6"/>
    </row>
    <row r="19" spans="1:9" ht="15.95" customHeight="1" x14ac:dyDescent="0.3">
      <c r="A19" s="1" t="s">
        <v>101</v>
      </c>
      <c r="B19" s="3">
        <v>38408</v>
      </c>
      <c r="C19" s="6" t="s">
        <v>107</v>
      </c>
    </row>
    <row r="20" spans="1:9" s="6" customFormat="1" ht="15.95" customHeight="1" x14ac:dyDescent="0.3">
      <c r="A20" s="1" t="s">
        <v>102</v>
      </c>
      <c r="B20" s="3">
        <v>42331</v>
      </c>
      <c r="C20" s="6" t="s">
        <v>108</v>
      </c>
    </row>
    <row r="21" spans="1:9" s="6" customFormat="1" ht="15.95" customHeight="1" x14ac:dyDescent="0.3">
      <c r="A21" s="1" t="s">
        <v>90</v>
      </c>
      <c r="B21" s="3">
        <v>45194</v>
      </c>
      <c r="C21" s="6" t="s">
        <v>112</v>
      </c>
    </row>
    <row r="22" spans="1:9" s="6" customFormat="1" ht="15.95" customHeight="1" x14ac:dyDescent="0.3">
      <c r="A22" s="1" t="s">
        <v>91</v>
      </c>
      <c r="B22" s="3">
        <v>45194</v>
      </c>
      <c r="C22" s="6" t="s">
        <v>112</v>
      </c>
    </row>
    <row r="23" spans="1:9" s="6" customFormat="1" ht="15.95" customHeight="1" x14ac:dyDescent="0.3">
      <c r="A23" s="1" t="s">
        <v>92</v>
      </c>
      <c r="B23" s="3">
        <v>45194</v>
      </c>
      <c r="C23" s="6" t="s">
        <v>115</v>
      </c>
    </row>
    <row r="24" spans="1:9" s="6" customFormat="1" ht="15.95" customHeight="1" x14ac:dyDescent="0.3">
      <c r="A24" s="1" t="s">
        <v>93</v>
      </c>
      <c r="B24" s="3">
        <v>45194</v>
      </c>
      <c r="C24" s="6" t="s">
        <v>112</v>
      </c>
    </row>
    <row r="25" spans="1:9" s="6" customFormat="1" ht="15.95" customHeight="1" x14ac:dyDescent="0.3">
      <c r="A25" s="1" t="s">
        <v>94</v>
      </c>
      <c r="B25" s="3">
        <v>45454</v>
      </c>
      <c r="C25" s="6" t="s">
        <v>116</v>
      </c>
    </row>
    <row r="26" spans="1:9" ht="15.95" customHeight="1" x14ac:dyDescent="0.3">
      <c r="A26" s="1" t="s">
        <v>95</v>
      </c>
      <c r="B26" s="7">
        <v>45454</v>
      </c>
      <c r="C26" s="6" t="s">
        <v>116</v>
      </c>
    </row>
    <row r="27" spans="1:9" ht="15.95" customHeight="1" x14ac:dyDescent="0.3">
      <c r="A27" s="1" t="s">
        <v>96</v>
      </c>
      <c r="B27" s="3">
        <v>45862</v>
      </c>
      <c r="C27" s="6" t="s">
        <v>112</v>
      </c>
    </row>
    <row r="28" spans="1:9" s="2" customFormat="1" ht="15.95" customHeight="1" x14ac:dyDescent="0.3">
      <c r="A28" s="1" t="s">
        <v>103</v>
      </c>
      <c r="B28" s="3">
        <v>49179</v>
      </c>
      <c r="C28" s="6" t="s">
        <v>109</v>
      </c>
      <c r="D28" s="1"/>
      <c r="E28" s="1"/>
      <c r="F28" s="1"/>
      <c r="G28" s="1"/>
      <c r="H28" s="1"/>
      <c r="I28" s="1"/>
    </row>
    <row r="29" spans="1:9" s="6" customFormat="1" ht="15.95" customHeight="1" x14ac:dyDescent="0.3">
      <c r="A29" s="1" t="s">
        <v>97</v>
      </c>
      <c r="B29" s="3">
        <v>49215</v>
      </c>
      <c r="C29" s="6" t="s">
        <v>117</v>
      </c>
    </row>
    <row r="30" spans="1:9" s="6" customFormat="1" ht="15.95" customHeight="1" x14ac:dyDescent="0.3">
      <c r="A30" s="1" t="s">
        <v>104</v>
      </c>
      <c r="B30" s="3">
        <v>57379</v>
      </c>
      <c r="C30" s="6" t="s">
        <v>110</v>
      </c>
    </row>
    <row r="31" spans="1:9" s="6" customFormat="1" ht="15.95" customHeight="1" x14ac:dyDescent="0.3">
      <c r="A31" s="1"/>
      <c r="B31" s="3"/>
    </row>
    <row r="32" spans="1:9" s="6" customFormat="1" ht="15.95" customHeight="1" x14ac:dyDescent="0.3">
      <c r="A32" s="1"/>
      <c r="B32" s="3"/>
    </row>
    <row r="33" spans="1:9" s="6" customFormat="1" ht="15.95" customHeight="1" x14ac:dyDescent="0.3">
      <c r="A33" s="1"/>
      <c r="B33" s="3"/>
    </row>
    <row r="34" spans="1:9" s="6" customFormat="1" ht="15.95" customHeight="1" x14ac:dyDescent="0.3">
      <c r="A34" s="1"/>
      <c r="B34" s="3"/>
    </row>
    <row r="35" spans="1:9" s="2" customFormat="1" ht="15.95" customHeight="1" x14ac:dyDescent="0.3">
      <c r="A35" s="1"/>
      <c r="B35" s="3">
        <f>SUM(B13:B34)</f>
        <v>707725</v>
      </c>
      <c r="C35" s="6"/>
      <c r="D35" s="1"/>
      <c r="E35" s="1"/>
      <c r="F35" s="1"/>
      <c r="G35" s="1"/>
      <c r="H35" s="1"/>
      <c r="I35" s="1"/>
    </row>
    <row r="36" spans="1:9" s="2" customFormat="1" ht="15.95" customHeight="1" x14ac:dyDescent="0.3">
      <c r="A36" s="5" t="s">
        <v>1</v>
      </c>
      <c r="B36" s="4">
        <f>B35+B11</f>
        <v>707725</v>
      </c>
      <c r="D36" s="1"/>
      <c r="E36" s="1"/>
      <c r="F36" s="1"/>
      <c r="G36" s="1"/>
      <c r="H36" s="1"/>
      <c r="I36" s="1"/>
    </row>
    <row r="37" spans="1:9" s="2" customFormat="1" ht="15.95" customHeight="1" x14ac:dyDescent="0.3">
      <c r="A37" s="1" t="s">
        <v>0</v>
      </c>
      <c r="B37" s="3">
        <f>B36-B8</f>
        <v>0</v>
      </c>
      <c r="D37" s="1"/>
      <c r="E37" s="1"/>
      <c r="F37" s="1"/>
      <c r="G37" s="1"/>
      <c r="H37" s="1"/>
      <c r="I37" s="1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workbookViewId="0">
      <selection activeCell="H12" sqref="H12"/>
    </sheetView>
  </sheetViews>
  <sheetFormatPr defaultRowHeight="18.75" x14ac:dyDescent="0.3"/>
  <cols>
    <col min="1" max="1" width="27.7109375" style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41882</v>
      </c>
    </row>
    <row r="3" spans="1:9" ht="15.95" customHeight="1" x14ac:dyDescent="0.3">
      <c r="A3" s="1" t="s">
        <v>7</v>
      </c>
      <c r="B3" s="3">
        <v>5008989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-4369479</v>
      </c>
    </row>
    <row r="6" spans="1:9" ht="15.95" customHeight="1" x14ac:dyDescent="0.3">
      <c r="A6" s="1">
        <v>2101</v>
      </c>
      <c r="B6" s="3">
        <v>-89000</v>
      </c>
    </row>
    <row r="7" spans="1:9" ht="15.95" customHeight="1" x14ac:dyDescent="0.3">
      <c r="A7" s="1" t="s">
        <v>5</v>
      </c>
      <c r="B7" s="3">
        <f>SUM(B5:B6)</f>
        <v>-4458479</v>
      </c>
    </row>
    <row r="8" spans="1:9" ht="15.95" customHeight="1" x14ac:dyDescent="0.3">
      <c r="A8" s="5" t="s">
        <v>4</v>
      </c>
      <c r="B8" s="4">
        <f>SUM(B3+B7)</f>
        <v>550510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3">
        <f>B10</f>
        <v>0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118</v>
      </c>
      <c r="B13" s="3">
        <v>24572</v>
      </c>
      <c r="C13" s="6" t="s">
        <v>139</v>
      </c>
    </row>
    <row r="14" spans="1:9" ht="15.95" customHeight="1" x14ac:dyDescent="0.3">
      <c r="A14" s="1" t="s">
        <v>119</v>
      </c>
      <c r="B14" s="3">
        <v>27106</v>
      </c>
      <c r="C14" s="6" t="s">
        <v>140</v>
      </c>
    </row>
    <row r="15" spans="1:9" ht="15.95" customHeight="1" x14ac:dyDescent="0.3">
      <c r="A15" s="1" t="s">
        <v>120</v>
      </c>
      <c r="B15" s="3">
        <v>27505</v>
      </c>
      <c r="C15" s="6" t="s">
        <v>141</v>
      </c>
    </row>
    <row r="16" spans="1:9" ht="15.95" customHeight="1" x14ac:dyDescent="0.3">
      <c r="A16" s="1" t="s">
        <v>121</v>
      </c>
      <c r="B16" s="3">
        <v>28658</v>
      </c>
      <c r="C16" s="6" t="s">
        <v>133</v>
      </c>
      <c r="H16" s="3"/>
      <c r="I16" s="6"/>
    </row>
    <row r="17" spans="1:9" ht="15.95" customHeight="1" x14ac:dyDescent="0.3">
      <c r="A17" s="1" t="s">
        <v>122</v>
      </c>
      <c r="B17" s="3">
        <v>31536</v>
      </c>
      <c r="C17" s="6" t="s">
        <v>142</v>
      </c>
      <c r="H17" s="3"/>
      <c r="I17" s="6"/>
    </row>
    <row r="18" spans="1:9" ht="15.95" customHeight="1" x14ac:dyDescent="0.3">
      <c r="A18" s="1" t="s">
        <v>123</v>
      </c>
      <c r="B18" s="3">
        <v>35203</v>
      </c>
      <c r="C18" s="6" t="s">
        <v>140</v>
      </c>
      <c r="H18" s="3"/>
      <c r="I18" s="6"/>
    </row>
    <row r="19" spans="1:9" ht="15.95" customHeight="1" x14ac:dyDescent="0.3">
      <c r="A19" s="1" t="s">
        <v>124</v>
      </c>
      <c r="B19" s="3">
        <v>35590</v>
      </c>
      <c r="C19" s="6" t="s">
        <v>143</v>
      </c>
    </row>
    <row r="20" spans="1:9" s="6" customFormat="1" ht="15.95" customHeight="1" x14ac:dyDescent="0.3">
      <c r="A20" s="1" t="s">
        <v>125</v>
      </c>
      <c r="B20" s="3">
        <v>35590</v>
      </c>
      <c r="C20" s="6" t="s">
        <v>134</v>
      </c>
    </row>
    <row r="21" spans="1:9" s="6" customFormat="1" ht="15.95" customHeight="1" x14ac:dyDescent="0.3">
      <c r="A21" s="1" t="s">
        <v>126</v>
      </c>
      <c r="B21" s="3">
        <v>35769</v>
      </c>
      <c r="C21" s="6" t="s">
        <v>144</v>
      </c>
    </row>
    <row r="22" spans="1:9" s="6" customFormat="1" ht="15.95" customHeight="1" x14ac:dyDescent="0.3">
      <c r="A22" s="1" t="s">
        <v>127</v>
      </c>
      <c r="B22" s="3">
        <v>35853</v>
      </c>
      <c r="C22" s="6" t="s">
        <v>135</v>
      </c>
    </row>
    <row r="23" spans="1:9" s="6" customFormat="1" ht="15.95" customHeight="1" x14ac:dyDescent="0.3">
      <c r="A23" s="1" t="s">
        <v>128</v>
      </c>
      <c r="B23" s="3">
        <v>41159</v>
      </c>
      <c r="C23" s="6" t="s">
        <v>144</v>
      </c>
    </row>
    <row r="24" spans="1:9" s="6" customFormat="1" ht="15.95" customHeight="1" x14ac:dyDescent="0.3">
      <c r="A24" s="1" t="s">
        <v>129</v>
      </c>
      <c r="B24" s="3">
        <v>45534</v>
      </c>
      <c r="C24" s="6" t="s">
        <v>136</v>
      </c>
    </row>
    <row r="25" spans="1:9" s="6" customFormat="1" ht="15.95" customHeight="1" x14ac:dyDescent="0.3">
      <c r="A25" s="1" t="s">
        <v>130</v>
      </c>
      <c r="B25" s="7">
        <v>45742</v>
      </c>
      <c r="C25" s="6" t="s">
        <v>137</v>
      </c>
    </row>
    <row r="26" spans="1:9" ht="15.95" customHeight="1" x14ac:dyDescent="0.3">
      <c r="A26" s="1" t="s">
        <v>131</v>
      </c>
      <c r="B26" s="3">
        <v>50021</v>
      </c>
      <c r="C26" s="6" t="s">
        <v>145</v>
      </c>
    </row>
    <row r="27" spans="1:9" s="2" customFormat="1" ht="15.95" customHeight="1" x14ac:dyDescent="0.3">
      <c r="A27" s="1" t="s">
        <v>132</v>
      </c>
      <c r="B27" s="3">
        <v>50672</v>
      </c>
      <c r="C27" s="6" t="s">
        <v>138</v>
      </c>
      <c r="D27" s="1"/>
      <c r="E27" s="1"/>
      <c r="F27" s="1"/>
      <c r="G27" s="1"/>
      <c r="H27" s="1"/>
      <c r="I27" s="1"/>
    </row>
    <row r="28" spans="1:9" s="6" customFormat="1" ht="15.95" customHeight="1" x14ac:dyDescent="0.3">
      <c r="A28" s="1"/>
      <c r="B28" s="3"/>
    </row>
    <row r="29" spans="1:9" s="6" customFormat="1" ht="15.95" customHeight="1" x14ac:dyDescent="0.3">
      <c r="A29" s="1"/>
      <c r="B29" s="3"/>
    </row>
    <row r="30" spans="1:9" s="6" customFormat="1" ht="15.95" customHeight="1" x14ac:dyDescent="0.3">
      <c r="A30" s="1"/>
      <c r="B30" s="3"/>
    </row>
    <row r="31" spans="1:9" s="6" customFormat="1" ht="15.95" customHeight="1" x14ac:dyDescent="0.3">
      <c r="A31" s="1"/>
      <c r="B31" s="3"/>
    </row>
    <row r="32" spans="1:9" s="6" customFormat="1" ht="15.95" customHeight="1" x14ac:dyDescent="0.3">
      <c r="A32" s="1"/>
      <c r="B32" s="3"/>
    </row>
    <row r="33" spans="1:9" s="6" customFormat="1" ht="15.95" customHeight="1" x14ac:dyDescent="0.3">
      <c r="A33" s="1"/>
      <c r="B33" s="3"/>
    </row>
    <row r="34" spans="1:9" s="2" customFormat="1" ht="15.95" customHeight="1" x14ac:dyDescent="0.3">
      <c r="A34" s="1"/>
      <c r="B34" s="3">
        <f>SUM(B13:B33)</f>
        <v>550510</v>
      </c>
      <c r="C34" s="6"/>
      <c r="D34" s="1"/>
      <c r="E34" s="1"/>
      <c r="F34" s="1"/>
      <c r="G34" s="1"/>
      <c r="H34" s="1"/>
      <c r="I34" s="1"/>
    </row>
    <row r="35" spans="1:9" s="2" customFormat="1" ht="15.95" customHeight="1" x14ac:dyDescent="0.3">
      <c r="A35" s="5" t="s">
        <v>1</v>
      </c>
      <c r="B35" s="4">
        <f>B34+B11</f>
        <v>550510</v>
      </c>
      <c r="D35" s="1"/>
      <c r="E35" s="1"/>
      <c r="F35" s="1"/>
      <c r="G35" s="1"/>
      <c r="H35" s="1"/>
      <c r="I35" s="1"/>
    </row>
    <row r="36" spans="1:9" s="2" customFormat="1" ht="15.95" customHeight="1" x14ac:dyDescent="0.3">
      <c r="A36" s="1" t="s">
        <v>0</v>
      </c>
      <c r="B36" s="3">
        <f>B35-B8</f>
        <v>0</v>
      </c>
      <c r="D36" s="1"/>
      <c r="E36" s="1"/>
      <c r="F36" s="1"/>
      <c r="G36" s="1"/>
      <c r="H36" s="1"/>
      <c r="I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"/>
  <sheetViews>
    <sheetView workbookViewId="0">
      <selection activeCell="C9" sqref="C9"/>
    </sheetView>
  </sheetViews>
  <sheetFormatPr defaultRowHeight="18.75" x14ac:dyDescent="0.3"/>
  <cols>
    <col min="1" max="1" width="27.7109375" style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41912</v>
      </c>
    </row>
    <row r="3" spans="1:9" ht="15.95" customHeight="1" x14ac:dyDescent="0.3">
      <c r="A3" s="1" t="s">
        <v>7</v>
      </c>
      <c r="B3" s="3">
        <v>5181926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-4823931</v>
      </c>
    </row>
    <row r="6" spans="1:9" ht="15.95" customHeight="1" x14ac:dyDescent="0.3">
      <c r="A6" s="1">
        <v>2101</v>
      </c>
      <c r="B6" s="3">
        <v>-20000</v>
      </c>
    </row>
    <row r="7" spans="1:9" ht="15.95" customHeight="1" x14ac:dyDescent="0.3">
      <c r="A7" s="1" t="s">
        <v>5</v>
      </c>
      <c r="B7" s="3">
        <f>SUM(B5:B6)</f>
        <v>-4843931</v>
      </c>
    </row>
    <row r="8" spans="1:9" ht="15.95" customHeight="1" x14ac:dyDescent="0.3">
      <c r="A8" s="5" t="s">
        <v>4</v>
      </c>
      <c r="B8" s="4">
        <f>SUM(B3+B7)</f>
        <v>337995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3">
        <f>B10</f>
        <v>0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146</v>
      </c>
      <c r="B13" s="3">
        <v>18553</v>
      </c>
      <c r="C13" s="6" t="s">
        <v>156</v>
      </c>
    </row>
    <row r="14" spans="1:9" ht="15.95" customHeight="1" x14ac:dyDescent="0.3">
      <c r="A14" s="1" t="s">
        <v>147</v>
      </c>
      <c r="B14" s="3">
        <v>21157</v>
      </c>
      <c r="C14" s="6" t="s">
        <v>157</v>
      </c>
    </row>
    <row r="15" spans="1:9" ht="15.95" customHeight="1" x14ac:dyDescent="0.3">
      <c r="A15" s="1" t="s">
        <v>148</v>
      </c>
      <c r="B15" s="3">
        <v>22484</v>
      </c>
      <c r="C15" s="6" t="s">
        <v>158</v>
      </c>
    </row>
    <row r="16" spans="1:9" ht="15.95" customHeight="1" x14ac:dyDescent="0.3">
      <c r="A16" s="1" t="s">
        <v>155</v>
      </c>
      <c r="B16" s="3">
        <v>23686</v>
      </c>
      <c r="C16" s="6" t="s">
        <v>159</v>
      </c>
      <c r="H16" s="3"/>
      <c r="I16" s="6"/>
    </row>
    <row r="17" spans="1:9" ht="15.95" customHeight="1" x14ac:dyDescent="0.3">
      <c r="A17" s="1" t="s">
        <v>118</v>
      </c>
      <c r="B17" s="3">
        <v>24572</v>
      </c>
      <c r="C17" s="6" t="s">
        <v>160</v>
      </c>
      <c r="H17" s="3"/>
      <c r="I17" s="6"/>
    </row>
    <row r="18" spans="1:9" ht="15.95" customHeight="1" x14ac:dyDescent="0.3">
      <c r="A18" s="1" t="s">
        <v>149</v>
      </c>
      <c r="B18" s="3">
        <v>33138</v>
      </c>
      <c r="C18" s="6" t="s">
        <v>158</v>
      </c>
      <c r="H18" s="3"/>
      <c r="I18" s="6"/>
    </row>
    <row r="19" spans="1:9" ht="15.95" customHeight="1" x14ac:dyDescent="0.3">
      <c r="A19" s="1" t="s">
        <v>150</v>
      </c>
      <c r="B19" s="3">
        <v>33427</v>
      </c>
      <c r="C19" s="6" t="s">
        <v>157</v>
      </c>
    </row>
    <row r="20" spans="1:9" s="6" customFormat="1" ht="15.95" customHeight="1" x14ac:dyDescent="0.3">
      <c r="A20" s="1" t="s">
        <v>151</v>
      </c>
      <c r="B20" s="3">
        <v>33445</v>
      </c>
      <c r="C20" s="6" t="s">
        <v>161</v>
      </c>
    </row>
    <row r="21" spans="1:9" s="6" customFormat="1" ht="15.95" customHeight="1" x14ac:dyDescent="0.3">
      <c r="A21" s="1" t="s">
        <v>152</v>
      </c>
      <c r="B21" s="3">
        <v>34317</v>
      </c>
      <c r="C21" s="6" t="s">
        <v>162</v>
      </c>
    </row>
    <row r="22" spans="1:9" s="6" customFormat="1" ht="15.95" customHeight="1" x14ac:dyDescent="0.3">
      <c r="A22" s="1" t="s">
        <v>153</v>
      </c>
      <c r="B22" s="3">
        <v>36138</v>
      </c>
      <c r="C22" s="6" t="s">
        <v>156</v>
      </c>
    </row>
    <row r="23" spans="1:9" s="6" customFormat="1" ht="15.95" customHeight="1" x14ac:dyDescent="0.3">
      <c r="A23" s="1" t="s">
        <v>154</v>
      </c>
      <c r="B23" s="3">
        <v>57078</v>
      </c>
      <c r="C23" s="6" t="s">
        <v>159</v>
      </c>
    </row>
    <row r="24" spans="1:9" s="6" customFormat="1" ht="15.95" customHeight="1" x14ac:dyDescent="0.3">
      <c r="A24" s="1"/>
      <c r="B24" s="3"/>
    </row>
    <row r="25" spans="1:9" s="6" customFormat="1" ht="15.95" customHeight="1" x14ac:dyDescent="0.3">
      <c r="A25" s="1"/>
      <c r="B25" s="7"/>
    </row>
    <row r="26" spans="1:9" ht="15.95" customHeight="1" x14ac:dyDescent="0.3">
      <c r="C26" s="6"/>
    </row>
    <row r="27" spans="1:9" s="2" customFormat="1" ht="15.95" customHeight="1" x14ac:dyDescent="0.3">
      <c r="A27" s="1"/>
      <c r="B27" s="3"/>
      <c r="C27" s="6"/>
      <c r="D27" s="1"/>
      <c r="E27" s="1"/>
      <c r="F27" s="1"/>
      <c r="G27" s="1"/>
      <c r="H27" s="1"/>
      <c r="I27" s="1"/>
    </row>
    <row r="28" spans="1:9" s="6" customFormat="1" ht="15.95" customHeight="1" x14ac:dyDescent="0.3">
      <c r="A28" s="1"/>
      <c r="B28" s="3"/>
    </row>
    <row r="29" spans="1:9" s="6" customFormat="1" ht="15.95" customHeight="1" x14ac:dyDescent="0.3">
      <c r="A29" s="1"/>
      <c r="B29" s="3"/>
    </row>
    <row r="30" spans="1:9" s="6" customFormat="1" ht="15.95" customHeight="1" x14ac:dyDescent="0.3">
      <c r="A30" s="1"/>
      <c r="B30" s="3"/>
    </row>
    <row r="31" spans="1:9" s="6" customFormat="1" ht="15.95" customHeight="1" x14ac:dyDescent="0.3">
      <c r="A31" s="1"/>
      <c r="B31" s="3"/>
    </row>
    <row r="32" spans="1:9" s="6" customFormat="1" ht="15.95" customHeight="1" x14ac:dyDescent="0.3">
      <c r="A32" s="1"/>
      <c r="B32" s="3"/>
    </row>
    <row r="33" spans="1:9" s="6" customFormat="1" ht="15.95" customHeight="1" x14ac:dyDescent="0.3">
      <c r="A33" s="1"/>
      <c r="B33" s="3"/>
    </row>
    <row r="34" spans="1:9" s="2" customFormat="1" ht="15.95" customHeight="1" x14ac:dyDescent="0.3">
      <c r="A34" s="1"/>
      <c r="B34" s="3">
        <f>SUM(B13:B33)</f>
        <v>337995</v>
      </c>
      <c r="C34" s="6"/>
      <c r="D34" s="1"/>
      <c r="E34" s="1"/>
      <c r="F34" s="1"/>
      <c r="G34" s="1"/>
      <c r="H34" s="1"/>
      <c r="I34" s="1"/>
    </row>
    <row r="35" spans="1:9" s="2" customFormat="1" ht="15.95" customHeight="1" x14ac:dyDescent="0.3">
      <c r="A35" s="5" t="s">
        <v>1</v>
      </c>
      <c r="B35" s="4">
        <f>B34+B11</f>
        <v>337995</v>
      </c>
      <c r="D35" s="1"/>
      <c r="E35" s="1"/>
      <c r="F35" s="1"/>
      <c r="G35" s="1"/>
      <c r="H35" s="1"/>
      <c r="I35" s="1"/>
    </row>
    <row r="36" spans="1:9" s="2" customFormat="1" ht="15.95" customHeight="1" x14ac:dyDescent="0.3">
      <c r="A36" s="1" t="s">
        <v>0</v>
      </c>
      <c r="B36" s="3">
        <f>B35-B8</f>
        <v>0</v>
      </c>
      <c r="D36" s="1"/>
      <c r="E36" s="1"/>
      <c r="F36" s="1"/>
      <c r="G36" s="1"/>
      <c r="H36" s="1"/>
      <c r="I36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"/>
  <sheetViews>
    <sheetView workbookViewId="0">
      <selection activeCell="C27" sqref="C27"/>
    </sheetView>
  </sheetViews>
  <sheetFormatPr defaultRowHeight="18.75" x14ac:dyDescent="0.3"/>
  <cols>
    <col min="1" max="1" width="27.7109375" style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41943</v>
      </c>
    </row>
    <row r="3" spans="1:9" ht="15.95" customHeight="1" x14ac:dyDescent="0.3">
      <c r="A3" s="1" t="s">
        <v>7</v>
      </c>
      <c r="B3" s="3">
        <v>5059112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-4555507</v>
      </c>
    </row>
    <row r="6" spans="1:9" ht="15.95" customHeight="1" x14ac:dyDescent="0.3">
      <c r="A6" s="1">
        <v>2101</v>
      </c>
    </row>
    <row r="7" spans="1:9" ht="15.95" customHeight="1" x14ac:dyDescent="0.3">
      <c r="A7" s="1" t="s">
        <v>5</v>
      </c>
      <c r="B7" s="3">
        <f>SUM(B5:B6)</f>
        <v>-4555507</v>
      </c>
    </row>
    <row r="8" spans="1:9" ht="15.95" customHeight="1" x14ac:dyDescent="0.3">
      <c r="A8" s="5" t="s">
        <v>4</v>
      </c>
      <c r="B8" s="4">
        <f>SUM(B3+B7)</f>
        <v>503605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3">
        <f>B10</f>
        <v>0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163</v>
      </c>
      <c r="B13" s="3">
        <v>21965</v>
      </c>
      <c r="C13" s="6" t="s">
        <v>180</v>
      </c>
    </row>
    <row r="14" spans="1:9" ht="15.95" customHeight="1" x14ac:dyDescent="0.3">
      <c r="A14" s="1" t="s">
        <v>164</v>
      </c>
      <c r="B14" s="3">
        <v>24005</v>
      </c>
      <c r="C14" s="6" t="s">
        <v>181</v>
      </c>
    </row>
    <row r="15" spans="1:9" ht="15.95" customHeight="1" x14ac:dyDescent="0.3">
      <c r="A15" s="1" t="s">
        <v>165</v>
      </c>
      <c r="B15" s="3">
        <v>26582</v>
      </c>
      <c r="C15" s="6" t="s">
        <v>182</v>
      </c>
    </row>
    <row r="16" spans="1:9" ht="15.95" customHeight="1" x14ac:dyDescent="0.3">
      <c r="A16" s="1" t="s">
        <v>166</v>
      </c>
      <c r="B16" s="3">
        <v>32565</v>
      </c>
      <c r="C16" s="6" t="s">
        <v>182</v>
      </c>
      <c r="H16" s="3"/>
      <c r="I16" s="6"/>
    </row>
    <row r="17" spans="1:9" ht="15.95" customHeight="1" x14ac:dyDescent="0.3">
      <c r="A17" s="1" t="s">
        <v>172</v>
      </c>
      <c r="B17" s="3">
        <v>34819</v>
      </c>
      <c r="C17" s="6" t="s">
        <v>177</v>
      </c>
      <c r="H17" s="3"/>
      <c r="I17" s="6"/>
    </row>
    <row r="18" spans="1:9" ht="15.95" customHeight="1" x14ac:dyDescent="0.3">
      <c r="A18" s="1" t="s">
        <v>167</v>
      </c>
      <c r="B18" s="3">
        <v>36668</v>
      </c>
      <c r="C18" s="6" t="s">
        <v>183</v>
      </c>
      <c r="H18" s="3"/>
      <c r="I18" s="6"/>
    </row>
    <row r="19" spans="1:9" ht="15.95" customHeight="1" x14ac:dyDescent="0.3">
      <c r="A19" s="1" t="s">
        <v>168</v>
      </c>
      <c r="B19" s="3">
        <v>37270</v>
      </c>
      <c r="C19" s="6" t="s">
        <v>184</v>
      </c>
    </row>
    <row r="20" spans="1:9" s="6" customFormat="1" ht="15.95" customHeight="1" x14ac:dyDescent="0.3">
      <c r="A20" s="1" t="s">
        <v>169</v>
      </c>
      <c r="B20" s="3">
        <v>37270</v>
      </c>
      <c r="C20" s="6" t="s">
        <v>185</v>
      </c>
    </row>
    <row r="21" spans="1:9" s="6" customFormat="1" ht="15.95" customHeight="1" x14ac:dyDescent="0.3">
      <c r="A21" s="1" t="s">
        <v>173</v>
      </c>
      <c r="B21" s="3">
        <v>37366</v>
      </c>
      <c r="C21" s="6" t="s">
        <v>178</v>
      </c>
    </row>
    <row r="22" spans="1:9" s="6" customFormat="1" ht="15.95" customHeight="1" x14ac:dyDescent="0.3">
      <c r="A22" s="1" t="s">
        <v>174</v>
      </c>
      <c r="B22" s="3">
        <v>38029</v>
      </c>
      <c r="C22" s="6" t="s">
        <v>179</v>
      </c>
    </row>
    <row r="23" spans="1:9" s="6" customFormat="1" ht="15.95" customHeight="1" x14ac:dyDescent="0.3">
      <c r="A23" s="1" t="s">
        <v>175</v>
      </c>
      <c r="B23" s="3">
        <v>41038</v>
      </c>
      <c r="C23" s="6" t="s">
        <v>178</v>
      </c>
    </row>
    <row r="24" spans="1:9" s="6" customFormat="1" ht="15.95" customHeight="1" x14ac:dyDescent="0.3">
      <c r="A24" s="1" t="s">
        <v>176</v>
      </c>
      <c r="B24" s="3">
        <v>43088</v>
      </c>
      <c r="C24" s="6" t="s">
        <v>179</v>
      </c>
    </row>
    <row r="25" spans="1:9" s="6" customFormat="1" ht="15.95" customHeight="1" x14ac:dyDescent="0.3">
      <c r="A25" s="1" t="s">
        <v>170</v>
      </c>
      <c r="B25" s="7">
        <v>44967</v>
      </c>
      <c r="C25" s="6" t="s">
        <v>186</v>
      </c>
    </row>
    <row r="26" spans="1:9" ht="15.95" customHeight="1" x14ac:dyDescent="0.3">
      <c r="A26" s="1" t="s">
        <v>171</v>
      </c>
      <c r="B26" s="3">
        <v>47973</v>
      </c>
      <c r="C26" s="6" t="s">
        <v>187</v>
      </c>
    </row>
    <row r="27" spans="1:9" s="2" customFormat="1" ht="15.95" customHeight="1" x14ac:dyDescent="0.3">
      <c r="A27" s="1"/>
      <c r="B27" s="3"/>
      <c r="C27" s="6"/>
      <c r="D27" s="1"/>
      <c r="E27" s="1"/>
      <c r="F27" s="1"/>
      <c r="G27" s="1"/>
      <c r="H27" s="1"/>
      <c r="I27" s="1"/>
    </row>
    <row r="28" spans="1:9" s="6" customFormat="1" ht="15.95" customHeight="1" x14ac:dyDescent="0.3">
      <c r="A28" s="1"/>
      <c r="B28" s="3"/>
    </row>
    <row r="29" spans="1:9" s="6" customFormat="1" ht="15.95" customHeight="1" x14ac:dyDescent="0.3">
      <c r="A29" s="1"/>
      <c r="B29" s="3"/>
    </row>
    <row r="30" spans="1:9" s="6" customFormat="1" ht="15.95" customHeight="1" x14ac:dyDescent="0.3">
      <c r="A30" s="1"/>
      <c r="B30" s="3"/>
    </row>
    <row r="31" spans="1:9" s="6" customFormat="1" ht="15.95" customHeight="1" x14ac:dyDescent="0.3">
      <c r="A31" s="1"/>
      <c r="B31" s="3"/>
    </row>
    <row r="32" spans="1:9" s="6" customFormat="1" ht="15.95" customHeight="1" x14ac:dyDescent="0.3">
      <c r="A32" s="1"/>
      <c r="B32" s="3"/>
    </row>
    <row r="33" spans="1:9" s="6" customFormat="1" ht="15.95" customHeight="1" x14ac:dyDescent="0.3">
      <c r="A33" s="1"/>
      <c r="B33" s="3"/>
    </row>
    <row r="34" spans="1:9" s="2" customFormat="1" ht="15.95" customHeight="1" x14ac:dyDescent="0.3">
      <c r="A34" s="1"/>
      <c r="B34" s="3">
        <f>SUM(B13:B33)</f>
        <v>503605</v>
      </c>
      <c r="C34" s="6"/>
      <c r="D34" s="1"/>
      <c r="E34" s="1"/>
      <c r="F34" s="1"/>
      <c r="G34" s="1"/>
      <c r="H34" s="1"/>
      <c r="I34" s="1"/>
    </row>
    <row r="35" spans="1:9" s="2" customFormat="1" ht="15.95" customHeight="1" x14ac:dyDescent="0.3">
      <c r="A35" s="5" t="s">
        <v>1</v>
      </c>
      <c r="B35" s="4">
        <f>B34+B11</f>
        <v>503605</v>
      </c>
      <c r="D35" s="1"/>
      <c r="E35" s="1"/>
      <c r="F35" s="1"/>
      <c r="G35" s="1"/>
      <c r="H35" s="1"/>
      <c r="I35" s="1"/>
    </row>
    <row r="36" spans="1:9" s="2" customFormat="1" ht="15.95" customHeight="1" x14ac:dyDescent="0.3">
      <c r="A36" s="1" t="s">
        <v>0</v>
      </c>
      <c r="B36" s="3">
        <f>B35-B8</f>
        <v>0</v>
      </c>
      <c r="D36" s="1"/>
      <c r="E36" s="1"/>
      <c r="F36" s="1"/>
      <c r="G36" s="1"/>
      <c r="H36" s="1"/>
      <c r="I36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3"/>
  <sheetViews>
    <sheetView workbookViewId="0">
      <selection activeCell="A2" sqref="A2"/>
    </sheetView>
  </sheetViews>
  <sheetFormatPr defaultRowHeight="18.75" x14ac:dyDescent="0.3"/>
  <cols>
    <col min="1" max="1" width="27.7109375" style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41973</v>
      </c>
    </row>
    <row r="3" spans="1:9" ht="15.95" customHeight="1" x14ac:dyDescent="0.3">
      <c r="A3" s="1" t="s">
        <v>7</v>
      </c>
      <c r="B3" s="3">
        <v>5754229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-4711159</v>
      </c>
    </row>
    <row r="6" spans="1:9" ht="15.95" customHeight="1" x14ac:dyDescent="0.3"/>
    <row r="7" spans="1:9" ht="15.95" customHeight="1" x14ac:dyDescent="0.3">
      <c r="A7" s="1" t="s">
        <v>5</v>
      </c>
      <c r="B7" s="3">
        <f>SUM(B5:B6)</f>
        <v>-4711159</v>
      </c>
    </row>
    <row r="8" spans="1:9" ht="15.95" customHeight="1" x14ac:dyDescent="0.3">
      <c r="A8" s="5" t="s">
        <v>4</v>
      </c>
      <c r="B8" s="4">
        <f>SUM(B3+B7)</f>
        <v>1043070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3">
        <f>B10</f>
        <v>0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188</v>
      </c>
      <c r="B13" s="3">
        <v>21156</v>
      </c>
      <c r="C13" s="6" t="s">
        <v>219</v>
      </c>
    </row>
    <row r="14" spans="1:9" ht="15.95" customHeight="1" x14ac:dyDescent="0.3">
      <c r="A14" s="1" t="s">
        <v>189</v>
      </c>
      <c r="B14" s="3">
        <v>24551</v>
      </c>
      <c r="C14" s="6" t="s">
        <v>220</v>
      </c>
    </row>
    <row r="15" spans="1:9" ht="15.95" customHeight="1" x14ac:dyDescent="0.3">
      <c r="A15" s="1" t="s">
        <v>190</v>
      </c>
      <c r="B15" s="3">
        <v>24551</v>
      </c>
      <c r="C15" s="6" t="s">
        <v>221</v>
      </c>
    </row>
    <row r="16" spans="1:9" ht="15.95" customHeight="1" x14ac:dyDescent="0.3">
      <c r="A16" s="1" t="s">
        <v>191</v>
      </c>
      <c r="B16" s="3">
        <v>25065</v>
      </c>
      <c r="C16" s="6" t="s">
        <v>222</v>
      </c>
      <c r="H16" s="3"/>
      <c r="I16" s="6"/>
    </row>
    <row r="17" spans="1:9" ht="15.95" customHeight="1" x14ac:dyDescent="0.3">
      <c r="A17" s="1" t="s">
        <v>192</v>
      </c>
      <c r="B17" s="3">
        <v>25758</v>
      </c>
      <c r="C17" s="6" t="s">
        <v>222</v>
      </c>
      <c r="H17" s="3"/>
      <c r="I17" s="6"/>
    </row>
    <row r="18" spans="1:9" ht="15.95" customHeight="1" x14ac:dyDescent="0.3">
      <c r="A18" s="1" t="s">
        <v>193</v>
      </c>
      <c r="B18" s="3">
        <v>25870</v>
      </c>
      <c r="C18" s="6" t="s">
        <v>223</v>
      </c>
      <c r="H18" s="3"/>
      <c r="I18" s="6"/>
    </row>
    <row r="19" spans="1:9" ht="15.95" customHeight="1" x14ac:dyDescent="0.3">
      <c r="A19" s="1" t="s">
        <v>194</v>
      </c>
      <c r="B19" s="3">
        <v>25914</v>
      </c>
      <c r="C19" s="6" t="s">
        <v>215</v>
      </c>
    </row>
    <row r="20" spans="1:9" s="6" customFormat="1" ht="15.95" customHeight="1" x14ac:dyDescent="0.3">
      <c r="A20" s="1" t="s">
        <v>195</v>
      </c>
      <c r="B20" s="3">
        <v>28303</v>
      </c>
      <c r="C20" s="6" t="s">
        <v>220</v>
      </c>
    </row>
    <row r="21" spans="1:9" s="6" customFormat="1" ht="15.95" customHeight="1" x14ac:dyDescent="0.3">
      <c r="A21" s="1" t="s">
        <v>196</v>
      </c>
      <c r="B21" s="3">
        <v>29719</v>
      </c>
      <c r="C21" s="6" t="s">
        <v>219</v>
      </c>
    </row>
    <row r="22" spans="1:9" s="6" customFormat="1" ht="15.95" customHeight="1" x14ac:dyDescent="0.3">
      <c r="A22" s="1" t="s">
        <v>197</v>
      </c>
      <c r="B22" s="3">
        <v>30164</v>
      </c>
      <c r="C22" s="6" t="s">
        <v>224</v>
      </c>
    </row>
    <row r="23" spans="1:9" s="6" customFormat="1" ht="15.95" customHeight="1" x14ac:dyDescent="0.3">
      <c r="A23" s="1" t="s">
        <v>198</v>
      </c>
      <c r="B23" s="3">
        <v>31077</v>
      </c>
      <c r="C23" s="6" t="s">
        <v>225</v>
      </c>
    </row>
    <row r="24" spans="1:9" s="6" customFormat="1" ht="15.95" customHeight="1" x14ac:dyDescent="0.3">
      <c r="A24" s="1" t="s">
        <v>199</v>
      </c>
      <c r="B24" s="3">
        <v>31077</v>
      </c>
      <c r="C24" s="6" t="s">
        <v>224</v>
      </c>
    </row>
    <row r="25" spans="1:9" s="6" customFormat="1" ht="15.95" customHeight="1" x14ac:dyDescent="0.3">
      <c r="A25" s="1" t="s">
        <v>200</v>
      </c>
      <c r="B25" s="7">
        <v>38532</v>
      </c>
      <c r="C25" s="6" t="s">
        <v>222</v>
      </c>
    </row>
    <row r="26" spans="1:9" ht="15.95" customHeight="1" x14ac:dyDescent="0.3">
      <c r="A26" s="1" t="s">
        <v>201</v>
      </c>
      <c r="B26" s="3">
        <v>38532</v>
      </c>
      <c r="C26" s="6" t="s">
        <v>222</v>
      </c>
    </row>
    <row r="27" spans="1:9" s="2" customFormat="1" ht="15.95" customHeight="1" x14ac:dyDescent="0.3">
      <c r="A27" s="1" t="s">
        <v>202</v>
      </c>
      <c r="B27" s="3">
        <v>38575</v>
      </c>
      <c r="C27" s="6" t="s">
        <v>216</v>
      </c>
      <c r="D27" s="1"/>
      <c r="E27" s="1"/>
      <c r="F27" s="1"/>
      <c r="G27" s="1"/>
      <c r="H27" s="1"/>
      <c r="I27" s="1"/>
    </row>
    <row r="28" spans="1:9" s="6" customFormat="1" ht="15.95" customHeight="1" x14ac:dyDescent="0.3">
      <c r="A28" s="1" t="s">
        <v>203</v>
      </c>
      <c r="B28" s="3">
        <v>38626</v>
      </c>
      <c r="C28" s="6" t="s">
        <v>216</v>
      </c>
    </row>
    <row r="29" spans="1:9" s="6" customFormat="1" ht="15.95" customHeight="1" x14ac:dyDescent="0.3">
      <c r="A29" s="1" t="s">
        <v>204</v>
      </c>
      <c r="B29" s="3">
        <v>39520</v>
      </c>
      <c r="C29" s="6" t="s">
        <v>217</v>
      </c>
    </row>
    <row r="30" spans="1:9" s="6" customFormat="1" ht="15.95" customHeight="1" x14ac:dyDescent="0.3">
      <c r="A30" s="1" t="s">
        <v>205</v>
      </c>
      <c r="B30" s="3">
        <v>39520</v>
      </c>
      <c r="C30" s="6" t="s">
        <v>222</v>
      </c>
    </row>
    <row r="31" spans="1:9" s="6" customFormat="1" ht="15.95" customHeight="1" x14ac:dyDescent="0.3">
      <c r="A31" s="1" t="s">
        <v>206</v>
      </c>
      <c r="B31" s="3">
        <v>40196</v>
      </c>
      <c r="C31" s="6" t="s">
        <v>226</v>
      </c>
    </row>
    <row r="32" spans="1:9" s="6" customFormat="1" ht="15.95" customHeight="1" x14ac:dyDescent="0.3">
      <c r="A32" s="1" t="s">
        <v>207</v>
      </c>
      <c r="B32" s="3">
        <v>43823</v>
      </c>
      <c r="C32" s="6" t="s">
        <v>217</v>
      </c>
    </row>
    <row r="33" spans="1:9" s="6" customFormat="1" ht="15.95" customHeight="1" x14ac:dyDescent="0.3">
      <c r="A33" s="1" t="s">
        <v>208</v>
      </c>
      <c r="B33" s="3">
        <v>49266</v>
      </c>
      <c r="C33" s="6" t="s">
        <v>215</v>
      </c>
    </row>
    <row r="34" spans="1:9" s="6" customFormat="1" ht="15.95" customHeight="1" x14ac:dyDescent="0.3">
      <c r="A34" s="1" t="s">
        <v>209</v>
      </c>
      <c r="B34" s="3">
        <v>50322</v>
      </c>
      <c r="C34" s="6" t="s">
        <v>221</v>
      </c>
    </row>
    <row r="35" spans="1:9" s="6" customFormat="1" ht="15.95" customHeight="1" x14ac:dyDescent="0.3">
      <c r="A35" s="1" t="s">
        <v>210</v>
      </c>
      <c r="B35" s="3">
        <v>50322</v>
      </c>
      <c r="C35" s="6" t="s">
        <v>224</v>
      </c>
    </row>
    <row r="36" spans="1:9" s="6" customFormat="1" ht="15.95" customHeight="1" x14ac:dyDescent="0.3">
      <c r="A36" s="1" t="s">
        <v>211</v>
      </c>
      <c r="B36" s="3">
        <v>62472</v>
      </c>
      <c r="C36" s="6" t="s">
        <v>227</v>
      </c>
    </row>
    <row r="37" spans="1:9" s="6" customFormat="1" ht="15.95" customHeight="1" x14ac:dyDescent="0.3">
      <c r="A37" s="1" t="s">
        <v>212</v>
      </c>
      <c r="B37" s="3">
        <v>62472</v>
      </c>
      <c r="C37" s="6" t="s">
        <v>218</v>
      </c>
    </row>
    <row r="38" spans="1:9" s="6" customFormat="1" ht="15.95" customHeight="1" x14ac:dyDescent="0.3">
      <c r="A38" s="1" t="s">
        <v>213</v>
      </c>
      <c r="B38" s="3">
        <v>63762</v>
      </c>
      <c r="C38" s="6" t="s">
        <v>224</v>
      </c>
    </row>
    <row r="39" spans="1:9" s="6" customFormat="1" ht="15.95" customHeight="1" x14ac:dyDescent="0.3">
      <c r="A39" s="1" t="s">
        <v>214</v>
      </c>
      <c r="B39" s="3">
        <v>63925</v>
      </c>
      <c r="C39" s="6" t="s">
        <v>223</v>
      </c>
    </row>
    <row r="40" spans="1:9" s="6" customFormat="1" ht="15.95" customHeight="1" x14ac:dyDescent="0.3">
      <c r="A40" s="1"/>
      <c r="B40" s="3"/>
    </row>
    <row r="41" spans="1:9" s="2" customFormat="1" ht="15.95" customHeight="1" x14ac:dyDescent="0.3">
      <c r="A41" s="1"/>
      <c r="B41" s="3">
        <f>SUM(B13:B40)</f>
        <v>1043070</v>
      </c>
      <c r="C41" s="6"/>
      <c r="D41" s="1"/>
      <c r="E41" s="1"/>
      <c r="F41" s="1"/>
      <c r="G41" s="1"/>
      <c r="H41" s="1"/>
      <c r="I41" s="1"/>
    </row>
    <row r="42" spans="1:9" s="2" customFormat="1" ht="15.95" customHeight="1" x14ac:dyDescent="0.3">
      <c r="A42" s="5" t="s">
        <v>1</v>
      </c>
      <c r="B42" s="4">
        <f>B41+B11</f>
        <v>1043070</v>
      </c>
      <c r="D42" s="1"/>
      <c r="E42" s="1"/>
      <c r="F42" s="1"/>
      <c r="G42" s="1"/>
      <c r="H42" s="1"/>
      <c r="I42" s="1"/>
    </row>
    <row r="43" spans="1:9" s="2" customFormat="1" ht="15.95" customHeight="1" x14ac:dyDescent="0.3">
      <c r="A43" s="1" t="s">
        <v>0</v>
      </c>
      <c r="B43" s="3">
        <f>B42-B8</f>
        <v>0</v>
      </c>
      <c r="D43" s="1"/>
      <c r="E43" s="1"/>
      <c r="F43" s="1"/>
      <c r="G43" s="1"/>
      <c r="H43" s="1"/>
      <c r="I43" s="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3"/>
  <sheetViews>
    <sheetView workbookViewId="0">
      <selection activeCell="C26" sqref="C26"/>
    </sheetView>
  </sheetViews>
  <sheetFormatPr defaultRowHeight="18.75" x14ac:dyDescent="0.3"/>
  <cols>
    <col min="1" max="1" width="27.7109375" style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42004</v>
      </c>
    </row>
    <row r="3" spans="1:9" ht="15.95" customHeight="1" x14ac:dyDescent="0.3">
      <c r="A3" s="1" t="s">
        <v>7</v>
      </c>
      <c r="B3" s="3">
        <v>5402703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-4900457</v>
      </c>
    </row>
    <row r="6" spans="1:9" ht="15.95" customHeight="1" x14ac:dyDescent="0.3">
      <c r="A6" s="1">
        <v>2101</v>
      </c>
      <c r="B6" s="3">
        <v>-21370</v>
      </c>
    </row>
    <row r="7" spans="1:9" ht="15.95" customHeight="1" x14ac:dyDescent="0.3">
      <c r="A7" s="1" t="s">
        <v>5</v>
      </c>
      <c r="B7" s="3">
        <f>SUM(B5:B6)</f>
        <v>-4921827</v>
      </c>
    </row>
    <row r="8" spans="1:9" ht="15.95" customHeight="1" x14ac:dyDescent="0.3">
      <c r="A8" s="5" t="s">
        <v>4</v>
      </c>
      <c r="B8" s="4">
        <f>SUM(B3+B7)</f>
        <v>480876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3">
        <f>B10</f>
        <v>0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228</v>
      </c>
      <c r="B13" s="3">
        <v>23207</v>
      </c>
      <c r="C13" s="6" t="s">
        <v>247</v>
      </c>
    </row>
    <row r="14" spans="1:9" ht="15.95" customHeight="1" x14ac:dyDescent="0.3">
      <c r="A14" s="1" t="s">
        <v>235</v>
      </c>
      <c r="B14" s="3">
        <v>25376</v>
      </c>
      <c r="C14" s="6" t="s">
        <v>243</v>
      </c>
    </row>
    <row r="15" spans="1:9" ht="15.95" customHeight="1" x14ac:dyDescent="0.3">
      <c r="A15" s="1" t="s">
        <v>229</v>
      </c>
      <c r="B15" s="3">
        <v>26868</v>
      </c>
      <c r="C15" s="6" t="s">
        <v>248</v>
      </c>
    </row>
    <row r="16" spans="1:9" ht="15.95" customHeight="1" x14ac:dyDescent="0.3">
      <c r="A16" s="1" t="s">
        <v>230</v>
      </c>
      <c r="B16" s="3">
        <v>31515</v>
      </c>
      <c r="C16" s="6" t="s">
        <v>249</v>
      </c>
      <c r="H16" s="3"/>
      <c r="I16" s="6"/>
    </row>
    <row r="17" spans="1:9" ht="15.95" customHeight="1" x14ac:dyDescent="0.3">
      <c r="A17" s="1" t="s">
        <v>231</v>
      </c>
      <c r="B17" s="3">
        <v>31960</v>
      </c>
      <c r="C17" s="6" t="s">
        <v>247</v>
      </c>
      <c r="H17" s="3"/>
      <c r="I17" s="6"/>
    </row>
    <row r="18" spans="1:9" ht="15.95" customHeight="1" x14ac:dyDescent="0.3">
      <c r="A18" s="1" t="s">
        <v>236</v>
      </c>
      <c r="B18" s="3">
        <v>32161</v>
      </c>
      <c r="C18" s="6" t="s">
        <v>242</v>
      </c>
      <c r="H18" s="3"/>
      <c r="I18" s="6"/>
    </row>
    <row r="19" spans="1:9" ht="15.95" customHeight="1" x14ac:dyDescent="0.3">
      <c r="A19" s="1" t="s">
        <v>237</v>
      </c>
      <c r="B19" s="3">
        <v>36706</v>
      </c>
      <c r="C19" s="6" t="s">
        <v>241</v>
      </c>
    </row>
    <row r="20" spans="1:9" s="6" customFormat="1" ht="15.95" customHeight="1" x14ac:dyDescent="0.3">
      <c r="A20" s="1" t="s">
        <v>238</v>
      </c>
      <c r="B20" s="3">
        <v>38209</v>
      </c>
      <c r="C20" s="6" t="s">
        <v>244</v>
      </c>
    </row>
    <row r="21" spans="1:9" s="6" customFormat="1" ht="15.95" customHeight="1" x14ac:dyDescent="0.3">
      <c r="A21" s="1" t="s">
        <v>232</v>
      </c>
      <c r="B21" s="3">
        <v>39206</v>
      </c>
      <c r="C21" s="6" t="s">
        <v>250</v>
      </c>
    </row>
    <row r="22" spans="1:9" s="6" customFormat="1" ht="15.95" customHeight="1" x14ac:dyDescent="0.3">
      <c r="A22" s="1" t="s">
        <v>239</v>
      </c>
      <c r="B22" s="3">
        <v>46873</v>
      </c>
      <c r="C22" s="6" t="s">
        <v>245</v>
      </c>
    </row>
    <row r="23" spans="1:9" s="6" customFormat="1" ht="15.95" customHeight="1" x14ac:dyDescent="0.3">
      <c r="A23" s="1" t="s">
        <v>240</v>
      </c>
      <c r="B23" s="3">
        <v>48988</v>
      </c>
      <c r="C23" s="6" t="s">
        <v>246</v>
      </c>
    </row>
    <row r="24" spans="1:9" s="6" customFormat="1" ht="15.95" customHeight="1" x14ac:dyDescent="0.3">
      <c r="A24" s="1" t="s">
        <v>233</v>
      </c>
      <c r="B24" s="3">
        <v>49266</v>
      </c>
      <c r="C24" s="6" t="s">
        <v>251</v>
      </c>
    </row>
    <row r="25" spans="1:9" s="6" customFormat="1" ht="15.95" customHeight="1" x14ac:dyDescent="0.3">
      <c r="A25" s="1" t="s">
        <v>234</v>
      </c>
      <c r="B25" s="7">
        <v>50541</v>
      </c>
      <c r="C25" s="6" t="s">
        <v>251</v>
      </c>
    </row>
    <row r="26" spans="1:9" ht="15.95" customHeight="1" x14ac:dyDescent="0.3">
      <c r="C26" s="6"/>
    </row>
    <row r="27" spans="1:9" s="2" customFormat="1" ht="15.95" customHeight="1" x14ac:dyDescent="0.3">
      <c r="A27" s="1"/>
      <c r="B27" s="3"/>
      <c r="C27" s="6"/>
      <c r="D27" s="1"/>
      <c r="E27" s="1"/>
      <c r="F27" s="1"/>
      <c r="G27" s="1"/>
      <c r="H27" s="1"/>
      <c r="I27" s="1"/>
    </row>
    <row r="28" spans="1:9" s="6" customFormat="1" ht="15.95" customHeight="1" x14ac:dyDescent="0.3">
      <c r="A28" s="1"/>
      <c r="B28" s="3"/>
    </row>
    <row r="29" spans="1:9" s="6" customFormat="1" ht="15.95" customHeight="1" x14ac:dyDescent="0.3">
      <c r="A29" s="1"/>
      <c r="B29" s="3"/>
    </row>
    <row r="30" spans="1:9" s="6" customFormat="1" ht="15.95" customHeight="1" x14ac:dyDescent="0.3">
      <c r="A30" s="1"/>
      <c r="B30" s="3"/>
    </row>
    <row r="31" spans="1:9" s="6" customFormat="1" ht="15.95" customHeight="1" x14ac:dyDescent="0.3">
      <c r="A31" s="1"/>
      <c r="B31" s="3"/>
    </row>
    <row r="32" spans="1:9" s="6" customFormat="1" ht="15.95" customHeight="1" x14ac:dyDescent="0.3">
      <c r="A32" s="1"/>
      <c r="B32" s="3"/>
    </row>
    <row r="33" spans="1:9" s="6" customFormat="1" ht="15.95" customHeight="1" x14ac:dyDescent="0.3">
      <c r="A33" s="1"/>
      <c r="B33" s="3"/>
    </row>
    <row r="34" spans="1:9" s="6" customFormat="1" ht="15.95" customHeight="1" x14ac:dyDescent="0.3">
      <c r="A34" s="1"/>
      <c r="B34" s="3"/>
    </row>
    <row r="35" spans="1:9" s="6" customFormat="1" ht="15.95" customHeight="1" x14ac:dyDescent="0.3">
      <c r="A35" s="1"/>
      <c r="B35" s="3"/>
    </row>
    <row r="36" spans="1:9" s="6" customFormat="1" ht="15.95" customHeight="1" x14ac:dyDescent="0.3">
      <c r="A36" s="1"/>
      <c r="B36" s="3"/>
    </row>
    <row r="37" spans="1:9" s="6" customFormat="1" ht="15.95" customHeight="1" x14ac:dyDescent="0.3">
      <c r="A37" s="1"/>
      <c r="B37" s="3"/>
    </row>
    <row r="38" spans="1:9" s="6" customFormat="1" ht="15.95" customHeight="1" x14ac:dyDescent="0.3">
      <c r="A38" s="1"/>
      <c r="B38" s="3"/>
    </row>
    <row r="39" spans="1:9" s="6" customFormat="1" ht="15.95" customHeight="1" x14ac:dyDescent="0.3">
      <c r="A39" s="1"/>
      <c r="B39" s="3"/>
    </row>
    <row r="40" spans="1:9" s="6" customFormat="1" ht="15.95" customHeight="1" x14ac:dyDescent="0.3">
      <c r="A40" s="1"/>
      <c r="B40" s="3"/>
    </row>
    <row r="41" spans="1:9" s="2" customFormat="1" ht="15.95" customHeight="1" x14ac:dyDescent="0.3">
      <c r="A41" s="1"/>
      <c r="B41" s="3">
        <f>SUM(B13:B40)</f>
        <v>480876</v>
      </c>
      <c r="C41" s="6"/>
      <c r="D41" s="1"/>
      <c r="E41" s="1"/>
      <c r="F41" s="1"/>
      <c r="G41" s="1"/>
      <c r="H41" s="1"/>
      <c r="I41" s="1"/>
    </row>
    <row r="42" spans="1:9" s="2" customFormat="1" ht="15.95" customHeight="1" x14ac:dyDescent="0.3">
      <c r="A42" s="5" t="s">
        <v>1</v>
      </c>
      <c r="B42" s="4">
        <f>B41+B11</f>
        <v>480876</v>
      </c>
      <c r="D42" s="1"/>
      <c r="E42" s="1"/>
      <c r="F42" s="1"/>
      <c r="G42" s="1"/>
      <c r="H42" s="1"/>
      <c r="I42" s="1"/>
    </row>
    <row r="43" spans="1:9" s="2" customFormat="1" ht="15.95" customHeight="1" x14ac:dyDescent="0.3">
      <c r="A43" s="1" t="s">
        <v>0</v>
      </c>
      <c r="B43" s="3">
        <f>B42-B8</f>
        <v>0</v>
      </c>
      <c r="D43" s="1"/>
      <c r="E43" s="1"/>
      <c r="F43" s="1"/>
      <c r="G43" s="1"/>
      <c r="H43" s="1"/>
      <c r="I43" s="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4"/>
  <sheetViews>
    <sheetView workbookViewId="0">
      <selection activeCell="C22" sqref="C22"/>
    </sheetView>
  </sheetViews>
  <sheetFormatPr defaultRowHeight="18.75" x14ac:dyDescent="0.3"/>
  <cols>
    <col min="1" max="1" width="27.7109375" style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42035</v>
      </c>
    </row>
    <row r="3" spans="1:9" ht="15.95" customHeight="1" x14ac:dyDescent="0.3">
      <c r="A3" s="1" t="s">
        <v>7</v>
      </c>
      <c r="B3" s="3">
        <v>4712341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-4390003</v>
      </c>
    </row>
    <row r="6" spans="1:9" ht="15.95" customHeight="1" x14ac:dyDescent="0.3">
      <c r="A6" s="1">
        <v>2101</v>
      </c>
      <c r="B6" s="3">
        <v>-21370</v>
      </c>
    </row>
    <row r="7" spans="1:9" ht="15.95" customHeight="1" x14ac:dyDescent="0.3">
      <c r="A7" s="1" t="s">
        <v>5</v>
      </c>
      <c r="B7" s="3">
        <f>SUM(B5:B6)</f>
        <v>-4411373</v>
      </c>
    </row>
    <row r="8" spans="1:9" ht="15.95" customHeight="1" x14ac:dyDescent="0.3">
      <c r="A8" s="5" t="s">
        <v>4</v>
      </c>
      <c r="B8" s="4">
        <f>SUM(B3+B7)</f>
        <v>300968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3">
        <f>SUM(B10)</f>
        <v>0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252</v>
      </c>
      <c r="B13" s="3">
        <v>22353</v>
      </c>
      <c r="C13" s="6" t="s">
        <v>261</v>
      </c>
    </row>
    <row r="14" spans="1:9" ht="15.95" customHeight="1" x14ac:dyDescent="0.3">
      <c r="A14" s="1" t="s">
        <v>253</v>
      </c>
      <c r="B14" s="3">
        <v>25160</v>
      </c>
      <c r="C14" s="6" t="s">
        <v>262</v>
      </c>
    </row>
    <row r="15" spans="1:9" ht="15.95" customHeight="1" x14ac:dyDescent="0.3">
      <c r="A15" s="1" t="s">
        <v>254</v>
      </c>
      <c r="B15" s="3">
        <v>25816</v>
      </c>
      <c r="C15" s="6" t="s">
        <v>265</v>
      </c>
    </row>
    <row r="16" spans="1:9" ht="15.95" customHeight="1" x14ac:dyDescent="0.3">
      <c r="A16" s="1" t="s">
        <v>255</v>
      </c>
      <c r="B16" s="3">
        <v>30111</v>
      </c>
      <c r="C16" s="6" t="s">
        <v>266</v>
      </c>
      <c r="H16" s="3"/>
      <c r="I16" s="6"/>
    </row>
    <row r="17" spans="1:9" ht="15.95" customHeight="1" x14ac:dyDescent="0.3">
      <c r="A17" s="1" t="s">
        <v>256</v>
      </c>
      <c r="B17" s="3">
        <v>31469</v>
      </c>
      <c r="C17" s="6" t="s">
        <v>267</v>
      </c>
      <c r="H17" s="3"/>
      <c r="I17" s="6"/>
    </row>
    <row r="18" spans="1:9" ht="15.95" customHeight="1" x14ac:dyDescent="0.3">
      <c r="A18" s="1" t="s">
        <v>257</v>
      </c>
      <c r="B18" s="3">
        <v>33156</v>
      </c>
      <c r="C18" s="6" t="s">
        <v>268</v>
      </c>
      <c r="H18" s="3"/>
      <c r="I18" s="6"/>
    </row>
    <row r="19" spans="1:9" ht="15.95" customHeight="1" x14ac:dyDescent="0.3">
      <c r="A19" s="1" t="s">
        <v>258</v>
      </c>
      <c r="B19" s="3">
        <v>34468</v>
      </c>
      <c r="C19" s="6" t="s">
        <v>263</v>
      </c>
    </row>
    <row r="20" spans="1:9" s="6" customFormat="1" ht="15.95" customHeight="1" x14ac:dyDescent="0.3">
      <c r="A20" s="1" t="s">
        <v>259</v>
      </c>
      <c r="B20" s="3">
        <v>35102</v>
      </c>
      <c r="C20" s="6" t="s">
        <v>264</v>
      </c>
    </row>
    <row r="21" spans="1:9" s="6" customFormat="1" ht="15.95" customHeight="1" x14ac:dyDescent="0.3">
      <c r="A21" s="1" t="s">
        <v>260</v>
      </c>
      <c r="B21" s="3">
        <v>63333</v>
      </c>
      <c r="C21" s="6" t="s">
        <v>265</v>
      </c>
    </row>
    <row r="22" spans="1:9" s="6" customFormat="1" ht="15.95" customHeight="1" x14ac:dyDescent="0.3">
      <c r="A22" s="1"/>
      <c r="B22" s="3"/>
    </row>
    <row r="23" spans="1:9" s="6" customFormat="1" ht="15.95" customHeight="1" x14ac:dyDescent="0.3">
      <c r="A23" s="1"/>
      <c r="B23" s="3"/>
    </row>
    <row r="24" spans="1:9" s="6" customFormat="1" ht="15.95" customHeight="1" x14ac:dyDescent="0.3">
      <c r="A24" s="1"/>
      <c r="B24" s="3"/>
    </row>
    <row r="25" spans="1:9" s="6" customFormat="1" ht="15.95" customHeight="1" x14ac:dyDescent="0.3">
      <c r="A25" s="1"/>
      <c r="B25" s="7"/>
    </row>
    <row r="26" spans="1:9" ht="15.95" customHeight="1" x14ac:dyDescent="0.3">
      <c r="C26" s="6"/>
    </row>
    <row r="27" spans="1:9" s="2" customFormat="1" ht="15.95" customHeight="1" x14ac:dyDescent="0.3">
      <c r="A27" s="1"/>
      <c r="B27" s="3"/>
      <c r="C27" s="6"/>
      <c r="D27" s="1"/>
      <c r="E27" s="1"/>
      <c r="F27" s="1"/>
      <c r="G27" s="1"/>
      <c r="H27" s="1"/>
      <c r="I27" s="1"/>
    </row>
    <row r="28" spans="1:9" s="6" customFormat="1" ht="15.95" customHeight="1" x14ac:dyDescent="0.3">
      <c r="A28" s="1"/>
      <c r="B28" s="3"/>
    </row>
    <row r="29" spans="1:9" s="6" customFormat="1" ht="15.95" customHeight="1" x14ac:dyDescent="0.3">
      <c r="A29" s="1"/>
      <c r="B29" s="3"/>
    </row>
    <row r="30" spans="1:9" s="6" customFormat="1" ht="15.95" customHeight="1" x14ac:dyDescent="0.3">
      <c r="A30" s="1"/>
      <c r="B30" s="3"/>
    </row>
    <row r="31" spans="1:9" s="6" customFormat="1" ht="15.95" customHeight="1" x14ac:dyDescent="0.3">
      <c r="A31" s="1"/>
      <c r="B31" s="3"/>
    </row>
    <row r="32" spans="1:9" s="2" customFormat="1" ht="15.95" customHeight="1" x14ac:dyDescent="0.3">
      <c r="A32" s="1"/>
      <c r="B32" s="3">
        <f>SUM(B13:B31)</f>
        <v>300968</v>
      </c>
      <c r="C32" s="6"/>
      <c r="D32" s="1"/>
      <c r="E32" s="1"/>
      <c r="F32" s="1"/>
      <c r="G32" s="1"/>
      <c r="H32" s="1"/>
      <c r="I32" s="1"/>
    </row>
    <row r="33" spans="1:9" s="2" customFormat="1" ht="15.95" customHeight="1" x14ac:dyDescent="0.3">
      <c r="A33" s="5" t="s">
        <v>1</v>
      </c>
      <c r="B33" s="4">
        <f>B32+B11</f>
        <v>300968</v>
      </c>
      <c r="D33" s="1"/>
      <c r="E33" s="1"/>
      <c r="F33" s="1"/>
      <c r="G33" s="1"/>
      <c r="H33" s="1"/>
      <c r="I33" s="1"/>
    </row>
    <row r="34" spans="1:9" s="2" customFormat="1" ht="15.95" customHeight="1" x14ac:dyDescent="0.3">
      <c r="A34" s="1" t="s">
        <v>0</v>
      </c>
      <c r="B34" s="3">
        <f>B33-B8</f>
        <v>0</v>
      </c>
      <c r="D34" s="1"/>
      <c r="E34" s="1"/>
      <c r="F34" s="1"/>
      <c r="G34" s="1"/>
      <c r="H34" s="1"/>
      <c r="I34" s="1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6"/>
  <sheetViews>
    <sheetView workbookViewId="0">
      <selection activeCell="C33" sqref="C33"/>
    </sheetView>
  </sheetViews>
  <sheetFormatPr defaultRowHeight="18.75" x14ac:dyDescent="0.3"/>
  <cols>
    <col min="1" max="1" width="27.7109375" style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42063</v>
      </c>
    </row>
    <row r="3" spans="1:9" ht="15.95" customHeight="1" x14ac:dyDescent="0.3">
      <c r="A3" s="1" t="s">
        <v>7</v>
      </c>
      <c r="B3" s="3">
        <v>4871703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-4125197</v>
      </c>
    </row>
    <row r="6" spans="1:9" ht="15.95" customHeight="1" x14ac:dyDescent="0.3">
      <c r="A6" s="1">
        <v>2101</v>
      </c>
      <c r="B6" s="3">
        <v>-14135</v>
      </c>
    </row>
    <row r="7" spans="1:9" ht="15.95" customHeight="1" x14ac:dyDescent="0.3">
      <c r="A7" s="1" t="s">
        <v>5</v>
      </c>
      <c r="B7" s="3">
        <f>SUM(B5:B6)</f>
        <v>-4139332</v>
      </c>
    </row>
    <row r="8" spans="1:9" ht="15.95" customHeight="1" x14ac:dyDescent="0.3">
      <c r="A8" s="5" t="s">
        <v>4</v>
      </c>
      <c r="B8" s="4">
        <f>SUM(B3+B7)</f>
        <v>732371</v>
      </c>
    </row>
    <row r="9" spans="1:9" ht="15.95" customHeight="1" x14ac:dyDescent="0.3">
      <c r="A9" s="1" t="s">
        <v>3</v>
      </c>
    </row>
    <row r="10" spans="1:9" ht="15.95" customHeight="1" x14ac:dyDescent="0.3">
      <c r="A10" s="1" t="s">
        <v>269</v>
      </c>
      <c r="B10" s="3">
        <v>-14135</v>
      </c>
      <c r="C10" s="2" t="s">
        <v>297</v>
      </c>
    </row>
    <row r="11" spans="1:9" ht="15.95" customHeight="1" x14ac:dyDescent="0.3">
      <c r="B11" s="3">
        <f>SUM(B10)</f>
        <v>-14135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270</v>
      </c>
      <c r="B13" s="3">
        <v>19326</v>
      </c>
      <c r="C13" s="6" t="s">
        <v>298</v>
      </c>
    </row>
    <row r="14" spans="1:9" ht="15.95" customHeight="1" x14ac:dyDescent="0.3">
      <c r="A14" s="1" t="s">
        <v>271</v>
      </c>
      <c r="B14" s="3">
        <v>19326</v>
      </c>
      <c r="C14" s="6" t="s">
        <v>299</v>
      </c>
    </row>
    <row r="15" spans="1:9" ht="15.95" customHeight="1" x14ac:dyDescent="0.3">
      <c r="A15" s="1" t="s">
        <v>272</v>
      </c>
      <c r="B15" s="3">
        <v>21430</v>
      </c>
      <c r="C15" s="6" t="s">
        <v>300</v>
      </c>
    </row>
    <row r="16" spans="1:9" ht="15.95" customHeight="1" x14ac:dyDescent="0.3">
      <c r="A16" s="1" t="s">
        <v>273</v>
      </c>
      <c r="B16" s="3">
        <v>22421</v>
      </c>
      <c r="C16" s="6" t="s">
        <v>301</v>
      </c>
      <c r="H16" s="3"/>
      <c r="I16" s="6"/>
    </row>
    <row r="17" spans="1:9" ht="15.95" customHeight="1" x14ac:dyDescent="0.3">
      <c r="A17" s="1" t="s">
        <v>282</v>
      </c>
      <c r="B17" s="3">
        <v>31469</v>
      </c>
      <c r="C17" s="6" t="s">
        <v>290</v>
      </c>
      <c r="H17" s="3"/>
      <c r="I17" s="6"/>
    </row>
    <row r="18" spans="1:9" ht="15.95" customHeight="1" x14ac:dyDescent="0.3">
      <c r="A18" s="1" t="s">
        <v>283</v>
      </c>
      <c r="B18" s="3">
        <v>33864</v>
      </c>
      <c r="C18" s="6" t="s">
        <v>291</v>
      </c>
      <c r="H18" s="3"/>
      <c r="I18" s="6"/>
    </row>
    <row r="19" spans="1:9" ht="15.95" customHeight="1" x14ac:dyDescent="0.3">
      <c r="A19" s="1" t="s">
        <v>284</v>
      </c>
      <c r="B19" s="3">
        <v>35310</v>
      </c>
      <c r="C19" s="6" t="s">
        <v>292</v>
      </c>
    </row>
    <row r="20" spans="1:9" s="6" customFormat="1" ht="15.95" customHeight="1" x14ac:dyDescent="0.3">
      <c r="A20" s="1" t="s">
        <v>274</v>
      </c>
      <c r="B20" s="3">
        <v>36503</v>
      </c>
      <c r="C20" s="6" t="s">
        <v>301</v>
      </c>
    </row>
    <row r="21" spans="1:9" s="6" customFormat="1" ht="15.95" customHeight="1" x14ac:dyDescent="0.3">
      <c r="A21" s="1" t="s">
        <v>285</v>
      </c>
      <c r="B21" s="3">
        <v>36664</v>
      </c>
      <c r="C21" s="6" t="s">
        <v>293</v>
      </c>
    </row>
    <row r="22" spans="1:9" s="6" customFormat="1" ht="15.95" customHeight="1" x14ac:dyDescent="0.3">
      <c r="A22" s="1" t="s">
        <v>286</v>
      </c>
      <c r="B22" s="3">
        <v>36907</v>
      </c>
      <c r="C22" s="6" t="s">
        <v>294</v>
      </c>
    </row>
    <row r="23" spans="1:9" s="6" customFormat="1" ht="15.95" customHeight="1" x14ac:dyDescent="0.3">
      <c r="A23" s="1" t="s">
        <v>287</v>
      </c>
      <c r="B23" s="3">
        <v>37596</v>
      </c>
      <c r="C23" s="6" t="s">
        <v>295</v>
      </c>
    </row>
    <row r="24" spans="1:9" s="6" customFormat="1" ht="15.95" customHeight="1" x14ac:dyDescent="0.3">
      <c r="A24" s="1" t="s">
        <v>288</v>
      </c>
      <c r="B24" s="3">
        <v>40772</v>
      </c>
      <c r="C24" s="6" t="s">
        <v>294</v>
      </c>
    </row>
    <row r="25" spans="1:9" s="6" customFormat="1" ht="15.95" customHeight="1" x14ac:dyDescent="0.3">
      <c r="A25" s="1" t="s">
        <v>289</v>
      </c>
      <c r="B25" s="7">
        <v>41000</v>
      </c>
      <c r="C25" s="6" t="s">
        <v>296</v>
      </c>
    </row>
    <row r="26" spans="1:9" s="6" customFormat="1" ht="15.95" customHeight="1" x14ac:dyDescent="0.3">
      <c r="A26" s="1" t="s">
        <v>281</v>
      </c>
      <c r="B26" s="7">
        <v>44961</v>
      </c>
      <c r="C26" s="6" t="s">
        <v>300</v>
      </c>
    </row>
    <row r="27" spans="1:9" ht="15.95" customHeight="1" x14ac:dyDescent="0.3">
      <c r="A27" s="1" t="s">
        <v>275</v>
      </c>
      <c r="B27" s="3">
        <v>43253</v>
      </c>
      <c r="C27" s="6" t="s">
        <v>302</v>
      </c>
    </row>
    <row r="28" spans="1:9" s="2" customFormat="1" ht="15.95" customHeight="1" x14ac:dyDescent="0.3">
      <c r="A28" s="1" t="s">
        <v>276</v>
      </c>
      <c r="B28" s="3">
        <v>46377</v>
      </c>
      <c r="C28" s="6" t="s">
        <v>302</v>
      </c>
      <c r="D28" s="1"/>
      <c r="E28" s="1"/>
      <c r="F28" s="1"/>
      <c r="G28" s="1"/>
      <c r="H28" s="1"/>
      <c r="I28" s="1"/>
    </row>
    <row r="29" spans="1:9" s="6" customFormat="1" ht="15.95" customHeight="1" x14ac:dyDescent="0.3">
      <c r="A29" s="1" t="s">
        <v>277</v>
      </c>
      <c r="B29" s="3">
        <v>47610</v>
      </c>
      <c r="C29" s="6" t="s">
        <v>302</v>
      </c>
    </row>
    <row r="30" spans="1:9" s="6" customFormat="1" ht="15.95" customHeight="1" x14ac:dyDescent="0.3">
      <c r="A30" s="1" t="s">
        <v>278</v>
      </c>
      <c r="B30" s="3">
        <v>48867</v>
      </c>
      <c r="C30" s="6" t="s">
        <v>300</v>
      </c>
    </row>
    <row r="31" spans="1:9" s="6" customFormat="1" ht="15.95" customHeight="1" x14ac:dyDescent="0.3">
      <c r="A31" s="1" t="s">
        <v>279</v>
      </c>
      <c r="B31" s="3">
        <v>50937</v>
      </c>
      <c r="C31" s="6" t="s">
        <v>298</v>
      </c>
    </row>
    <row r="32" spans="1:9" s="6" customFormat="1" ht="15.95" customHeight="1" x14ac:dyDescent="0.3">
      <c r="A32" s="1" t="s">
        <v>280</v>
      </c>
      <c r="B32" s="3">
        <v>51913</v>
      </c>
      <c r="C32" s="6" t="s">
        <v>303</v>
      </c>
    </row>
    <row r="33" spans="1:9" s="6" customFormat="1" ht="15.95" customHeight="1" x14ac:dyDescent="0.3">
      <c r="A33" s="1"/>
      <c r="B33" s="3"/>
    </row>
    <row r="34" spans="1:9" s="2" customFormat="1" ht="15.95" customHeight="1" x14ac:dyDescent="0.3">
      <c r="A34" s="1"/>
      <c r="B34" s="3">
        <f>SUM(B13:B33)</f>
        <v>746506</v>
      </c>
      <c r="C34" s="6"/>
      <c r="D34" s="1"/>
      <c r="E34" s="1"/>
      <c r="F34" s="1"/>
      <c r="G34" s="1"/>
      <c r="H34" s="1"/>
      <c r="I34" s="1"/>
    </row>
    <row r="35" spans="1:9" s="2" customFormat="1" ht="15.95" customHeight="1" x14ac:dyDescent="0.3">
      <c r="A35" s="5" t="s">
        <v>1</v>
      </c>
      <c r="B35" s="4">
        <f>B34+B11</f>
        <v>732371</v>
      </c>
      <c r="D35" s="1"/>
      <c r="E35" s="1"/>
      <c r="F35" s="1"/>
      <c r="G35" s="1"/>
      <c r="H35" s="1"/>
      <c r="I35" s="1"/>
    </row>
    <row r="36" spans="1:9" s="2" customFormat="1" ht="15.95" customHeight="1" x14ac:dyDescent="0.3">
      <c r="A36" s="1" t="s">
        <v>0</v>
      </c>
      <c r="B36" s="3">
        <f>B35-B8</f>
        <v>0</v>
      </c>
      <c r="D36" s="1"/>
      <c r="E36" s="1"/>
      <c r="F36" s="1"/>
      <c r="G36" s="1"/>
      <c r="H36" s="1"/>
      <c r="I36" s="1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9"/>
  <sheetViews>
    <sheetView workbookViewId="0">
      <selection activeCell="A3" sqref="A3"/>
    </sheetView>
  </sheetViews>
  <sheetFormatPr defaultRowHeight="18.75" x14ac:dyDescent="0.3"/>
  <cols>
    <col min="1" max="1" width="27.7109375" customWidth="1"/>
    <col min="2" max="2" width="20.5703125" style="10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3">
      <c r="A1" s="1" t="s">
        <v>304</v>
      </c>
      <c r="B1" s="3"/>
      <c r="C1" s="12"/>
    </row>
    <row r="2" spans="1:3" s="11" customFormat="1" ht="20.100000000000001" customHeight="1" x14ac:dyDescent="0.3">
      <c r="A2" s="8">
        <v>42551</v>
      </c>
      <c r="B2" s="3"/>
      <c r="C2" s="12"/>
    </row>
    <row r="3" spans="1:3" s="11" customFormat="1" ht="20.100000000000001" customHeight="1" x14ac:dyDescent="0.3">
      <c r="A3" s="1" t="s">
        <v>7</v>
      </c>
      <c r="B3" s="3">
        <v>5613825</v>
      </c>
      <c r="C3" s="12"/>
    </row>
    <row r="4" spans="1:3" s="11" customFormat="1" ht="20.100000000000001" customHeight="1" x14ac:dyDescent="0.3">
      <c r="A4" s="1" t="s">
        <v>6</v>
      </c>
      <c r="B4" s="3"/>
      <c r="C4" s="12"/>
    </row>
    <row r="5" spans="1:3" s="11" customFormat="1" ht="20.100000000000001" customHeight="1" x14ac:dyDescent="0.3">
      <c r="A5" s="1">
        <v>2100</v>
      </c>
      <c r="B5" s="3">
        <v>-5659547</v>
      </c>
      <c r="C5" s="12"/>
    </row>
    <row r="6" spans="1:3" s="11" customFormat="1" ht="20.100000000000001" customHeight="1" x14ac:dyDescent="0.3">
      <c r="A6" s="1" t="s">
        <v>5</v>
      </c>
      <c r="B6" s="3">
        <f>SUM(B5:B5)</f>
        <v>-5659547</v>
      </c>
      <c r="C6" s="12"/>
    </row>
    <row r="7" spans="1:3" s="11" customFormat="1" ht="20.100000000000001" customHeight="1" x14ac:dyDescent="0.3">
      <c r="A7" s="5" t="s">
        <v>4</v>
      </c>
      <c r="B7" s="4">
        <f>SUM(B3+B6)</f>
        <v>-45722</v>
      </c>
      <c r="C7" s="12"/>
    </row>
    <row r="8" spans="1:3" s="11" customFormat="1" ht="20.100000000000001" customHeight="1" x14ac:dyDescent="0.3">
      <c r="A8" s="1" t="s">
        <v>3</v>
      </c>
      <c r="B8" s="3"/>
      <c r="C8" s="12"/>
    </row>
    <row r="9" spans="1:3" s="11" customFormat="1" ht="20.100000000000001" customHeight="1" x14ac:dyDescent="0.3">
      <c r="A9" s="1" t="s">
        <v>305</v>
      </c>
      <c r="B9" s="13">
        <v>-19012</v>
      </c>
      <c r="C9" s="6" t="s">
        <v>307</v>
      </c>
    </row>
    <row r="10" spans="1:3" s="11" customFormat="1" ht="20.100000000000001" customHeight="1" x14ac:dyDescent="0.3">
      <c r="A10" s="1" t="s">
        <v>306</v>
      </c>
      <c r="B10" s="13">
        <v>-26710</v>
      </c>
      <c r="C10" s="6" t="s">
        <v>308</v>
      </c>
    </row>
    <row r="11" spans="1:3" s="11" customFormat="1" ht="20.100000000000001" customHeight="1" x14ac:dyDescent="0.3">
      <c r="A11" s="1"/>
      <c r="B11" s="13"/>
      <c r="C11" s="12"/>
    </row>
    <row r="12" spans="1:3" s="11" customFormat="1" ht="20.100000000000001" customHeight="1" x14ac:dyDescent="0.3">
      <c r="A12" s="1"/>
      <c r="B12" s="13"/>
      <c r="C12" s="12"/>
    </row>
    <row r="13" spans="1:3" s="11" customFormat="1" ht="20.100000000000001" customHeight="1" x14ac:dyDescent="0.3">
      <c r="A13" s="1"/>
      <c r="B13" s="13"/>
      <c r="C13" s="12"/>
    </row>
    <row r="14" spans="1:3" s="11" customFormat="1" ht="20.100000000000001" customHeight="1" x14ac:dyDescent="0.3">
      <c r="A14" s="1"/>
      <c r="B14" s="13"/>
      <c r="C14" s="12"/>
    </row>
    <row r="15" spans="1:3" s="11" customFormat="1" ht="20.100000000000001" customHeight="1" x14ac:dyDescent="0.3">
      <c r="A15" s="1"/>
      <c r="B15" s="13"/>
      <c r="C15" s="12"/>
    </row>
    <row r="16" spans="1:3" s="11" customFormat="1" ht="20.100000000000001" customHeight="1" x14ac:dyDescent="0.3">
      <c r="A16" s="1"/>
      <c r="B16" s="3">
        <f>SUM(B9:B15)</f>
        <v>-45722</v>
      </c>
      <c r="C16" s="12"/>
    </row>
    <row r="17" spans="1:9" s="11" customFormat="1" ht="20.100000000000001" customHeight="1" x14ac:dyDescent="0.3">
      <c r="A17" s="1" t="s">
        <v>2</v>
      </c>
      <c r="B17" s="3"/>
      <c r="C17" s="12"/>
    </row>
    <row r="18" spans="1:9" s="12" customFormat="1" ht="20.100000000000001" customHeight="1" x14ac:dyDescent="0.3">
      <c r="A18" s="1"/>
      <c r="B18" s="3"/>
    </row>
    <row r="19" spans="1:9" s="12" customFormat="1" ht="20.100000000000001" customHeight="1" x14ac:dyDescent="0.3">
      <c r="A19" s="1"/>
      <c r="B19" s="3"/>
    </row>
    <row r="20" spans="1:9" s="12" customFormat="1" ht="20.100000000000001" customHeight="1" x14ac:dyDescent="0.3">
      <c r="A20" s="1"/>
      <c r="B20" s="3"/>
    </row>
    <row r="21" spans="1:9" s="12" customFormat="1" ht="20.100000000000001" customHeight="1" x14ac:dyDescent="0.3">
      <c r="A21" s="1"/>
      <c r="B21" s="3">
        <f>SUM(B18:B20)</f>
        <v>0</v>
      </c>
      <c r="D21" s="11"/>
      <c r="E21" s="11"/>
      <c r="F21" s="11"/>
      <c r="G21" s="11"/>
      <c r="H21" s="11"/>
      <c r="I21" s="11"/>
    </row>
    <row r="22" spans="1:9" s="12" customFormat="1" ht="20.100000000000001" customHeight="1" x14ac:dyDescent="0.3">
      <c r="A22" s="5" t="s">
        <v>1</v>
      </c>
      <c r="B22" s="4">
        <f>B21+B16</f>
        <v>-45722</v>
      </c>
      <c r="D22" s="11"/>
      <c r="E22" s="11"/>
      <c r="F22" s="11"/>
      <c r="G22" s="11"/>
      <c r="H22" s="11"/>
      <c r="I22" s="11"/>
    </row>
    <row r="23" spans="1:9" s="12" customFormat="1" ht="20.100000000000001" customHeight="1" x14ac:dyDescent="0.3">
      <c r="A23" s="1" t="s">
        <v>0</v>
      </c>
      <c r="B23" s="3">
        <f>B22-B7</f>
        <v>0</v>
      </c>
      <c r="D23" s="11"/>
      <c r="E23" s="11"/>
      <c r="F23" s="11"/>
      <c r="G23" s="11"/>
      <c r="H23" s="11"/>
      <c r="I23" s="11"/>
    </row>
    <row r="24" spans="1:9" ht="20.100000000000001" customHeight="1" x14ac:dyDescent="0.3">
      <c r="A24" s="1"/>
      <c r="B24" s="3"/>
    </row>
    <row r="25" spans="1:9" ht="20.100000000000001" customHeight="1" x14ac:dyDescent="0.3">
      <c r="A25" s="1"/>
      <c r="B25" s="3"/>
    </row>
    <row r="26" spans="1:9" ht="20.100000000000001" customHeight="1" x14ac:dyDescent="0.3"/>
    <row r="27" spans="1:9" ht="20.100000000000001" customHeight="1" x14ac:dyDescent="0.3"/>
    <row r="28" spans="1:9" ht="20.100000000000001" customHeight="1" x14ac:dyDescent="0.3"/>
    <row r="29" spans="1:9" ht="20.100000000000001" customHeight="1" x14ac:dyDescent="0.3"/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3"/>
  <sheetViews>
    <sheetView workbookViewId="0">
      <selection activeCell="A2" sqref="A2"/>
    </sheetView>
  </sheetViews>
  <sheetFormatPr defaultRowHeight="18.75" x14ac:dyDescent="0.3"/>
  <cols>
    <col min="1" max="1" width="27.7109375" customWidth="1"/>
    <col min="2" max="2" width="20.5703125" style="10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3">
      <c r="A1" s="1" t="s">
        <v>304</v>
      </c>
      <c r="B1" s="3"/>
      <c r="C1" s="12"/>
    </row>
    <row r="2" spans="1:3" s="11" customFormat="1" ht="20.100000000000001" customHeight="1" x14ac:dyDescent="0.3">
      <c r="A2" s="8">
        <v>42582</v>
      </c>
      <c r="B2" s="3"/>
      <c r="C2" s="12"/>
    </row>
    <row r="3" spans="1:3" s="11" customFormat="1" ht="20.100000000000001" customHeight="1" x14ac:dyDescent="0.3">
      <c r="A3" s="1" t="s">
        <v>7</v>
      </c>
      <c r="B3" s="3">
        <v>6116368</v>
      </c>
      <c r="C3" s="12"/>
    </row>
    <row r="4" spans="1:3" s="11" customFormat="1" ht="20.100000000000001" customHeight="1" x14ac:dyDescent="0.3">
      <c r="A4" s="1" t="s">
        <v>6</v>
      </c>
      <c r="B4" s="3"/>
      <c r="C4" s="12"/>
    </row>
    <row r="5" spans="1:3" s="11" customFormat="1" ht="20.100000000000001" customHeight="1" x14ac:dyDescent="0.3">
      <c r="A5" s="1">
        <v>2100</v>
      </c>
      <c r="B5" s="3">
        <v>-6348731</v>
      </c>
      <c r="C5" s="12"/>
    </row>
    <row r="6" spans="1:3" s="11" customFormat="1" ht="20.100000000000001" customHeight="1" x14ac:dyDescent="0.3">
      <c r="A6" s="1" t="s">
        <v>5</v>
      </c>
      <c r="B6" s="3">
        <f>SUM(B5:B5)</f>
        <v>-6348731</v>
      </c>
      <c r="C6" s="12"/>
    </row>
    <row r="7" spans="1:3" s="11" customFormat="1" ht="20.100000000000001" customHeight="1" x14ac:dyDescent="0.3">
      <c r="A7" s="5" t="s">
        <v>4</v>
      </c>
      <c r="B7" s="4">
        <f>SUM(B3+B6)</f>
        <v>-232363</v>
      </c>
      <c r="C7" s="12"/>
    </row>
    <row r="8" spans="1:3" s="11" customFormat="1" ht="20.100000000000001" customHeight="1" x14ac:dyDescent="0.3">
      <c r="A8" s="1" t="s">
        <v>3</v>
      </c>
      <c r="B8" s="3"/>
      <c r="C8" s="12"/>
    </row>
    <row r="9" spans="1:3" s="11" customFormat="1" ht="20.100000000000001" customHeight="1" x14ac:dyDescent="0.3">
      <c r="A9" s="1" t="s">
        <v>309</v>
      </c>
      <c r="B9" s="13">
        <v>-19873</v>
      </c>
      <c r="C9" s="12" t="s">
        <v>321</v>
      </c>
    </row>
    <row r="10" spans="1:3" s="11" customFormat="1" ht="20.100000000000001" customHeight="1" x14ac:dyDescent="0.3">
      <c r="A10" s="1" t="s">
        <v>310</v>
      </c>
      <c r="B10" s="13">
        <v>-22182</v>
      </c>
      <c r="C10" s="12" t="s">
        <v>322</v>
      </c>
    </row>
    <row r="11" spans="1:3" s="11" customFormat="1" ht="20.100000000000001" customHeight="1" x14ac:dyDescent="0.3">
      <c r="A11" s="1" t="s">
        <v>311</v>
      </c>
      <c r="B11" s="13">
        <v>-22836</v>
      </c>
      <c r="C11" s="12" t="s">
        <v>321</v>
      </c>
    </row>
    <row r="12" spans="1:3" s="11" customFormat="1" ht="20.100000000000001" customHeight="1" x14ac:dyDescent="0.3">
      <c r="A12" s="1" t="s">
        <v>312</v>
      </c>
      <c r="B12" s="13">
        <v>-22836</v>
      </c>
      <c r="C12" s="12" t="s">
        <v>321</v>
      </c>
    </row>
    <row r="13" spans="1:3" s="11" customFormat="1" ht="20.100000000000001" customHeight="1" x14ac:dyDescent="0.3">
      <c r="A13" s="1" t="s">
        <v>313</v>
      </c>
      <c r="B13" s="13">
        <v>-22972</v>
      </c>
      <c r="C13" s="12" t="s">
        <v>321</v>
      </c>
    </row>
    <row r="14" spans="1:3" s="11" customFormat="1" ht="20.100000000000001" customHeight="1" x14ac:dyDescent="0.3">
      <c r="A14" s="1" t="s">
        <v>314</v>
      </c>
      <c r="B14" s="13">
        <v>-24558</v>
      </c>
      <c r="C14" s="12" t="s">
        <v>320</v>
      </c>
    </row>
    <row r="15" spans="1:3" s="11" customFormat="1" ht="20.100000000000001" customHeight="1" x14ac:dyDescent="0.3">
      <c r="A15" s="1" t="s">
        <v>315</v>
      </c>
      <c r="B15" s="13">
        <v>-26710</v>
      </c>
      <c r="C15" s="12" t="s">
        <v>321</v>
      </c>
    </row>
    <row r="16" spans="1:3" s="11" customFormat="1" ht="20.100000000000001" customHeight="1" x14ac:dyDescent="0.3">
      <c r="A16" s="1" t="s">
        <v>316</v>
      </c>
      <c r="B16" s="13">
        <v>-31565</v>
      </c>
      <c r="C16" s="12" t="s">
        <v>321</v>
      </c>
    </row>
    <row r="17" spans="1:9" s="11" customFormat="1" ht="20.100000000000001" customHeight="1" x14ac:dyDescent="0.3">
      <c r="A17" s="1" t="s">
        <v>317</v>
      </c>
      <c r="B17" s="13">
        <v>-31565</v>
      </c>
      <c r="C17" s="12" t="s">
        <v>321</v>
      </c>
    </row>
    <row r="18" spans="1:9" s="11" customFormat="1" ht="20.100000000000001" customHeight="1" x14ac:dyDescent="0.3">
      <c r="A18" s="1" t="s">
        <v>318</v>
      </c>
      <c r="B18" s="13">
        <v>-31824</v>
      </c>
      <c r="C18" s="12" t="s">
        <v>321</v>
      </c>
    </row>
    <row r="19" spans="1:9" s="11" customFormat="1" ht="20.100000000000001" customHeight="1" x14ac:dyDescent="0.3">
      <c r="A19" s="1"/>
      <c r="B19" s="13"/>
      <c r="C19" s="12"/>
    </row>
    <row r="20" spans="1:9" s="11" customFormat="1" ht="20.100000000000001" customHeight="1" x14ac:dyDescent="0.3">
      <c r="A20" s="1"/>
      <c r="B20" s="3">
        <f>SUM(B9:B19)</f>
        <v>-256921</v>
      </c>
      <c r="C20" s="12"/>
    </row>
    <row r="21" spans="1:9" s="11" customFormat="1" ht="20.100000000000001" customHeight="1" x14ac:dyDescent="0.3">
      <c r="A21" s="1" t="s">
        <v>2</v>
      </c>
      <c r="B21" s="3"/>
      <c r="C21" s="12"/>
    </row>
    <row r="22" spans="1:9" s="12" customFormat="1" ht="20.100000000000001" customHeight="1" x14ac:dyDescent="0.3">
      <c r="A22" s="1" t="s">
        <v>319</v>
      </c>
      <c r="B22" s="3">
        <v>24558</v>
      </c>
      <c r="C22" s="12" t="s">
        <v>320</v>
      </c>
    </row>
    <row r="23" spans="1:9" s="12" customFormat="1" ht="20.100000000000001" customHeight="1" x14ac:dyDescent="0.3">
      <c r="A23" s="1"/>
      <c r="B23" s="3"/>
    </row>
    <row r="24" spans="1:9" s="12" customFormat="1" ht="20.100000000000001" customHeight="1" x14ac:dyDescent="0.3">
      <c r="A24" s="1"/>
      <c r="B24" s="3"/>
    </row>
    <row r="25" spans="1:9" s="12" customFormat="1" ht="20.100000000000001" customHeight="1" x14ac:dyDescent="0.3">
      <c r="A25" s="1"/>
      <c r="B25" s="3">
        <f>SUM(B22:B24)</f>
        <v>24558</v>
      </c>
      <c r="D25" s="11"/>
      <c r="E25" s="11"/>
      <c r="F25" s="11"/>
      <c r="G25" s="11"/>
      <c r="H25" s="11"/>
      <c r="I25" s="11"/>
    </row>
    <row r="26" spans="1:9" s="12" customFormat="1" ht="20.100000000000001" customHeight="1" x14ac:dyDescent="0.3">
      <c r="A26" s="5" t="s">
        <v>1</v>
      </c>
      <c r="B26" s="4">
        <f>B25+B20</f>
        <v>-232363</v>
      </c>
      <c r="D26" s="11"/>
      <c r="E26" s="11"/>
      <c r="F26" s="11"/>
      <c r="G26" s="11"/>
      <c r="H26" s="11"/>
      <c r="I26" s="11"/>
    </row>
    <row r="27" spans="1:9" s="12" customFormat="1" ht="20.100000000000001" customHeight="1" x14ac:dyDescent="0.3">
      <c r="A27" s="1" t="s">
        <v>0</v>
      </c>
      <c r="B27" s="3">
        <f>B26-B7</f>
        <v>0</v>
      </c>
      <c r="D27" s="11"/>
      <c r="E27" s="11"/>
      <c r="F27" s="11"/>
      <c r="G27" s="11"/>
      <c r="H27" s="11"/>
      <c r="I27" s="11"/>
    </row>
    <row r="28" spans="1:9" ht="20.100000000000001" customHeight="1" x14ac:dyDescent="0.3">
      <c r="A28" s="1"/>
      <c r="B28" s="3"/>
    </row>
    <row r="29" spans="1:9" ht="20.100000000000001" customHeight="1" x14ac:dyDescent="0.3">
      <c r="A29" s="1"/>
      <c r="B29" s="3"/>
    </row>
    <row r="30" spans="1:9" ht="20.100000000000001" customHeight="1" x14ac:dyDescent="0.3"/>
    <row r="31" spans="1:9" ht="20.100000000000001" customHeight="1" x14ac:dyDescent="0.3"/>
    <row r="32" spans="1:9" ht="20.100000000000001" customHeight="1" x14ac:dyDescent="0.3"/>
    <row r="33" ht="20.100000000000001" customHeight="1" x14ac:dyDescent="0.3"/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3"/>
  <sheetViews>
    <sheetView workbookViewId="0">
      <selection activeCell="F19" sqref="F19"/>
    </sheetView>
  </sheetViews>
  <sheetFormatPr defaultRowHeight="18.75" x14ac:dyDescent="0.3"/>
  <cols>
    <col min="1" max="1" width="27.7109375" customWidth="1"/>
    <col min="2" max="2" width="20.5703125" style="10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3">
      <c r="A1" s="1" t="s">
        <v>304</v>
      </c>
      <c r="B1" s="3"/>
      <c r="C1" s="12"/>
    </row>
    <row r="2" spans="1:3" s="11" customFormat="1" ht="20.100000000000001" customHeight="1" x14ac:dyDescent="0.3">
      <c r="A2" s="8">
        <v>42613</v>
      </c>
      <c r="B2" s="3"/>
      <c r="C2" s="12"/>
    </row>
    <row r="3" spans="1:3" s="11" customFormat="1" ht="20.100000000000001" customHeight="1" x14ac:dyDescent="0.3">
      <c r="A3" s="1" t="s">
        <v>7</v>
      </c>
      <c r="B3" s="3">
        <v>5207500</v>
      </c>
      <c r="C3" s="12"/>
    </row>
    <row r="4" spans="1:3" s="11" customFormat="1" ht="20.100000000000001" customHeight="1" x14ac:dyDescent="0.3">
      <c r="A4" s="1" t="s">
        <v>6</v>
      </c>
      <c r="B4" s="3"/>
      <c r="C4" s="12"/>
    </row>
    <row r="5" spans="1:3" s="11" customFormat="1" ht="20.100000000000001" customHeight="1" x14ac:dyDescent="0.3">
      <c r="A5" s="1">
        <v>2100</v>
      </c>
      <c r="B5" s="3">
        <v>-5453148</v>
      </c>
      <c r="C5" s="12"/>
    </row>
    <row r="6" spans="1:3" s="11" customFormat="1" ht="20.100000000000001" customHeight="1" x14ac:dyDescent="0.3">
      <c r="A6" s="1" t="s">
        <v>5</v>
      </c>
      <c r="B6" s="3">
        <f>SUM(B5:B5)</f>
        <v>-5453148</v>
      </c>
      <c r="C6" s="12"/>
    </row>
    <row r="7" spans="1:3" s="11" customFormat="1" ht="20.100000000000001" customHeight="1" x14ac:dyDescent="0.3">
      <c r="A7" s="5" t="s">
        <v>4</v>
      </c>
      <c r="B7" s="4">
        <f>SUM(B3+B6)</f>
        <v>-245648</v>
      </c>
      <c r="C7" s="12"/>
    </row>
    <row r="8" spans="1:3" s="11" customFormat="1" ht="20.100000000000001" customHeight="1" x14ac:dyDescent="0.3">
      <c r="A8" s="1" t="s">
        <v>3</v>
      </c>
      <c r="B8" s="3"/>
      <c r="C8" s="12"/>
    </row>
    <row r="9" spans="1:3" s="11" customFormat="1" ht="20.100000000000001" customHeight="1" x14ac:dyDescent="0.3">
      <c r="A9" s="1" t="s">
        <v>323</v>
      </c>
      <c r="B9" s="13">
        <v>-19013</v>
      </c>
      <c r="C9" s="6" t="s">
        <v>332</v>
      </c>
    </row>
    <row r="10" spans="1:3" s="11" customFormat="1" ht="20.100000000000001" customHeight="1" x14ac:dyDescent="0.3">
      <c r="A10" s="1" t="s">
        <v>324</v>
      </c>
      <c r="B10" s="13">
        <v>-19013</v>
      </c>
      <c r="C10" s="6" t="s">
        <v>332</v>
      </c>
    </row>
    <row r="11" spans="1:3" s="11" customFormat="1" ht="20.100000000000001" customHeight="1" x14ac:dyDescent="0.3">
      <c r="A11" s="1" t="s">
        <v>325</v>
      </c>
      <c r="B11" s="13">
        <v>-19873</v>
      </c>
      <c r="C11" s="6" t="s">
        <v>333</v>
      </c>
    </row>
    <row r="12" spans="1:3" s="11" customFormat="1" ht="20.100000000000001" customHeight="1" x14ac:dyDescent="0.3">
      <c r="A12" s="1" t="s">
        <v>326</v>
      </c>
      <c r="B12" s="13">
        <v>-19873</v>
      </c>
      <c r="C12" s="6" t="s">
        <v>332</v>
      </c>
    </row>
    <row r="13" spans="1:3" s="11" customFormat="1" ht="20.100000000000001" customHeight="1" x14ac:dyDescent="0.3">
      <c r="A13" s="1" t="s">
        <v>327</v>
      </c>
      <c r="B13" s="13">
        <v>-20546</v>
      </c>
      <c r="C13" s="6" t="s">
        <v>333</v>
      </c>
    </row>
    <row r="14" spans="1:3" s="11" customFormat="1" ht="20.100000000000001" customHeight="1" x14ac:dyDescent="0.3">
      <c r="A14" s="1" t="s">
        <v>328</v>
      </c>
      <c r="B14" s="13">
        <v>-20546</v>
      </c>
      <c r="C14" s="6" t="s">
        <v>332</v>
      </c>
    </row>
    <row r="15" spans="1:3" s="11" customFormat="1" ht="20.100000000000001" customHeight="1" x14ac:dyDescent="0.3">
      <c r="A15" s="1" t="s">
        <v>329</v>
      </c>
      <c r="B15" s="13">
        <v>-41082</v>
      </c>
      <c r="C15" s="6" t="s">
        <v>334</v>
      </c>
    </row>
    <row r="16" spans="1:3" s="11" customFormat="1" ht="20.100000000000001" customHeight="1" x14ac:dyDescent="0.3">
      <c r="A16" s="1" t="s">
        <v>330</v>
      </c>
      <c r="B16" s="13">
        <v>-42765</v>
      </c>
      <c r="C16" s="6" t="s">
        <v>334</v>
      </c>
    </row>
    <row r="17" spans="1:9" s="11" customFormat="1" ht="20.100000000000001" customHeight="1" x14ac:dyDescent="0.3">
      <c r="A17" s="1" t="s">
        <v>331</v>
      </c>
      <c r="B17" s="13">
        <v>-42937</v>
      </c>
      <c r="C17" s="6" t="s">
        <v>334</v>
      </c>
    </row>
    <row r="18" spans="1:9" s="11" customFormat="1" ht="20.100000000000001" customHeight="1" x14ac:dyDescent="0.3">
      <c r="A18" s="1"/>
      <c r="B18" s="13"/>
      <c r="C18" s="12"/>
    </row>
    <row r="19" spans="1:9" s="11" customFormat="1" ht="20.100000000000001" customHeight="1" x14ac:dyDescent="0.3">
      <c r="A19" s="1"/>
      <c r="B19" s="13"/>
      <c r="C19" s="12"/>
    </row>
    <row r="20" spans="1:9" s="11" customFormat="1" ht="20.100000000000001" customHeight="1" x14ac:dyDescent="0.3">
      <c r="A20" s="1"/>
      <c r="B20" s="3">
        <f>SUM(B9:B19)</f>
        <v>-245648</v>
      </c>
      <c r="C20" s="12"/>
    </row>
    <row r="21" spans="1:9" s="11" customFormat="1" ht="20.100000000000001" customHeight="1" x14ac:dyDescent="0.3">
      <c r="A21" s="1" t="s">
        <v>2</v>
      </c>
      <c r="B21" s="3"/>
      <c r="C21" s="12"/>
    </row>
    <row r="22" spans="1:9" s="12" customFormat="1" ht="20.100000000000001" customHeight="1" x14ac:dyDescent="0.3">
      <c r="A22" s="1"/>
      <c r="B22" s="3"/>
    </row>
    <row r="23" spans="1:9" s="12" customFormat="1" ht="20.100000000000001" customHeight="1" x14ac:dyDescent="0.3">
      <c r="A23" s="1"/>
      <c r="B23" s="3"/>
    </row>
    <row r="24" spans="1:9" s="12" customFormat="1" ht="20.100000000000001" customHeight="1" x14ac:dyDescent="0.3">
      <c r="A24" s="1"/>
      <c r="B24" s="3"/>
    </row>
    <row r="25" spans="1:9" s="12" customFormat="1" ht="20.100000000000001" customHeight="1" x14ac:dyDescent="0.3">
      <c r="A25" s="1"/>
      <c r="B25" s="3">
        <f>SUM(B22:B24)</f>
        <v>0</v>
      </c>
      <c r="D25" s="11"/>
      <c r="E25" s="11"/>
      <c r="F25" s="11"/>
      <c r="G25" s="11"/>
      <c r="H25" s="11"/>
      <c r="I25" s="11"/>
    </row>
    <row r="26" spans="1:9" s="12" customFormat="1" ht="20.100000000000001" customHeight="1" x14ac:dyDescent="0.3">
      <c r="A26" s="5" t="s">
        <v>1</v>
      </c>
      <c r="B26" s="4">
        <f>B25+B20</f>
        <v>-245648</v>
      </c>
      <c r="D26" s="11"/>
      <c r="E26" s="11"/>
      <c r="F26" s="11"/>
      <c r="G26" s="11"/>
      <c r="H26" s="11"/>
      <c r="I26" s="11"/>
    </row>
    <row r="27" spans="1:9" s="12" customFormat="1" ht="20.100000000000001" customHeight="1" x14ac:dyDescent="0.3">
      <c r="A27" s="1" t="s">
        <v>0</v>
      </c>
      <c r="B27" s="3">
        <f>B26-B7</f>
        <v>0</v>
      </c>
      <c r="D27" s="11"/>
      <c r="E27" s="11"/>
      <c r="F27" s="11"/>
      <c r="G27" s="11"/>
      <c r="H27" s="11"/>
      <c r="I27" s="11"/>
    </row>
    <row r="28" spans="1:9" ht="20.100000000000001" customHeight="1" x14ac:dyDescent="0.3">
      <c r="A28" s="1"/>
      <c r="B28" s="3"/>
    </row>
    <row r="29" spans="1:9" ht="20.100000000000001" customHeight="1" x14ac:dyDescent="0.3">
      <c r="A29" s="1"/>
      <c r="B29" s="3"/>
    </row>
    <row r="30" spans="1:9" ht="20.100000000000001" customHeight="1" x14ac:dyDescent="0.3"/>
    <row r="31" spans="1:9" ht="20.100000000000001" customHeight="1" x14ac:dyDescent="0.3"/>
    <row r="32" spans="1:9" ht="20.100000000000001" customHeight="1" x14ac:dyDescent="0.3"/>
    <row r="33" ht="20.100000000000001" customHeight="1" x14ac:dyDescent="0.3"/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3"/>
  <sheetViews>
    <sheetView workbookViewId="0">
      <selection activeCell="C16" sqref="C16"/>
    </sheetView>
  </sheetViews>
  <sheetFormatPr defaultRowHeight="18.75" x14ac:dyDescent="0.3"/>
  <cols>
    <col min="1" max="1" width="27.7109375" customWidth="1"/>
    <col min="2" max="2" width="20.5703125" style="10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3">
      <c r="A1" s="1" t="s">
        <v>304</v>
      </c>
      <c r="B1" s="3"/>
      <c r="C1" s="12"/>
    </row>
    <row r="2" spans="1:3" s="11" customFormat="1" ht="20.100000000000001" customHeight="1" x14ac:dyDescent="0.3">
      <c r="A2" s="8">
        <v>42643</v>
      </c>
      <c r="B2" s="3"/>
      <c r="C2" s="12"/>
    </row>
    <row r="3" spans="1:3" s="11" customFormat="1" ht="20.100000000000001" customHeight="1" x14ac:dyDescent="0.3">
      <c r="A3" s="1" t="s">
        <v>7</v>
      </c>
      <c r="B3" s="3">
        <v>4751421</v>
      </c>
      <c r="C3" s="12"/>
    </row>
    <row r="4" spans="1:3" s="11" customFormat="1" ht="20.100000000000001" customHeight="1" x14ac:dyDescent="0.3">
      <c r="A4" s="1" t="s">
        <v>6</v>
      </c>
      <c r="B4" s="3"/>
      <c r="C4" s="12"/>
    </row>
    <row r="5" spans="1:3" s="11" customFormat="1" ht="20.100000000000001" customHeight="1" x14ac:dyDescent="0.3">
      <c r="A5" s="1">
        <v>2100</v>
      </c>
      <c r="B5" s="3">
        <v>-4938222</v>
      </c>
      <c r="C5" s="12"/>
    </row>
    <row r="6" spans="1:3" s="11" customFormat="1" ht="20.100000000000001" customHeight="1" x14ac:dyDescent="0.3">
      <c r="A6" s="1" t="s">
        <v>5</v>
      </c>
      <c r="B6" s="3">
        <f>SUM(B5:B5)</f>
        <v>-4938222</v>
      </c>
      <c r="C6" s="12"/>
    </row>
    <row r="7" spans="1:3" s="11" customFormat="1" ht="20.100000000000001" customHeight="1" x14ac:dyDescent="0.3">
      <c r="A7" s="5" t="s">
        <v>4</v>
      </c>
      <c r="B7" s="4">
        <f>SUM(B3+B6)</f>
        <v>-186801</v>
      </c>
      <c r="C7" s="12"/>
    </row>
    <row r="8" spans="1:3" s="11" customFormat="1" ht="20.100000000000001" customHeight="1" x14ac:dyDescent="0.3">
      <c r="A8" s="1" t="s">
        <v>3</v>
      </c>
      <c r="B8" s="3"/>
      <c r="C8" s="12"/>
    </row>
    <row r="9" spans="1:3" s="11" customFormat="1" ht="20.100000000000001" customHeight="1" x14ac:dyDescent="0.3">
      <c r="A9" s="1" t="s">
        <v>335</v>
      </c>
      <c r="B9" s="13">
        <v>-19013</v>
      </c>
      <c r="C9" s="6" t="s">
        <v>342</v>
      </c>
    </row>
    <row r="10" spans="1:3" s="11" customFormat="1" ht="20.100000000000001" customHeight="1" x14ac:dyDescent="0.3">
      <c r="A10" s="1" t="s">
        <v>336</v>
      </c>
      <c r="B10" s="13">
        <v>-22792</v>
      </c>
      <c r="C10" s="6" t="s">
        <v>343</v>
      </c>
    </row>
    <row r="11" spans="1:3" s="11" customFormat="1" ht="20.100000000000001" customHeight="1" x14ac:dyDescent="0.3">
      <c r="A11" s="1" t="s">
        <v>337</v>
      </c>
      <c r="B11" s="13">
        <v>-24126</v>
      </c>
      <c r="C11" s="6" t="s">
        <v>343</v>
      </c>
    </row>
    <row r="12" spans="1:3" s="11" customFormat="1" ht="20.100000000000001" customHeight="1" x14ac:dyDescent="0.3">
      <c r="A12" s="1" t="s">
        <v>338</v>
      </c>
      <c r="B12" s="13">
        <v>-24809</v>
      </c>
      <c r="C12" s="6" t="s">
        <v>343</v>
      </c>
    </row>
    <row r="13" spans="1:3" s="11" customFormat="1" ht="20.100000000000001" customHeight="1" x14ac:dyDescent="0.3">
      <c r="A13" s="1" t="s">
        <v>339</v>
      </c>
      <c r="B13" s="13">
        <v>-25526</v>
      </c>
      <c r="C13" s="6" t="s">
        <v>343</v>
      </c>
    </row>
    <row r="14" spans="1:3" s="11" customFormat="1" ht="20.100000000000001" customHeight="1" x14ac:dyDescent="0.3">
      <c r="A14" s="1" t="s">
        <v>340</v>
      </c>
      <c r="B14" s="13">
        <v>-31164</v>
      </c>
      <c r="C14" s="6" t="s">
        <v>343</v>
      </c>
    </row>
    <row r="15" spans="1:3" s="11" customFormat="1" ht="20.100000000000001" customHeight="1" x14ac:dyDescent="0.3">
      <c r="A15" s="1" t="s">
        <v>341</v>
      </c>
      <c r="B15" s="13">
        <v>-39371</v>
      </c>
      <c r="C15" s="6" t="s">
        <v>344</v>
      </c>
    </row>
    <row r="16" spans="1:3" s="11" customFormat="1" ht="20.100000000000001" customHeight="1" x14ac:dyDescent="0.3">
      <c r="A16" s="1"/>
      <c r="B16" s="13"/>
      <c r="C16" s="6"/>
    </row>
    <row r="17" spans="1:9" s="11" customFormat="1" ht="20.100000000000001" customHeight="1" x14ac:dyDescent="0.3">
      <c r="A17" s="1"/>
      <c r="B17" s="13"/>
      <c r="C17" s="6"/>
    </row>
    <row r="18" spans="1:9" s="11" customFormat="1" ht="20.100000000000001" customHeight="1" x14ac:dyDescent="0.3">
      <c r="A18" s="1"/>
      <c r="B18" s="13"/>
      <c r="C18" s="12"/>
    </row>
    <row r="19" spans="1:9" s="11" customFormat="1" ht="20.100000000000001" customHeight="1" x14ac:dyDescent="0.3">
      <c r="A19" s="1"/>
      <c r="B19" s="13"/>
      <c r="C19" s="12"/>
    </row>
    <row r="20" spans="1:9" s="11" customFormat="1" ht="20.100000000000001" customHeight="1" x14ac:dyDescent="0.3">
      <c r="A20" s="1"/>
      <c r="B20" s="3">
        <f>SUM(B9:B19)</f>
        <v>-186801</v>
      </c>
      <c r="C20" s="12"/>
    </row>
    <row r="21" spans="1:9" s="11" customFormat="1" ht="20.100000000000001" customHeight="1" x14ac:dyDescent="0.3">
      <c r="A21" s="1" t="s">
        <v>2</v>
      </c>
      <c r="B21" s="3"/>
      <c r="C21" s="12"/>
    </row>
    <row r="22" spans="1:9" s="12" customFormat="1" ht="20.100000000000001" customHeight="1" x14ac:dyDescent="0.3">
      <c r="A22" s="1"/>
      <c r="B22" s="3"/>
    </row>
    <row r="23" spans="1:9" s="12" customFormat="1" ht="20.100000000000001" customHeight="1" x14ac:dyDescent="0.3">
      <c r="A23" s="1"/>
      <c r="B23" s="3"/>
    </row>
    <row r="24" spans="1:9" s="12" customFormat="1" ht="20.100000000000001" customHeight="1" x14ac:dyDescent="0.3">
      <c r="A24" s="1"/>
      <c r="B24" s="3"/>
    </row>
    <row r="25" spans="1:9" s="12" customFormat="1" ht="20.100000000000001" customHeight="1" x14ac:dyDescent="0.3">
      <c r="A25" s="1"/>
      <c r="B25" s="3">
        <f>SUM(B22:B24)</f>
        <v>0</v>
      </c>
      <c r="D25" s="11"/>
      <c r="E25" s="11"/>
      <c r="F25" s="11"/>
      <c r="G25" s="11"/>
      <c r="H25" s="11"/>
      <c r="I25" s="11"/>
    </row>
    <row r="26" spans="1:9" s="12" customFormat="1" ht="20.100000000000001" customHeight="1" x14ac:dyDescent="0.3">
      <c r="A26" s="5" t="s">
        <v>1</v>
      </c>
      <c r="B26" s="4">
        <f>B25+B20</f>
        <v>-186801</v>
      </c>
      <c r="D26" s="11"/>
      <c r="E26" s="11"/>
      <c r="F26" s="11"/>
      <c r="G26" s="11"/>
      <c r="H26" s="11"/>
      <c r="I26" s="11"/>
    </row>
    <row r="27" spans="1:9" s="12" customFormat="1" ht="20.100000000000001" customHeight="1" x14ac:dyDescent="0.3">
      <c r="A27" s="1" t="s">
        <v>0</v>
      </c>
      <c r="B27" s="3">
        <f>B26-B7</f>
        <v>0</v>
      </c>
      <c r="D27" s="11"/>
      <c r="E27" s="11"/>
      <c r="F27" s="11"/>
      <c r="G27" s="11"/>
      <c r="H27" s="11"/>
      <c r="I27" s="11"/>
    </row>
    <row r="28" spans="1:9" ht="20.100000000000001" customHeight="1" x14ac:dyDescent="0.3">
      <c r="A28" s="1"/>
      <c r="B28" s="3"/>
    </row>
    <row r="29" spans="1:9" ht="20.100000000000001" customHeight="1" x14ac:dyDescent="0.3">
      <c r="A29" s="1"/>
      <c r="B29" s="3"/>
    </row>
    <row r="30" spans="1:9" ht="20.100000000000001" customHeight="1" x14ac:dyDescent="0.3"/>
    <row r="31" spans="1:9" ht="20.100000000000001" customHeight="1" x14ac:dyDescent="0.3"/>
    <row r="32" spans="1:9" ht="20.100000000000001" customHeight="1" x14ac:dyDescent="0.3"/>
    <row r="33" ht="20.100000000000001" customHeight="1" x14ac:dyDescent="0.3"/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2"/>
  <sheetViews>
    <sheetView workbookViewId="0">
      <selection activeCell="C22" sqref="C22"/>
    </sheetView>
  </sheetViews>
  <sheetFormatPr defaultRowHeight="18.75" x14ac:dyDescent="0.3"/>
  <cols>
    <col min="1" max="1" width="26" customWidth="1"/>
    <col min="2" max="2" width="19.85546875" style="10" customWidth="1"/>
    <col min="3" max="3" width="22.85546875" style="2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3">
      <c r="A1" s="1" t="s">
        <v>304</v>
      </c>
      <c r="B1" s="3"/>
      <c r="C1" s="12"/>
    </row>
    <row r="2" spans="1:3" s="11" customFormat="1" ht="20.100000000000001" customHeight="1" x14ac:dyDescent="0.3">
      <c r="A2" s="8">
        <v>42674</v>
      </c>
      <c r="B2" s="3"/>
      <c r="C2" s="12"/>
    </row>
    <row r="3" spans="1:3" s="11" customFormat="1" ht="20.100000000000001" customHeight="1" x14ac:dyDescent="0.3">
      <c r="A3" s="1" t="s">
        <v>7</v>
      </c>
      <c r="B3" s="3">
        <v>3677216</v>
      </c>
      <c r="C3" s="12"/>
    </row>
    <row r="4" spans="1:3" s="11" customFormat="1" ht="20.100000000000001" customHeight="1" x14ac:dyDescent="0.3">
      <c r="A4" s="1" t="s">
        <v>6</v>
      </c>
      <c r="B4" s="3"/>
      <c r="C4" s="12"/>
    </row>
    <row r="5" spans="1:3" s="11" customFormat="1" ht="20.100000000000001" customHeight="1" x14ac:dyDescent="0.3">
      <c r="A5" s="1">
        <v>2100</v>
      </c>
      <c r="B5" s="3">
        <v>-3863131</v>
      </c>
      <c r="C5" s="12"/>
    </row>
    <row r="6" spans="1:3" s="11" customFormat="1" ht="20.100000000000001" customHeight="1" x14ac:dyDescent="0.3">
      <c r="A6" s="1" t="s">
        <v>5</v>
      </c>
      <c r="B6" s="3">
        <f>SUM(B5:B5)</f>
        <v>-3863131</v>
      </c>
      <c r="C6" s="12"/>
    </row>
    <row r="7" spans="1:3" s="11" customFormat="1" ht="20.100000000000001" customHeight="1" x14ac:dyDescent="0.3">
      <c r="A7" s="5" t="s">
        <v>4</v>
      </c>
      <c r="B7" s="4">
        <f>SUM(B3+B6)</f>
        <v>-185915</v>
      </c>
      <c r="C7" s="12"/>
    </row>
    <row r="8" spans="1:3" s="11" customFormat="1" ht="20.100000000000001" customHeight="1" x14ac:dyDescent="0.3">
      <c r="A8" s="1" t="s">
        <v>3</v>
      </c>
      <c r="B8" s="3"/>
      <c r="C8" s="12"/>
    </row>
    <row r="9" spans="1:3" s="11" customFormat="1" ht="20.100000000000001" customHeight="1" x14ac:dyDescent="0.3">
      <c r="A9" s="1" t="s">
        <v>345</v>
      </c>
      <c r="B9" s="13">
        <v>-18004</v>
      </c>
      <c r="C9" s="6" t="s">
        <v>356</v>
      </c>
    </row>
    <row r="10" spans="1:3" s="11" customFormat="1" ht="20.100000000000001" customHeight="1" x14ac:dyDescent="0.3">
      <c r="A10" s="1" t="s">
        <v>346</v>
      </c>
      <c r="B10" s="13">
        <v>-19013</v>
      </c>
      <c r="C10" s="6" t="s">
        <v>357</v>
      </c>
    </row>
    <row r="11" spans="1:3" s="11" customFormat="1" ht="20.100000000000001" customHeight="1" x14ac:dyDescent="0.3">
      <c r="A11" s="1" t="s">
        <v>347</v>
      </c>
      <c r="B11" s="13">
        <v>-19185</v>
      </c>
      <c r="C11" s="6" t="s">
        <v>357</v>
      </c>
    </row>
    <row r="12" spans="1:3" s="11" customFormat="1" ht="20.100000000000001" customHeight="1" x14ac:dyDescent="0.3">
      <c r="A12" s="1" t="s">
        <v>348</v>
      </c>
      <c r="B12" s="13">
        <v>-19463</v>
      </c>
      <c r="C12" s="6" t="s">
        <v>357</v>
      </c>
    </row>
    <row r="13" spans="1:3" s="11" customFormat="1" ht="20.100000000000001" customHeight="1" x14ac:dyDescent="0.3">
      <c r="A13" s="1" t="s">
        <v>349</v>
      </c>
      <c r="B13" s="13">
        <v>-19873</v>
      </c>
      <c r="C13" s="6" t="s">
        <v>357</v>
      </c>
    </row>
    <row r="14" spans="1:3" s="11" customFormat="1" ht="20.100000000000001" customHeight="1" x14ac:dyDescent="0.3">
      <c r="A14" s="1" t="s">
        <v>350</v>
      </c>
      <c r="B14" s="13">
        <v>-20472</v>
      </c>
      <c r="C14" s="6" t="s">
        <v>357</v>
      </c>
    </row>
    <row r="15" spans="1:3" s="11" customFormat="1" ht="20.100000000000001" customHeight="1" x14ac:dyDescent="0.3">
      <c r="A15" s="1" t="s">
        <v>351</v>
      </c>
      <c r="B15" s="13">
        <v>-21768</v>
      </c>
      <c r="C15" s="6" t="s">
        <v>357</v>
      </c>
    </row>
    <row r="16" spans="1:3" s="11" customFormat="1" ht="20.100000000000001" customHeight="1" x14ac:dyDescent="0.3">
      <c r="A16" s="1" t="s">
        <v>352</v>
      </c>
      <c r="B16" s="13">
        <v>-21768</v>
      </c>
      <c r="C16" s="6" t="s">
        <v>358</v>
      </c>
    </row>
    <row r="17" spans="1:9" s="11" customFormat="1" ht="20.100000000000001" customHeight="1" x14ac:dyDescent="0.3">
      <c r="A17" s="1" t="s">
        <v>353</v>
      </c>
      <c r="B17" s="13">
        <v>-22634</v>
      </c>
      <c r="C17" s="6" t="s">
        <v>358</v>
      </c>
    </row>
    <row r="18" spans="1:9" s="11" customFormat="1" ht="20.100000000000001" customHeight="1" x14ac:dyDescent="0.3">
      <c r="A18" s="1" t="s">
        <v>354</v>
      </c>
      <c r="B18" s="13">
        <v>-25526</v>
      </c>
      <c r="C18" s="6" t="s">
        <v>358</v>
      </c>
    </row>
    <row r="19" spans="1:9" s="11" customFormat="1" ht="20.100000000000001" customHeight="1" x14ac:dyDescent="0.3">
      <c r="A19" s="1"/>
      <c r="B19" s="13"/>
      <c r="C19" s="12"/>
    </row>
    <row r="20" spans="1:9" s="11" customFormat="1" ht="20.100000000000001" customHeight="1" x14ac:dyDescent="0.3">
      <c r="A20" s="1"/>
      <c r="B20" s="3">
        <f>SUM(B9:B19)</f>
        <v>-207706</v>
      </c>
      <c r="C20" s="12"/>
    </row>
    <row r="21" spans="1:9" s="11" customFormat="1" ht="20.100000000000001" customHeight="1" x14ac:dyDescent="0.3">
      <c r="A21" s="1" t="s">
        <v>2</v>
      </c>
      <c r="B21" s="3"/>
      <c r="C21" s="12"/>
    </row>
    <row r="22" spans="1:9" s="12" customFormat="1" ht="20.100000000000001" customHeight="1" x14ac:dyDescent="0.3">
      <c r="A22" s="1" t="s">
        <v>355</v>
      </c>
      <c r="B22" s="3">
        <v>21791</v>
      </c>
      <c r="C22" s="6" t="s">
        <v>359</v>
      </c>
    </row>
    <row r="23" spans="1:9" s="12" customFormat="1" ht="20.100000000000001" customHeight="1" x14ac:dyDescent="0.3">
      <c r="A23" s="1"/>
      <c r="B23" s="3"/>
    </row>
    <row r="24" spans="1:9" s="12" customFormat="1" ht="20.100000000000001" customHeight="1" x14ac:dyDescent="0.3">
      <c r="A24" s="1"/>
      <c r="B24" s="3">
        <f>SUM(B22:B23)</f>
        <v>21791</v>
      </c>
      <c r="D24" s="11"/>
      <c r="E24" s="11"/>
      <c r="F24" s="11"/>
      <c r="G24" s="11"/>
      <c r="H24" s="11"/>
      <c r="I24" s="11"/>
    </row>
    <row r="25" spans="1:9" s="12" customFormat="1" ht="20.100000000000001" customHeight="1" x14ac:dyDescent="0.3">
      <c r="A25" s="5" t="s">
        <v>1</v>
      </c>
      <c r="B25" s="4">
        <f>B24+B20</f>
        <v>-185915</v>
      </c>
      <c r="D25" s="11"/>
      <c r="E25" s="11"/>
      <c r="F25" s="11"/>
      <c r="G25" s="11"/>
      <c r="H25" s="11"/>
      <c r="I25" s="11"/>
    </row>
    <row r="26" spans="1:9" s="12" customFormat="1" ht="20.100000000000001" customHeight="1" x14ac:dyDescent="0.3">
      <c r="A26" s="1" t="s">
        <v>0</v>
      </c>
      <c r="B26" s="3">
        <f>B25-B7</f>
        <v>0</v>
      </c>
      <c r="D26" s="11"/>
      <c r="E26" s="11"/>
      <c r="F26" s="11"/>
      <c r="G26" s="11"/>
      <c r="H26" s="11"/>
      <c r="I26" s="11"/>
    </row>
    <row r="27" spans="1:9" ht="20.100000000000001" customHeight="1" x14ac:dyDescent="0.3">
      <c r="A27" s="1"/>
      <c r="B27" s="3"/>
    </row>
    <row r="28" spans="1:9" ht="20.100000000000001" customHeight="1" x14ac:dyDescent="0.3">
      <c r="A28" s="1"/>
      <c r="B28" s="3"/>
    </row>
    <row r="29" spans="1:9" ht="20.100000000000001" customHeight="1" x14ac:dyDescent="0.3"/>
    <row r="30" spans="1:9" ht="20.100000000000001" customHeight="1" x14ac:dyDescent="0.3"/>
    <row r="31" spans="1:9" ht="20.100000000000001" customHeight="1" x14ac:dyDescent="0.3"/>
    <row r="32" spans="1:9" ht="20.100000000000001" customHeight="1" x14ac:dyDescent="0.3"/>
  </sheetData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2"/>
  <sheetViews>
    <sheetView workbookViewId="0">
      <selection activeCell="C22" sqref="C22"/>
    </sheetView>
  </sheetViews>
  <sheetFormatPr defaultRowHeight="18.75" x14ac:dyDescent="0.3"/>
  <cols>
    <col min="1" max="1" width="26" customWidth="1"/>
    <col min="2" max="2" width="19.85546875" style="10" customWidth="1"/>
    <col min="3" max="3" width="22.85546875" style="2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3">
      <c r="A1" s="1" t="s">
        <v>304</v>
      </c>
      <c r="B1" s="3"/>
      <c r="C1" s="12"/>
    </row>
    <row r="2" spans="1:3" s="11" customFormat="1" ht="20.100000000000001" customHeight="1" x14ac:dyDescent="0.3">
      <c r="A2" s="8">
        <v>42704</v>
      </c>
      <c r="B2" s="3"/>
      <c r="C2" s="12"/>
    </row>
    <row r="3" spans="1:3" s="11" customFormat="1" ht="20.100000000000001" customHeight="1" x14ac:dyDescent="0.3">
      <c r="A3" s="1" t="s">
        <v>7</v>
      </c>
      <c r="B3" s="3">
        <v>4245399</v>
      </c>
      <c r="C3" s="12"/>
    </row>
    <row r="4" spans="1:3" s="11" customFormat="1" ht="20.100000000000001" customHeight="1" x14ac:dyDescent="0.3">
      <c r="A4" s="1" t="s">
        <v>6</v>
      </c>
      <c r="B4" s="3"/>
      <c r="C4" s="12"/>
    </row>
    <row r="5" spans="1:3" s="11" customFormat="1" ht="20.100000000000001" customHeight="1" x14ac:dyDescent="0.3">
      <c r="A5" s="1">
        <v>2100</v>
      </c>
      <c r="B5" s="3">
        <v>-4407775</v>
      </c>
      <c r="C5" s="12"/>
    </row>
    <row r="6" spans="1:3" s="11" customFormat="1" ht="20.100000000000001" customHeight="1" x14ac:dyDescent="0.3">
      <c r="A6" s="1" t="s">
        <v>5</v>
      </c>
      <c r="B6" s="3">
        <v>-4407775</v>
      </c>
      <c r="C6" s="12"/>
    </row>
    <row r="7" spans="1:3" s="11" customFormat="1" ht="20.100000000000001" customHeight="1" x14ac:dyDescent="0.3">
      <c r="A7" s="5" t="s">
        <v>4</v>
      </c>
      <c r="B7" s="4">
        <f>SUM(B3+B6)</f>
        <v>-162376</v>
      </c>
      <c r="C7" s="12"/>
    </row>
    <row r="8" spans="1:3" s="11" customFormat="1" ht="20.100000000000001" customHeight="1" x14ac:dyDescent="0.3">
      <c r="A8" s="1" t="s">
        <v>3</v>
      </c>
      <c r="B8" s="3"/>
      <c r="C8" s="12"/>
    </row>
    <row r="9" spans="1:3" s="11" customFormat="1" ht="20.100000000000001" customHeight="1" x14ac:dyDescent="0.3">
      <c r="A9" s="1" t="s">
        <v>360</v>
      </c>
      <c r="B9" s="13">
        <v>-19013</v>
      </c>
      <c r="C9" s="6" t="s">
        <v>368</v>
      </c>
    </row>
    <row r="10" spans="1:3" s="11" customFormat="1" ht="20.100000000000001" customHeight="1" x14ac:dyDescent="0.3">
      <c r="A10" s="1" t="s">
        <v>361</v>
      </c>
      <c r="B10" s="13">
        <v>-19271</v>
      </c>
      <c r="C10" s="6" t="s">
        <v>369</v>
      </c>
    </row>
    <row r="11" spans="1:3" s="11" customFormat="1" ht="20.100000000000001" customHeight="1" x14ac:dyDescent="0.3">
      <c r="A11" s="1" t="s">
        <v>362</v>
      </c>
      <c r="B11" s="13">
        <v>-20214</v>
      </c>
      <c r="C11" s="6" t="s">
        <v>368</v>
      </c>
    </row>
    <row r="12" spans="1:3" s="11" customFormat="1" ht="20.100000000000001" customHeight="1" x14ac:dyDescent="0.3">
      <c r="A12" s="1" t="s">
        <v>363</v>
      </c>
      <c r="B12" s="13">
        <v>-21510</v>
      </c>
      <c r="C12" s="6" t="s">
        <v>369</v>
      </c>
    </row>
    <row r="13" spans="1:3" s="11" customFormat="1" ht="20.100000000000001" customHeight="1" x14ac:dyDescent="0.3">
      <c r="A13" s="1" t="s">
        <v>364</v>
      </c>
      <c r="B13" s="13">
        <v>-21510</v>
      </c>
      <c r="C13" s="6" t="s">
        <v>368</v>
      </c>
    </row>
    <row r="14" spans="1:3" s="11" customFormat="1" ht="20.100000000000001" customHeight="1" x14ac:dyDescent="0.3">
      <c r="A14" s="1" t="s">
        <v>365</v>
      </c>
      <c r="B14" s="13">
        <v>-21510</v>
      </c>
      <c r="C14" s="6" t="s">
        <v>370</v>
      </c>
    </row>
    <row r="15" spans="1:3" s="11" customFormat="1" ht="20.100000000000001" customHeight="1" x14ac:dyDescent="0.3">
      <c r="A15" s="1" t="s">
        <v>366</v>
      </c>
      <c r="B15" s="13">
        <v>-21768</v>
      </c>
      <c r="C15" s="6" t="s">
        <v>368</v>
      </c>
    </row>
    <row r="16" spans="1:3" s="11" customFormat="1" ht="20.100000000000001" customHeight="1" x14ac:dyDescent="0.3">
      <c r="A16" s="1" t="s">
        <v>367</v>
      </c>
      <c r="B16" s="13">
        <v>-39371</v>
      </c>
      <c r="C16" s="6" t="s">
        <v>370</v>
      </c>
    </row>
    <row r="17" spans="1:9" s="11" customFormat="1" ht="20.100000000000001" customHeight="1" x14ac:dyDescent="0.3">
      <c r="A17" s="1"/>
      <c r="B17" s="13"/>
      <c r="C17" s="6"/>
    </row>
    <row r="18" spans="1:9" s="11" customFormat="1" ht="20.100000000000001" customHeight="1" x14ac:dyDescent="0.3">
      <c r="A18" s="1"/>
      <c r="B18" s="13"/>
      <c r="C18" s="6"/>
    </row>
    <row r="19" spans="1:9" s="11" customFormat="1" ht="20.100000000000001" customHeight="1" x14ac:dyDescent="0.3">
      <c r="A19" s="1"/>
      <c r="B19" s="13"/>
      <c r="C19" s="12"/>
    </row>
    <row r="20" spans="1:9" s="11" customFormat="1" ht="20.100000000000001" customHeight="1" x14ac:dyDescent="0.3">
      <c r="A20" s="1"/>
      <c r="B20" s="3">
        <f>SUM(B9:B19)</f>
        <v>-184167</v>
      </c>
      <c r="C20" s="12"/>
    </row>
    <row r="21" spans="1:9" s="11" customFormat="1" ht="20.100000000000001" customHeight="1" x14ac:dyDescent="0.3">
      <c r="A21" s="1" t="s">
        <v>2</v>
      </c>
      <c r="B21" s="3"/>
      <c r="C21" s="12"/>
    </row>
    <row r="22" spans="1:9" s="12" customFormat="1" ht="20.100000000000001" customHeight="1" x14ac:dyDescent="0.3">
      <c r="A22" s="1" t="s">
        <v>355</v>
      </c>
      <c r="B22" s="3">
        <v>21791</v>
      </c>
      <c r="C22" s="6" t="s">
        <v>359</v>
      </c>
    </row>
    <row r="23" spans="1:9" s="12" customFormat="1" ht="20.100000000000001" customHeight="1" x14ac:dyDescent="0.3">
      <c r="A23" s="1"/>
      <c r="B23" s="3"/>
    </row>
    <row r="24" spans="1:9" s="12" customFormat="1" ht="20.100000000000001" customHeight="1" x14ac:dyDescent="0.3">
      <c r="A24" s="1"/>
      <c r="B24" s="3">
        <f>SUM(B22:B23)</f>
        <v>21791</v>
      </c>
      <c r="D24" s="11"/>
      <c r="E24" s="11"/>
      <c r="F24" s="11"/>
      <c r="G24" s="11"/>
      <c r="H24" s="11"/>
      <c r="I24" s="11"/>
    </row>
    <row r="25" spans="1:9" s="12" customFormat="1" ht="20.100000000000001" customHeight="1" x14ac:dyDescent="0.3">
      <c r="A25" s="5" t="s">
        <v>1</v>
      </c>
      <c r="B25" s="4">
        <f>B24+B20</f>
        <v>-162376</v>
      </c>
      <c r="D25" s="11"/>
      <c r="E25" s="11"/>
      <c r="F25" s="11"/>
      <c r="G25" s="11"/>
      <c r="H25" s="11"/>
      <c r="I25" s="11"/>
    </row>
    <row r="26" spans="1:9" s="12" customFormat="1" ht="20.100000000000001" customHeight="1" x14ac:dyDescent="0.3">
      <c r="A26" s="1" t="s">
        <v>0</v>
      </c>
      <c r="B26" s="3">
        <f>B25-B7</f>
        <v>0</v>
      </c>
      <c r="D26" s="11"/>
      <c r="E26" s="11"/>
      <c r="F26" s="11"/>
      <c r="G26" s="11"/>
      <c r="H26" s="11"/>
      <c r="I26" s="11"/>
    </row>
    <row r="27" spans="1:9" ht="20.100000000000001" customHeight="1" x14ac:dyDescent="0.3">
      <c r="A27" s="1"/>
      <c r="B27" s="3"/>
    </row>
    <row r="28" spans="1:9" ht="20.100000000000001" customHeight="1" x14ac:dyDescent="0.3">
      <c r="A28" s="1"/>
      <c r="B28" s="3"/>
    </row>
    <row r="29" spans="1:9" ht="20.100000000000001" customHeight="1" x14ac:dyDescent="0.3"/>
    <row r="30" spans="1:9" ht="20.100000000000001" customHeight="1" x14ac:dyDescent="0.3"/>
    <row r="31" spans="1:9" ht="20.100000000000001" customHeight="1" x14ac:dyDescent="0.3"/>
    <row r="32" spans="1:9" ht="20.100000000000001" customHeight="1" x14ac:dyDescent="0.3"/>
  </sheetData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0"/>
  <sheetViews>
    <sheetView workbookViewId="0">
      <selection activeCell="S35" sqref="S35"/>
    </sheetView>
  </sheetViews>
  <sheetFormatPr defaultRowHeight="18.75" x14ac:dyDescent="0.3"/>
  <cols>
    <col min="1" max="1" width="26" customWidth="1"/>
    <col min="2" max="2" width="19.85546875" style="10" customWidth="1"/>
    <col min="3" max="3" width="22.8554687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4.45" customHeight="1" x14ac:dyDescent="0.25">
      <c r="A1" s="14" t="s">
        <v>304</v>
      </c>
      <c r="B1" s="15"/>
      <c r="C1" s="16"/>
    </row>
    <row r="2" spans="1:3" s="14" customFormat="1" ht="14.45" customHeight="1" x14ac:dyDescent="0.25">
      <c r="A2" s="17">
        <v>42735</v>
      </c>
      <c r="B2" s="15"/>
      <c r="C2" s="16"/>
    </row>
    <row r="3" spans="1:3" s="14" customFormat="1" ht="14.45" customHeight="1" x14ac:dyDescent="0.25">
      <c r="A3" s="14" t="s">
        <v>389</v>
      </c>
      <c r="B3" s="15">
        <v>4053607</v>
      </c>
      <c r="C3" s="16"/>
    </row>
    <row r="4" spans="1:3" s="14" customFormat="1" ht="14.45" customHeight="1" x14ac:dyDescent="0.25">
      <c r="A4" s="14" t="s">
        <v>6</v>
      </c>
      <c r="B4" s="15"/>
      <c r="C4" s="16"/>
    </row>
    <row r="5" spans="1:3" s="14" customFormat="1" ht="14.45" customHeight="1" x14ac:dyDescent="0.25">
      <c r="A5" s="14">
        <v>2100</v>
      </c>
      <c r="B5" s="15">
        <v>-4369685</v>
      </c>
      <c r="C5" s="16"/>
    </row>
    <row r="6" spans="1:3" s="14" customFormat="1" ht="14.45" customHeight="1" x14ac:dyDescent="0.25">
      <c r="A6" s="14" t="s">
        <v>5</v>
      </c>
      <c r="B6" s="15">
        <f>B5</f>
        <v>-4369685</v>
      </c>
      <c r="C6" s="16"/>
    </row>
    <row r="7" spans="1:3" s="14" customFormat="1" ht="14.45" customHeight="1" x14ac:dyDescent="0.25">
      <c r="A7" s="18" t="s">
        <v>4</v>
      </c>
      <c r="B7" s="19">
        <f>SUM(B3+B6)</f>
        <v>-316078</v>
      </c>
      <c r="C7" s="16"/>
    </row>
    <row r="8" spans="1:3" s="14" customFormat="1" ht="14.45" customHeight="1" x14ac:dyDescent="0.25">
      <c r="A8" s="14" t="s">
        <v>3</v>
      </c>
      <c r="B8" s="15"/>
      <c r="C8" s="16"/>
    </row>
    <row r="9" spans="1:3" s="14" customFormat="1" ht="14.45" customHeight="1" x14ac:dyDescent="0.25">
      <c r="A9" s="14" t="s">
        <v>371</v>
      </c>
      <c r="B9" s="20">
        <v>-19271</v>
      </c>
      <c r="C9" s="16" t="s">
        <v>390</v>
      </c>
    </row>
    <row r="10" spans="1:3" s="14" customFormat="1" ht="14.45" customHeight="1" x14ac:dyDescent="0.25">
      <c r="A10" s="14" t="s">
        <v>372</v>
      </c>
      <c r="B10" s="20">
        <v>-22792</v>
      </c>
      <c r="C10" s="16" t="s">
        <v>391</v>
      </c>
    </row>
    <row r="11" spans="1:3" s="14" customFormat="1" ht="14.45" customHeight="1" x14ac:dyDescent="0.25">
      <c r="A11" s="14" t="s">
        <v>373</v>
      </c>
      <c r="B11" s="20">
        <v>-23095</v>
      </c>
      <c r="C11" s="16" t="s">
        <v>392</v>
      </c>
    </row>
    <row r="12" spans="1:3" s="14" customFormat="1" ht="14.45" customHeight="1" x14ac:dyDescent="0.25">
      <c r="A12" s="14" t="s">
        <v>374</v>
      </c>
      <c r="B12" s="20">
        <v>-23267</v>
      </c>
      <c r="C12" s="16" t="s">
        <v>392</v>
      </c>
    </row>
    <row r="13" spans="1:3" s="14" customFormat="1" ht="14.45" customHeight="1" x14ac:dyDescent="0.25">
      <c r="A13" s="14" t="s">
        <v>375</v>
      </c>
      <c r="B13" s="20">
        <v>-23814</v>
      </c>
      <c r="C13" s="16" t="s">
        <v>391</v>
      </c>
    </row>
    <row r="14" spans="1:3" s="14" customFormat="1" ht="14.45" customHeight="1" x14ac:dyDescent="0.25">
      <c r="A14" s="14" t="s">
        <v>376</v>
      </c>
      <c r="B14" s="20">
        <v>-23948</v>
      </c>
      <c r="C14" s="16" t="s">
        <v>393</v>
      </c>
    </row>
    <row r="15" spans="1:3" s="14" customFormat="1" ht="14.45" customHeight="1" x14ac:dyDescent="0.25">
      <c r="A15" s="14" t="s">
        <v>377</v>
      </c>
      <c r="B15" s="20">
        <v>-23948</v>
      </c>
      <c r="C15" s="16" t="s">
        <v>391</v>
      </c>
    </row>
    <row r="16" spans="1:3" s="14" customFormat="1" ht="14.45" customHeight="1" x14ac:dyDescent="0.25">
      <c r="A16" s="14" t="s">
        <v>378</v>
      </c>
      <c r="B16" s="20">
        <v>-24105</v>
      </c>
      <c r="C16" s="16" t="s">
        <v>392</v>
      </c>
    </row>
    <row r="17" spans="1:9" s="14" customFormat="1" ht="14.45" customHeight="1" x14ac:dyDescent="0.25">
      <c r="A17" s="14" t="s">
        <v>379</v>
      </c>
      <c r="B17" s="20">
        <v>-24363</v>
      </c>
      <c r="C17" s="16" t="s">
        <v>392</v>
      </c>
    </row>
    <row r="18" spans="1:9" s="14" customFormat="1" ht="14.45" customHeight="1" x14ac:dyDescent="0.25">
      <c r="A18" s="14" t="s">
        <v>380</v>
      </c>
      <c r="B18" s="20">
        <v>-24982</v>
      </c>
      <c r="C18" s="16" t="s">
        <v>392</v>
      </c>
    </row>
    <row r="19" spans="1:9" s="14" customFormat="1" ht="14.45" customHeight="1" x14ac:dyDescent="0.25">
      <c r="A19" s="14" t="s">
        <v>381</v>
      </c>
      <c r="B19" s="20">
        <v>-25082</v>
      </c>
      <c r="C19" s="16" t="s">
        <v>392</v>
      </c>
    </row>
    <row r="20" spans="1:9" s="14" customFormat="1" ht="14.45" customHeight="1" x14ac:dyDescent="0.25">
      <c r="A20" s="14" t="s">
        <v>382</v>
      </c>
      <c r="B20" s="20">
        <v>-26796</v>
      </c>
      <c r="C20" s="16" t="s">
        <v>393</v>
      </c>
    </row>
    <row r="21" spans="1:9" s="14" customFormat="1" ht="14.45" customHeight="1" x14ac:dyDescent="0.25">
      <c r="A21" s="14" t="s">
        <v>383</v>
      </c>
      <c r="B21" s="20">
        <v>-30096</v>
      </c>
      <c r="C21" s="16" t="s">
        <v>393</v>
      </c>
    </row>
    <row r="22" spans="1:9" s="14" customFormat="1" ht="14.45" customHeight="1" x14ac:dyDescent="0.25">
      <c r="A22" s="14" t="s">
        <v>384</v>
      </c>
      <c r="B22" s="20">
        <v>-31164</v>
      </c>
      <c r="C22" s="16" t="s">
        <v>393</v>
      </c>
    </row>
    <row r="23" spans="1:9" s="14" customFormat="1" ht="14.45" customHeight="1" x14ac:dyDescent="0.25">
      <c r="A23" s="14" t="s">
        <v>385</v>
      </c>
      <c r="B23" s="20">
        <v>-31777</v>
      </c>
      <c r="C23" s="16" t="s">
        <v>391</v>
      </c>
    </row>
    <row r="24" spans="1:9" s="14" customFormat="1" ht="14.45" customHeight="1" x14ac:dyDescent="0.25">
      <c r="A24" s="14" t="s">
        <v>386</v>
      </c>
      <c r="B24" s="20">
        <v>-32207</v>
      </c>
      <c r="C24" s="16" t="s">
        <v>392</v>
      </c>
    </row>
    <row r="25" spans="1:9" s="14" customFormat="1" ht="14.45" customHeight="1" x14ac:dyDescent="0.25">
      <c r="B25" s="15">
        <f>SUM(B9:B24)</f>
        <v>-410707</v>
      </c>
      <c r="C25" s="16"/>
    </row>
    <row r="26" spans="1:9" s="14" customFormat="1" ht="14.45" customHeight="1" x14ac:dyDescent="0.25">
      <c r="A26" s="14" t="s">
        <v>2</v>
      </c>
      <c r="B26" s="15"/>
      <c r="C26" s="16"/>
    </row>
    <row r="27" spans="1:9" s="14" customFormat="1" ht="14.45" customHeight="1" x14ac:dyDescent="0.25">
      <c r="A27" s="14" t="s">
        <v>387</v>
      </c>
      <c r="B27" s="15">
        <v>19013</v>
      </c>
      <c r="C27" s="16" t="s">
        <v>398</v>
      </c>
    </row>
    <row r="28" spans="1:9" s="14" customFormat="1" ht="14.45" customHeight="1" x14ac:dyDescent="0.25">
      <c r="A28" s="14" t="s">
        <v>355</v>
      </c>
      <c r="B28" s="15">
        <v>21791</v>
      </c>
      <c r="C28" s="16" t="s">
        <v>395</v>
      </c>
    </row>
    <row r="29" spans="1:9" s="16" customFormat="1" ht="14.45" customHeight="1" x14ac:dyDescent="0.25">
      <c r="A29" s="14" t="s">
        <v>388</v>
      </c>
      <c r="B29" s="15">
        <v>22353</v>
      </c>
      <c r="C29" s="16" t="s">
        <v>394</v>
      </c>
    </row>
    <row r="30" spans="1:9" s="16" customFormat="1" ht="14.45" customHeight="1" x14ac:dyDescent="0.25">
      <c r="A30" s="14" t="s">
        <v>396</v>
      </c>
      <c r="B30" s="22">
        <v>31472</v>
      </c>
      <c r="C30" s="46" t="s">
        <v>397</v>
      </c>
      <c r="D30" s="46"/>
      <c r="E30" s="46"/>
      <c r="F30" s="21"/>
      <c r="G30" s="21"/>
    </row>
    <row r="31" spans="1:9" s="16" customFormat="1" ht="14.45" customHeight="1" x14ac:dyDescent="0.25">
      <c r="A31" s="14"/>
      <c r="B31" s="22"/>
      <c r="C31" s="46"/>
      <c r="D31" s="46"/>
      <c r="E31" s="46"/>
      <c r="F31" s="21"/>
      <c r="G31" s="21"/>
    </row>
    <row r="32" spans="1:9" s="16" customFormat="1" ht="14.45" customHeight="1" x14ac:dyDescent="0.25">
      <c r="A32" s="14"/>
      <c r="B32" s="15">
        <f>SUM(B27:B30)</f>
        <v>94629</v>
      </c>
      <c r="D32" s="14"/>
      <c r="E32" s="14"/>
      <c r="F32" s="14"/>
      <c r="G32" s="14"/>
      <c r="H32" s="14"/>
      <c r="I32" s="14"/>
    </row>
    <row r="33" spans="1:9" s="16" customFormat="1" ht="14.45" customHeight="1" x14ac:dyDescent="0.25">
      <c r="A33" s="18" t="s">
        <v>1</v>
      </c>
      <c r="B33" s="19">
        <f>B32+B25</f>
        <v>-316078</v>
      </c>
      <c r="D33" s="14"/>
      <c r="E33" s="14"/>
      <c r="F33" s="14"/>
      <c r="G33" s="14"/>
      <c r="H33" s="14"/>
      <c r="I33" s="14"/>
    </row>
    <row r="34" spans="1:9" s="16" customFormat="1" ht="14.45" customHeight="1" x14ac:dyDescent="0.25">
      <c r="A34" s="14" t="s">
        <v>0</v>
      </c>
      <c r="B34" s="15">
        <f>B33-B7</f>
        <v>0</v>
      </c>
      <c r="D34" s="14"/>
      <c r="E34" s="14"/>
      <c r="F34" s="14"/>
      <c r="G34" s="14"/>
      <c r="H34" s="14"/>
      <c r="I34" s="14"/>
    </row>
    <row r="35" spans="1:9" ht="20.100000000000001" customHeight="1" x14ac:dyDescent="0.3">
      <c r="A35" s="1"/>
      <c r="B35" s="3"/>
    </row>
    <row r="36" spans="1:9" ht="20.100000000000001" customHeight="1" x14ac:dyDescent="0.3">
      <c r="A36" s="1"/>
      <c r="B36" s="3"/>
    </row>
    <row r="37" spans="1:9" ht="20.100000000000001" customHeight="1" x14ac:dyDescent="0.3"/>
    <row r="38" spans="1:9" ht="20.100000000000001" customHeight="1" x14ac:dyDescent="0.3"/>
    <row r="39" spans="1:9" ht="20.100000000000001" customHeight="1" x14ac:dyDescent="0.3"/>
    <row r="40" spans="1:9" ht="20.100000000000001" customHeight="1" x14ac:dyDescent="0.3"/>
  </sheetData>
  <mergeCells count="1">
    <mergeCell ref="C30:E3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>
      <selection activeCell="A3" sqref="A3"/>
    </sheetView>
  </sheetViews>
  <sheetFormatPr defaultRowHeight="18.75" x14ac:dyDescent="0.3"/>
  <cols>
    <col min="1" max="1" width="26" customWidth="1"/>
    <col min="2" max="2" width="19.85546875" style="10" customWidth="1"/>
    <col min="3" max="3" width="22.8554687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4.45" customHeight="1" x14ac:dyDescent="0.25">
      <c r="A1" s="14" t="s">
        <v>304</v>
      </c>
      <c r="B1" s="15"/>
      <c r="C1" s="16"/>
    </row>
    <row r="2" spans="1:3" s="14" customFormat="1" ht="14.45" customHeight="1" x14ac:dyDescent="0.25">
      <c r="A2" s="17">
        <v>42766</v>
      </c>
      <c r="B2" s="15"/>
      <c r="C2" s="16"/>
    </row>
    <row r="3" spans="1:3" s="14" customFormat="1" ht="14.45" customHeight="1" x14ac:dyDescent="0.25">
      <c r="A3" s="14" t="s">
        <v>389</v>
      </c>
      <c r="B3" s="15">
        <v>3734528</v>
      </c>
      <c r="C3" s="16"/>
    </row>
    <row r="4" spans="1:3" s="14" customFormat="1" ht="14.45" customHeight="1" x14ac:dyDescent="0.25">
      <c r="A4" s="14" t="s">
        <v>6</v>
      </c>
      <c r="B4" s="15"/>
      <c r="C4" s="16"/>
    </row>
    <row r="5" spans="1:3" s="14" customFormat="1" ht="14.45" customHeight="1" x14ac:dyDescent="0.25">
      <c r="A5" s="14">
        <v>2100</v>
      </c>
      <c r="B5" s="15">
        <v>-3758654</v>
      </c>
      <c r="C5" s="16"/>
    </row>
    <row r="6" spans="1:3" s="14" customFormat="1" ht="14.45" customHeight="1" x14ac:dyDescent="0.25">
      <c r="A6" s="14" t="s">
        <v>5</v>
      </c>
      <c r="B6" s="15">
        <f>B5</f>
        <v>-3758654</v>
      </c>
      <c r="C6" s="16"/>
    </row>
    <row r="7" spans="1:3" s="14" customFormat="1" ht="14.45" customHeight="1" x14ac:dyDescent="0.25">
      <c r="A7" s="18" t="s">
        <v>4</v>
      </c>
      <c r="B7" s="19">
        <f>SUM(B3+B6)</f>
        <v>-24126</v>
      </c>
      <c r="C7" s="16"/>
    </row>
    <row r="8" spans="1:3" s="14" customFormat="1" ht="14.45" customHeight="1" x14ac:dyDescent="0.25">
      <c r="A8" s="14" t="s">
        <v>3</v>
      </c>
      <c r="B8" s="15"/>
      <c r="C8" s="16"/>
    </row>
    <row r="9" spans="1:3" s="14" customFormat="1" ht="14.45" customHeight="1" x14ac:dyDescent="0.25">
      <c r="A9" s="14" t="s">
        <v>399</v>
      </c>
      <c r="B9" s="20">
        <v>-24126</v>
      </c>
      <c r="C9" s="16" t="s">
        <v>400</v>
      </c>
    </row>
    <row r="10" spans="1:3" s="14" customFormat="1" ht="14.45" customHeight="1" x14ac:dyDescent="0.25">
      <c r="B10" s="20"/>
      <c r="C10" s="16"/>
    </row>
    <row r="11" spans="1:3" s="14" customFormat="1" ht="14.45" customHeight="1" x14ac:dyDescent="0.25">
      <c r="B11" s="20"/>
      <c r="C11" s="16"/>
    </row>
    <row r="12" spans="1:3" s="14" customFormat="1" ht="14.45" customHeight="1" x14ac:dyDescent="0.25">
      <c r="B12" s="15">
        <f>SUM(B9:B11)</f>
        <v>-24126</v>
      </c>
      <c r="C12" s="16"/>
    </row>
    <row r="13" spans="1:3" s="14" customFormat="1" ht="14.45" customHeight="1" x14ac:dyDescent="0.25">
      <c r="A13" s="14" t="s">
        <v>2</v>
      </c>
      <c r="B13" s="15"/>
      <c r="C13" s="16"/>
    </row>
    <row r="14" spans="1:3" s="14" customFormat="1" ht="14.45" customHeight="1" x14ac:dyDescent="0.25">
      <c r="B14" s="15"/>
      <c r="C14" s="16"/>
    </row>
    <row r="15" spans="1:3" s="14" customFormat="1" ht="14.45" customHeight="1" x14ac:dyDescent="0.25">
      <c r="B15" s="15"/>
      <c r="C15" s="16"/>
    </row>
    <row r="16" spans="1:3" s="16" customFormat="1" ht="14.45" customHeight="1" x14ac:dyDescent="0.25">
      <c r="A16" s="14"/>
      <c r="B16" s="15"/>
    </row>
    <row r="17" spans="1:9" s="16" customFormat="1" ht="14.45" customHeight="1" x14ac:dyDescent="0.25">
      <c r="A17" s="14"/>
      <c r="B17" s="22"/>
      <c r="C17" s="21"/>
      <c r="D17" s="21"/>
      <c r="E17" s="21"/>
      <c r="F17" s="21"/>
      <c r="G17" s="21"/>
    </row>
    <row r="18" spans="1:9" s="16" customFormat="1" ht="14.45" customHeight="1" x14ac:dyDescent="0.25">
      <c r="A18" s="14"/>
      <c r="B18" s="22"/>
      <c r="C18" s="21"/>
      <c r="D18" s="21"/>
      <c r="E18" s="21"/>
      <c r="F18" s="21"/>
      <c r="G18" s="21"/>
    </row>
    <row r="19" spans="1:9" s="16" customFormat="1" ht="14.45" customHeight="1" x14ac:dyDescent="0.25">
      <c r="A19" s="14"/>
      <c r="B19" s="15">
        <f>SUM(B14:B17)</f>
        <v>0</v>
      </c>
      <c r="D19" s="14"/>
      <c r="E19" s="14"/>
      <c r="F19" s="14"/>
      <c r="G19" s="14"/>
      <c r="H19" s="14"/>
      <c r="I19" s="14"/>
    </row>
    <row r="20" spans="1:9" s="16" customFormat="1" ht="14.45" customHeight="1" x14ac:dyDescent="0.25">
      <c r="A20" s="18" t="s">
        <v>1</v>
      </c>
      <c r="B20" s="19">
        <f>B19+B12</f>
        <v>-24126</v>
      </c>
      <c r="D20" s="14"/>
      <c r="E20" s="14"/>
      <c r="F20" s="14"/>
      <c r="G20" s="14"/>
      <c r="H20" s="14"/>
      <c r="I20" s="14"/>
    </row>
    <row r="21" spans="1:9" s="16" customFormat="1" ht="14.45" customHeight="1" x14ac:dyDescent="0.25">
      <c r="A21" s="14" t="s">
        <v>0</v>
      </c>
      <c r="B21" s="15">
        <f>B20-B7</f>
        <v>0</v>
      </c>
      <c r="D21" s="14"/>
      <c r="E21" s="14"/>
      <c r="F21" s="14"/>
      <c r="G21" s="14"/>
      <c r="H21" s="14"/>
      <c r="I21" s="14"/>
    </row>
    <row r="22" spans="1:9" ht="20.100000000000001" customHeight="1" x14ac:dyDescent="0.3">
      <c r="A22" s="1"/>
      <c r="B22" s="3"/>
    </row>
    <row r="23" spans="1:9" ht="20.100000000000001" customHeight="1" x14ac:dyDescent="0.3">
      <c r="A23" s="1"/>
      <c r="B23" s="3"/>
    </row>
    <row r="24" spans="1:9" ht="20.100000000000001" customHeight="1" x14ac:dyDescent="0.3"/>
    <row r="25" spans="1:9" ht="20.100000000000001" customHeight="1" x14ac:dyDescent="0.3"/>
    <row r="26" spans="1:9" ht="20.100000000000001" customHeight="1" x14ac:dyDescent="0.3"/>
    <row r="27" spans="1:9" ht="20.100000000000001" customHeight="1" x14ac:dyDescent="0.3"/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>
      <selection activeCell="C11" sqref="C11"/>
    </sheetView>
  </sheetViews>
  <sheetFormatPr defaultRowHeight="18.75" x14ac:dyDescent="0.3"/>
  <cols>
    <col min="1" max="1" width="26" customWidth="1"/>
    <col min="2" max="2" width="19.85546875" style="10" customWidth="1"/>
    <col min="3" max="3" width="22.8554687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4.45" customHeight="1" x14ac:dyDescent="0.25">
      <c r="A1" s="14" t="s">
        <v>304</v>
      </c>
      <c r="B1" s="15"/>
      <c r="C1" s="16"/>
    </row>
    <row r="2" spans="1:3" s="14" customFormat="1" ht="14.45" customHeight="1" x14ac:dyDescent="0.25">
      <c r="A2" s="17">
        <v>42794</v>
      </c>
      <c r="B2" s="15"/>
      <c r="C2" s="16"/>
    </row>
    <row r="3" spans="1:3" s="14" customFormat="1" ht="14.45" customHeight="1" x14ac:dyDescent="0.25">
      <c r="A3" s="14" t="s">
        <v>389</v>
      </c>
      <c r="B3" s="15">
        <v>4902665</v>
      </c>
      <c r="C3" s="16"/>
    </row>
    <row r="4" spans="1:3" s="14" customFormat="1" ht="14.45" customHeight="1" x14ac:dyDescent="0.25">
      <c r="A4" s="14" t="s">
        <v>6</v>
      </c>
      <c r="B4" s="15"/>
      <c r="C4" s="16"/>
    </row>
    <row r="5" spans="1:3" s="14" customFormat="1" ht="14.45" customHeight="1" x14ac:dyDescent="0.25">
      <c r="A5" s="14">
        <v>2100</v>
      </c>
      <c r="B5" s="15">
        <v>-4961977</v>
      </c>
      <c r="C5" s="16"/>
    </row>
    <row r="6" spans="1:3" s="14" customFormat="1" ht="14.45" customHeight="1" x14ac:dyDescent="0.25">
      <c r="A6" s="14" t="s">
        <v>5</v>
      </c>
      <c r="B6" s="15">
        <f>B5</f>
        <v>-4961977</v>
      </c>
      <c r="C6" s="16"/>
    </row>
    <row r="7" spans="1:3" s="14" customFormat="1" ht="14.45" customHeight="1" x14ac:dyDescent="0.25">
      <c r="A7" s="18" t="s">
        <v>4</v>
      </c>
      <c r="B7" s="19">
        <f>SUM(B3+B6)</f>
        <v>-59312</v>
      </c>
      <c r="C7" s="16"/>
    </row>
    <row r="8" spans="1:3" s="14" customFormat="1" ht="14.45" customHeight="1" x14ac:dyDescent="0.25">
      <c r="A8" s="14" t="s">
        <v>3</v>
      </c>
      <c r="B8" s="15"/>
      <c r="C8" s="16"/>
    </row>
    <row r="9" spans="1:3" s="14" customFormat="1" ht="14.45" customHeight="1" x14ac:dyDescent="0.25">
      <c r="A9" s="14" t="s">
        <v>401</v>
      </c>
      <c r="B9" s="20">
        <v>-22393</v>
      </c>
      <c r="C9" s="16" t="s">
        <v>403</v>
      </c>
    </row>
    <row r="10" spans="1:3" s="14" customFormat="1" ht="14.45" customHeight="1" x14ac:dyDescent="0.25">
      <c r="A10" s="14" t="s">
        <v>402</v>
      </c>
      <c r="B10" s="20">
        <v>-36919</v>
      </c>
      <c r="C10" s="16" t="s">
        <v>403</v>
      </c>
    </row>
    <row r="11" spans="1:3" s="14" customFormat="1" ht="14.45" customHeight="1" x14ac:dyDescent="0.25">
      <c r="B11" s="20"/>
      <c r="C11" s="16"/>
    </row>
    <row r="12" spans="1:3" s="14" customFormat="1" ht="14.45" customHeight="1" x14ac:dyDescent="0.25">
      <c r="B12" s="15">
        <f>SUM(B9:B11)</f>
        <v>-59312</v>
      </c>
      <c r="C12" s="16"/>
    </row>
    <row r="13" spans="1:3" s="14" customFormat="1" ht="14.45" customHeight="1" x14ac:dyDescent="0.25">
      <c r="A13" s="14" t="s">
        <v>2</v>
      </c>
      <c r="B13" s="15"/>
      <c r="C13" s="16"/>
    </row>
    <row r="14" spans="1:3" s="14" customFormat="1" ht="14.45" customHeight="1" x14ac:dyDescent="0.25">
      <c r="B14" s="15"/>
      <c r="C14" s="16"/>
    </row>
    <row r="15" spans="1:3" s="14" customFormat="1" ht="14.45" customHeight="1" x14ac:dyDescent="0.25">
      <c r="B15" s="15"/>
      <c r="C15" s="16"/>
    </row>
    <row r="16" spans="1:3" s="16" customFormat="1" ht="14.45" customHeight="1" x14ac:dyDescent="0.25">
      <c r="A16" s="14"/>
      <c r="B16" s="15"/>
    </row>
    <row r="17" spans="1:9" s="16" customFormat="1" ht="14.45" customHeight="1" x14ac:dyDescent="0.25">
      <c r="A17" s="14"/>
      <c r="B17" s="22"/>
      <c r="C17" s="21"/>
      <c r="D17" s="21"/>
      <c r="E17" s="21"/>
      <c r="F17" s="21"/>
      <c r="G17" s="21"/>
    </row>
    <row r="18" spans="1:9" s="16" customFormat="1" ht="14.45" customHeight="1" x14ac:dyDescent="0.25">
      <c r="A18" s="14"/>
      <c r="B18" s="22"/>
      <c r="C18" s="21"/>
      <c r="D18" s="21"/>
      <c r="E18" s="21"/>
      <c r="F18" s="21"/>
      <c r="G18" s="21"/>
    </row>
    <row r="19" spans="1:9" s="16" customFormat="1" ht="14.45" customHeight="1" x14ac:dyDescent="0.25">
      <c r="A19" s="14"/>
      <c r="B19" s="15">
        <f>SUM(B14:B17)</f>
        <v>0</v>
      </c>
      <c r="D19" s="14"/>
      <c r="E19" s="14"/>
      <c r="F19" s="14"/>
      <c r="G19" s="14"/>
      <c r="H19" s="14"/>
      <c r="I19" s="14"/>
    </row>
    <row r="20" spans="1:9" s="16" customFormat="1" ht="14.45" customHeight="1" x14ac:dyDescent="0.25">
      <c r="A20" s="18" t="s">
        <v>1</v>
      </c>
      <c r="B20" s="19">
        <f>B19+B12</f>
        <v>-59312</v>
      </c>
      <c r="D20" s="14"/>
      <c r="E20" s="14"/>
      <c r="F20" s="14"/>
      <c r="G20" s="14"/>
      <c r="H20" s="14"/>
      <c r="I20" s="14"/>
    </row>
    <row r="21" spans="1:9" s="16" customFormat="1" ht="14.45" customHeight="1" x14ac:dyDescent="0.25">
      <c r="A21" s="14" t="s">
        <v>0</v>
      </c>
      <c r="B21" s="15">
        <f>B20-B7</f>
        <v>0</v>
      </c>
      <c r="D21" s="14"/>
      <c r="E21" s="14"/>
      <c r="F21" s="14"/>
      <c r="G21" s="14"/>
      <c r="H21" s="14"/>
      <c r="I21" s="14"/>
    </row>
    <row r="22" spans="1:9" ht="20.100000000000001" customHeight="1" x14ac:dyDescent="0.3">
      <c r="A22" s="1"/>
      <c r="B22" s="3"/>
    </row>
    <row r="23" spans="1:9" ht="20.100000000000001" customHeight="1" x14ac:dyDescent="0.3">
      <c r="A23" s="1"/>
      <c r="B23" s="3"/>
    </row>
    <row r="24" spans="1:9" ht="20.100000000000001" customHeight="1" x14ac:dyDescent="0.3"/>
    <row r="25" spans="1:9" ht="20.100000000000001" customHeight="1" x14ac:dyDescent="0.3"/>
    <row r="26" spans="1:9" ht="20.100000000000001" customHeight="1" x14ac:dyDescent="0.3"/>
    <row r="27" spans="1:9" ht="20.100000000000001" customHeight="1" x14ac:dyDescent="0.3"/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8"/>
  <sheetViews>
    <sheetView workbookViewId="0">
      <selection activeCell="H33" sqref="H33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4.45" customHeight="1" x14ac:dyDescent="0.25">
      <c r="A1" s="14" t="s">
        <v>304</v>
      </c>
      <c r="B1" s="15"/>
      <c r="C1" s="16"/>
    </row>
    <row r="2" spans="1:3" s="14" customFormat="1" ht="14.45" customHeight="1" x14ac:dyDescent="0.25">
      <c r="A2" s="17">
        <v>42825</v>
      </c>
      <c r="B2" s="15"/>
      <c r="C2" s="16"/>
    </row>
    <row r="3" spans="1:3" s="14" customFormat="1" ht="14.45" customHeight="1" x14ac:dyDescent="0.25">
      <c r="A3" s="14" t="s">
        <v>389</v>
      </c>
      <c r="B3" s="15">
        <v>4803885</v>
      </c>
      <c r="C3" s="16"/>
    </row>
    <row r="4" spans="1:3" s="14" customFormat="1" ht="14.45" customHeight="1" x14ac:dyDescent="0.25">
      <c r="A4" s="14" t="s">
        <v>6</v>
      </c>
      <c r="B4" s="15"/>
      <c r="C4" s="16"/>
    </row>
    <row r="5" spans="1:3" s="14" customFormat="1" ht="14.45" customHeight="1" x14ac:dyDescent="0.25">
      <c r="A5" s="14">
        <v>2100</v>
      </c>
      <c r="B5" s="15">
        <v>-5071094</v>
      </c>
      <c r="C5" s="16"/>
    </row>
    <row r="6" spans="1:3" s="14" customFormat="1" ht="14.45" customHeight="1" x14ac:dyDescent="0.25">
      <c r="A6" s="14" t="s">
        <v>5</v>
      </c>
      <c r="B6" s="15">
        <f>B5</f>
        <v>-5071094</v>
      </c>
      <c r="C6" s="16"/>
    </row>
    <row r="7" spans="1:3" s="14" customFormat="1" ht="14.45" customHeight="1" x14ac:dyDescent="0.25">
      <c r="A7" s="18" t="s">
        <v>4</v>
      </c>
      <c r="B7" s="19">
        <f>SUM(B3+B6)</f>
        <v>-267209</v>
      </c>
      <c r="C7" s="16"/>
    </row>
    <row r="8" spans="1:3" s="14" customFormat="1" ht="14.45" customHeight="1" x14ac:dyDescent="0.25">
      <c r="A8" s="14" t="s">
        <v>3</v>
      </c>
      <c r="B8" s="15"/>
      <c r="C8" s="16"/>
    </row>
    <row r="9" spans="1:3" s="14" customFormat="1" ht="14.45" customHeight="1" x14ac:dyDescent="0.25">
      <c r="A9" s="14" t="s">
        <v>404</v>
      </c>
      <c r="B9" s="15">
        <v>-22393</v>
      </c>
      <c r="C9" s="16" t="s">
        <v>415</v>
      </c>
    </row>
    <row r="10" spans="1:3" s="14" customFormat="1" ht="14.45" customHeight="1" x14ac:dyDescent="0.25">
      <c r="A10" s="14" t="s">
        <v>405</v>
      </c>
      <c r="B10" s="15">
        <v>-23641</v>
      </c>
      <c r="C10" s="16" t="s">
        <v>415</v>
      </c>
    </row>
    <row r="11" spans="1:3" s="14" customFormat="1" ht="14.45" customHeight="1" x14ac:dyDescent="0.25">
      <c r="A11" s="14" t="s">
        <v>406</v>
      </c>
      <c r="B11" s="20">
        <v>-23641</v>
      </c>
      <c r="C11" s="16" t="s">
        <v>415</v>
      </c>
    </row>
    <row r="12" spans="1:3" s="14" customFormat="1" ht="14.45" customHeight="1" x14ac:dyDescent="0.25">
      <c r="A12" s="14" t="s">
        <v>407</v>
      </c>
      <c r="B12" s="20">
        <v>-24425</v>
      </c>
      <c r="C12" s="16" t="s">
        <v>416</v>
      </c>
    </row>
    <row r="13" spans="1:3" s="14" customFormat="1" ht="14.45" customHeight="1" x14ac:dyDescent="0.25">
      <c r="A13" s="14" t="s">
        <v>408</v>
      </c>
      <c r="B13" s="20">
        <v>-24603</v>
      </c>
      <c r="C13" s="16" t="s">
        <v>416</v>
      </c>
    </row>
    <row r="14" spans="1:3" s="14" customFormat="1" ht="14.45" customHeight="1" x14ac:dyDescent="0.25">
      <c r="A14" s="14" t="s">
        <v>409</v>
      </c>
      <c r="B14" s="20">
        <v>-24955</v>
      </c>
      <c r="C14" s="16" t="s">
        <v>416</v>
      </c>
    </row>
    <row r="15" spans="1:3" s="14" customFormat="1" ht="14.45" customHeight="1" x14ac:dyDescent="0.25">
      <c r="A15" s="14" t="s">
        <v>410</v>
      </c>
      <c r="B15" s="20">
        <v>-26781</v>
      </c>
      <c r="C15" s="16" t="s">
        <v>416</v>
      </c>
    </row>
    <row r="16" spans="1:3" s="14" customFormat="1" ht="14.45" customHeight="1" x14ac:dyDescent="0.25">
      <c r="A16" s="14" t="s">
        <v>411</v>
      </c>
      <c r="B16" s="20">
        <v>-28213</v>
      </c>
      <c r="C16" s="16" t="s">
        <v>416</v>
      </c>
    </row>
    <row r="17" spans="1:9" s="14" customFormat="1" ht="14.45" customHeight="1" x14ac:dyDescent="0.25">
      <c r="A17" s="14" t="s">
        <v>412</v>
      </c>
      <c r="B17" s="20">
        <v>-28480</v>
      </c>
      <c r="C17" s="16" t="s">
        <v>416</v>
      </c>
    </row>
    <row r="18" spans="1:9" s="14" customFormat="1" ht="14.45" customHeight="1" x14ac:dyDescent="0.25">
      <c r="A18" s="14" t="s">
        <v>413</v>
      </c>
      <c r="B18" s="20">
        <v>-29823</v>
      </c>
      <c r="C18" s="16" t="s">
        <v>416</v>
      </c>
    </row>
    <row r="19" spans="1:9" s="14" customFormat="1" ht="14.45" customHeight="1" x14ac:dyDescent="0.25">
      <c r="A19" s="14" t="s">
        <v>417</v>
      </c>
      <c r="B19" s="20">
        <v>-31804</v>
      </c>
      <c r="C19" s="16" t="s">
        <v>416</v>
      </c>
    </row>
    <row r="20" spans="1:9" s="14" customFormat="1" ht="14.45" customHeight="1" x14ac:dyDescent="0.25">
      <c r="B20" s="20"/>
      <c r="C20" s="16"/>
    </row>
    <row r="21" spans="1:9" s="14" customFormat="1" ht="14.45" customHeight="1" x14ac:dyDescent="0.25">
      <c r="B21" s="20"/>
      <c r="C21" s="16"/>
    </row>
    <row r="22" spans="1:9" s="14" customFormat="1" ht="14.45" customHeight="1" x14ac:dyDescent="0.25">
      <c r="B22" s="20"/>
      <c r="C22" s="16"/>
    </row>
    <row r="23" spans="1:9" s="14" customFormat="1" ht="14.45" customHeight="1" x14ac:dyDescent="0.25">
      <c r="B23" s="15">
        <f>SUM(B9:B22)</f>
        <v>-288759</v>
      </c>
      <c r="C23" s="16"/>
    </row>
    <row r="24" spans="1:9" s="14" customFormat="1" ht="14.45" customHeight="1" x14ac:dyDescent="0.25">
      <c r="A24" s="14" t="s">
        <v>2</v>
      </c>
      <c r="B24" s="15"/>
      <c r="C24" s="16"/>
    </row>
    <row r="25" spans="1:9" s="14" customFormat="1" ht="14.45" customHeight="1" x14ac:dyDescent="0.25">
      <c r="A25" s="14" t="s">
        <v>414</v>
      </c>
      <c r="B25" s="15">
        <v>21550</v>
      </c>
      <c r="C25" s="16" t="s">
        <v>418</v>
      </c>
    </row>
    <row r="26" spans="1:9" s="14" customFormat="1" ht="14.45" customHeight="1" x14ac:dyDescent="0.25">
      <c r="B26" s="15"/>
      <c r="C26" s="16"/>
    </row>
    <row r="27" spans="1:9" s="16" customFormat="1" ht="14.45" customHeight="1" x14ac:dyDescent="0.25">
      <c r="A27" s="14"/>
      <c r="B27" s="15"/>
    </row>
    <row r="28" spans="1:9" s="16" customFormat="1" ht="14.45" customHeight="1" x14ac:dyDescent="0.25">
      <c r="A28" s="14"/>
      <c r="B28" s="22"/>
      <c r="C28" s="21"/>
      <c r="D28" s="21"/>
      <c r="E28" s="21"/>
      <c r="F28" s="21"/>
      <c r="G28" s="21"/>
    </row>
    <row r="29" spans="1:9" s="16" customFormat="1" ht="14.45" customHeight="1" x14ac:dyDescent="0.25">
      <c r="A29" s="14"/>
      <c r="B29" s="22"/>
      <c r="C29" s="21"/>
      <c r="D29" s="21"/>
      <c r="E29" s="21"/>
      <c r="F29" s="21"/>
      <c r="G29" s="21"/>
    </row>
    <row r="30" spans="1:9" s="16" customFormat="1" ht="14.45" customHeight="1" x14ac:dyDescent="0.25">
      <c r="A30" s="14"/>
      <c r="B30" s="15">
        <f>SUM(B25:B28)</f>
        <v>21550</v>
      </c>
      <c r="D30" s="14"/>
      <c r="E30" s="14"/>
      <c r="F30" s="14"/>
      <c r="G30" s="14"/>
      <c r="H30" s="14"/>
      <c r="I30" s="14"/>
    </row>
    <row r="31" spans="1:9" s="16" customFormat="1" ht="14.45" customHeight="1" x14ac:dyDescent="0.25">
      <c r="A31" s="18" t="s">
        <v>1</v>
      </c>
      <c r="B31" s="19">
        <f>B30+B23</f>
        <v>-267209</v>
      </c>
      <c r="D31" s="14"/>
      <c r="E31" s="14"/>
      <c r="F31" s="14"/>
      <c r="G31" s="14"/>
      <c r="H31" s="14"/>
      <c r="I31" s="14"/>
    </row>
    <row r="32" spans="1:9" s="16" customFormat="1" ht="14.45" customHeight="1" x14ac:dyDescent="0.25">
      <c r="A32" s="14" t="s">
        <v>0</v>
      </c>
      <c r="B32" s="15">
        <f>B31-B7</f>
        <v>0</v>
      </c>
      <c r="D32" s="14"/>
      <c r="E32" s="14"/>
      <c r="F32" s="14"/>
      <c r="G32" s="14"/>
      <c r="H32" s="14"/>
      <c r="I32" s="14"/>
    </row>
    <row r="33" spans="1:2" ht="20.100000000000001" customHeight="1" x14ac:dyDescent="0.3">
      <c r="A33" s="1"/>
      <c r="B33" s="3"/>
    </row>
    <row r="34" spans="1:2" ht="20.100000000000001" customHeight="1" x14ac:dyDescent="0.3">
      <c r="A34" s="1"/>
      <c r="B34" s="3"/>
    </row>
    <row r="35" spans="1:2" ht="20.100000000000001" customHeight="1" x14ac:dyDescent="0.3"/>
    <row r="36" spans="1:2" ht="20.100000000000001" customHeight="1" x14ac:dyDescent="0.3"/>
    <row r="37" spans="1:2" ht="20.100000000000001" customHeight="1" x14ac:dyDescent="0.3"/>
    <row r="38" spans="1:2" ht="20.100000000000001" customHeight="1" x14ac:dyDescent="0.3"/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8"/>
  <sheetViews>
    <sheetView workbookViewId="0">
      <selection activeCell="C27" sqref="C27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4.45" customHeight="1" x14ac:dyDescent="0.25">
      <c r="A1" s="14" t="s">
        <v>304</v>
      </c>
      <c r="B1" s="15"/>
      <c r="C1" s="16"/>
    </row>
    <row r="2" spans="1:3" s="14" customFormat="1" ht="14.45" customHeight="1" x14ac:dyDescent="0.25">
      <c r="A2" s="17">
        <v>42855</v>
      </c>
      <c r="B2" s="15"/>
      <c r="C2" s="16"/>
    </row>
    <row r="3" spans="1:3" s="14" customFormat="1" ht="14.45" customHeight="1" x14ac:dyDescent="0.25">
      <c r="A3" s="14" t="s">
        <v>389</v>
      </c>
      <c r="B3" s="15">
        <v>5408385</v>
      </c>
      <c r="C3" s="16"/>
    </row>
    <row r="4" spans="1:3" s="14" customFormat="1" ht="14.45" customHeight="1" x14ac:dyDescent="0.25">
      <c r="A4" s="14" t="s">
        <v>6</v>
      </c>
      <c r="B4" s="15"/>
      <c r="C4" s="16"/>
    </row>
    <row r="5" spans="1:3" s="14" customFormat="1" ht="14.45" customHeight="1" x14ac:dyDescent="0.25">
      <c r="A5" s="14">
        <v>2100</v>
      </c>
      <c r="B5" s="15">
        <v>-5669977</v>
      </c>
      <c r="C5" s="16"/>
    </row>
    <row r="6" spans="1:3" s="14" customFormat="1" ht="14.45" customHeight="1" x14ac:dyDescent="0.25">
      <c r="A6" s="14" t="s">
        <v>5</v>
      </c>
      <c r="B6" s="15">
        <f>B5</f>
        <v>-5669977</v>
      </c>
      <c r="C6" s="16"/>
    </row>
    <row r="7" spans="1:3" s="14" customFormat="1" ht="14.45" customHeight="1" x14ac:dyDescent="0.25">
      <c r="A7" s="18" t="s">
        <v>4</v>
      </c>
      <c r="B7" s="19">
        <f>SUM(B3+B6)</f>
        <v>-261592</v>
      </c>
      <c r="C7" s="16"/>
    </row>
    <row r="8" spans="1:3" s="14" customFormat="1" ht="14.45" customHeight="1" x14ac:dyDescent="0.25">
      <c r="A8" s="14" t="s">
        <v>3</v>
      </c>
      <c r="B8" s="15"/>
      <c r="C8" s="16"/>
    </row>
    <row r="9" spans="1:3" s="14" customFormat="1" ht="14.45" customHeight="1" x14ac:dyDescent="0.25">
      <c r="A9" s="14" t="s">
        <v>419</v>
      </c>
      <c r="B9" s="15">
        <v>-23091</v>
      </c>
      <c r="C9" s="16" t="s">
        <v>432</v>
      </c>
    </row>
    <row r="10" spans="1:3" s="14" customFormat="1" ht="14.45" customHeight="1" x14ac:dyDescent="0.25">
      <c r="A10" s="14" t="s">
        <v>420</v>
      </c>
      <c r="B10" s="15">
        <v>-23091</v>
      </c>
      <c r="C10" s="16" t="s">
        <v>432</v>
      </c>
    </row>
    <row r="11" spans="1:3" s="14" customFormat="1" ht="14.45" customHeight="1" x14ac:dyDescent="0.25">
      <c r="A11" s="14" t="s">
        <v>421</v>
      </c>
      <c r="B11" s="20">
        <v>-23641</v>
      </c>
      <c r="C11" s="16" t="s">
        <v>432</v>
      </c>
    </row>
    <row r="12" spans="1:3" s="14" customFormat="1" ht="14.45" customHeight="1" x14ac:dyDescent="0.25">
      <c r="A12" s="14" t="s">
        <v>422</v>
      </c>
      <c r="B12" s="20">
        <v>-23788</v>
      </c>
      <c r="C12" s="16" t="s">
        <v>432</v>
      </c>
    </row>
    <row r="13" spans="1:3" s="14" customFormat="1" ht="14.45" customHeight="1" x14ac:dyDescent="0.25">
      <c r="A13" s="14" t="s">
        <v>423</v>
      </c>
      <c r="B13" s="20">
        <v>-24425</v>
      </c>
      <c r="C13" s="16" t="s">
        <v>433</v>
      </c>
    </row>
    <row r="14" spans="1:3" s="14" customFormat="1" ht="14.45" customHeight="1" x14ac:dyDescent="0.25">
      <c r="A14" s="14" t="s">
        <v>424</v>
      </c>
      <c r="B14" s="20">
        <v>-31274</v>
      </c>
      <c r="C14" s="16" t="s">
        <v>433</v>
      </c>
    </row>
    <row r="15" spans="1:3" s="14" customFormat="1" ht="14.45" customHeight="1" x14ac:dyDescent="0.25">
      <c r="A15" s="14" t="s">
        <v>425</v>
      </c>
      <c r="B15" s="20">
        <v>-31274</v>
      </c>
      <c r="C15" s="16" t="s">
        <v>433</v>
      </c>
    </row>
    <row r="16" spans="1:3" s="14" customFormat="1" ht="14.45" customHeight="1" x14ac:dyDescent="0.25">
      <c r="A16" s="14" t="s">
        <v>426</v>
      </c>
      <c r="B16" s="20">
        <v>-31541</v>
      </c>
      <c r="C16" s="16" t="s">
        <v>433</v>
      </c>
    </row>
    <row r="17" spans="1:9" s="14" customFormat="1" ht="14.45" customHeight="1" x14ac:dyDescent="0.25">
      <c r="A17" s="14" t="s">
        <v>427</v>
      </c>
      <c r="B17" s="20">
        <v>-31541</v>
      </c>
      <c r="C17" s="16" t="s">
        <v>433</v>
      </c>
    </row>
    <row r="18" spans="1:9" s="14" customFormat="1" ht="14.45" customHeight="1" x14ac:dyDescent="0.25">
      <c r="A18" s="14" t="s">
        <v>428</v>
      </c>
      <c r="B18" s="20">
        <v>-31804</v>
      </c>
      <c r="C18" s="16" t="s">
        <v>433</v>
      </c>
    </row>
    <row r="19" spans="1:9" s="14" customFormat="1" ht="14.45" customHeight="1" x14ac:dyDescent="0.25">
      <c r="A19" s="14" t="s">
        <v>429</v>
      </c>
      <c r="B19" s="20">
        <v>-32247</v>
      </c>
      <c r="C19" s="16" t="s">
        <v>433</v>
      </c>
    </row>
    <row r="20" spans="1:9" s="14" customFormat="1" ht="14.45" customHeight="1" x14ac:dyDescent="0.25">
      <c r="B20" s="20"/>
      <c r="C20" s="16"/>
    </row>
    <row r="21" spans="1:9" s="14" customFormat="1" ht="14.45" customHeight="1" x14ac:dyDescent="0.25">
      <c r="B21" s="20"/>
      <c r="C21" s="16"/>
    </row>
    <row r="22" spans="1:9" s="14" customFormat="1" ht="14.45" customHeight="1" x14ac:dyDescent="0.25">
      <c r="B22" s="20"/>
      <c r="C22" s="16"/>
    </row>
    <row r="23" spans="1:9" s="14" customFormat="1" ht="14.45" customHeight="1" x14ac:dyDescent="0.25">
      <c r="B23" s="15">
        <f>SUM(B9:B22)</f>
        <v>-307717</v>
      </c>
      <c r="C23" s="16"/>
    </row>
    <row r="24" spans="1:9" s="14" customFormat="1" ht="14.45" customHeight="1" x14ac:dyDescent="0.25">
      <c r="A24" s="14" t="s">
        <v>2</v>
      </c>
      <c r="B24" s="15"/>
      <c r="C24" s="16"/>
    </row>
    <row r="25" spans="1:9" s="14" customFormat="1" ht="14.45" customHeight="1" x14ac:dyDescent="0.25">
      <c r="A25" s="14" t="s">
        <v>431</v>
      </c>
      <c r="B25" s="15">
        <v>21808</v>
      </c>
      <c r="C25" s="16" t="s">
        <v>434</v>
      </c>
    </row>
    <row r="26" spans="1:9" s="14" customFormat="1" ht="14.45" customHeight="1" x14ac:dyDescent="0.25">
      <c r="A26" s="14" t="s">
        <v>430</v>
      </c>
      <c r="B26" s="15">
        <v>24317</v>
      </c>
      <c r="C26" s="16" t="s">
        <v>435</v>
      </c>
    </row>
    <row r="27" spans="1:9" s="16" customFormat="1" ht="14.45" customHeight="1" x14ac:dyDescent="0.25">
      <c r="A27" s="14"/>
      <c r="B27" s="15"/>
    </row>
    <row r="28" spans="1:9" s="16" customFormat="1" ht="14.45" customHeight="1" x14ac:dyDescent="0.25">
      <c r="A28" s="14"/>
      <c r="B28" s="22"/>
      <c r="C28" s="21"/>
      <c r="D28" s="21"/>
      <c r="E28" s="21"/>
      <c r="F28" s="21"/>
      <c r="G28" s="21"/>
    </row>
    <row r="29" spans="1:9" s="16" customFormat="1" ht="14.45" customHeight="1" x14ac:dyDescent="0.25">
      <c r="A29" s="14"/>
      <c r="B29" s="22"/>
      <c r="C29" s="21"/>
      <c r="D29" s="21"/>
      <c r="E29" s="21"/>
      <c r="F29" s="21"/>
      <c r="G29" s="21"/>
    </row>
    <row r="30" spans="1:9" s="16" customFormat="1" ht="14.45" customHeight="1" x14ac:dyDescent="0.25">
      <c r="A30" s="14"/>
      <c r="B30" s="15">
        <f>SUM(B25:B28)</f>
        <v>46125</v>
      </c>
      <c r="D30" s="14"/>
      <c r="E30" s="14"/>
      <c r="F30" s="14"/>
      <c r="G30" s="14"/>
      <c r="H30" s="14"/>
      <c r="I30" s="14"/>
    </row>
    <row r="31" spans="1:9" s="16" customFormat="1" ht="14.45" customHeight="1" x14ac:dyDescent="0.25">
      <c r="A31" s="18" t="s">
        <v>1</v>
      </c>
      <c r="B31" s="19">
        <f>B30+B23</f>
        <v>-261592</v>
      </c>
      <c r="D31" s="14"/>
      <c r="E31" s="14"/>
      <c r="F31" s="14"/>
      <c r="G31" s="14"/>
      <c r="H31" s="14"/>
      <c r="I31" s="14"/>
    </row>
    <row r="32" spans="1:9" s="16" customFormat="1" ht="14.45" customHeight="1" x14ac:dyDescent="0.25">
      <c r="A32" s="14" t="s">
        <v>0</v>
      </c>
      <c r="B32" s="15">
        <f>B31-B7</f>
        <v>0</v>
      </c>
      <c r="D32" s="14"/>
      <c r="E32" s="14"/>
      <c r="F32" s="14"/>
      <c r="G32" s="14"/>
      <c r="H32" s="14"/>
      <c r="I32" s="14"/>
    </row>
    <row r="33" spans="1:2" ht="20.100000000000001" customHeight="1" x14ac:dyDescent="0.3">
      <c r="A33" s="1"/>
      <c r="B33" s="3"/>
    </row>
    <row r="34" spans="1:2" ht="20.100000000000001" customHeight="1" x14ac:dyDescent="0.3">
      <c r="A34" s="1"/>
      <c r="B34" s="3"/>
    </row>
    <row r="35" spans="1:2" ht="20.100000000000001" customHeight="1" x14ac:dyDescent="0.3"/>
    <row r="36" spans="1:2" ht="20.100000000000001" customHeight="1" x14ac:dyDescent="0.3"/>
    <row r="37" spans="1:2" ht="20.100000000000001" customHeight="1" x14ac:dyDescent="0.3"/>
    <row r="38" spans="1:2" ht="20.100000000000001" customHeight="1" x14ac:dyDescent="0.3"/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8"/>
  <sheetViews>
    <sheetView workbookViewId="0">
      <selection activeCell="D10" sqref="D10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4.45" customHeight="1" x14ac:dyDescent="0.25">
      <c r="A1" s="14" t="s">
        <v>304</v>
      </c>
      <c r="B1" s="15"/>
      <c r="C1" s="16"/>
    </row>
    <row r="2" spans="1:3" s="14" customFormat="1" ht="14.45" customHeight="1" x14ac:dyDescent="0.25">
      <c r="A2" s="17">
        <v>42886</v>
      </c>
      <c r="B2" s="15"/>
      <c r="C2" s="16"/>
    </row>
    <row r="3" spans="1:3" s="14" customFormat="1" ht="14.45" customHeight="1" x14ac:dyDescent="0.25">
      <c r="A3" s="14" t="s">
        <v>389</v>
      </c>
      <c r="B3" s="15">
        <v>5849443</v>
      </c>
      <c r="C3" s="16"/>
    </row>
    <row r="4" spans="1:3" s="14" customFormat="1" ht="14.45" customHeight="1" x14ac:dyDescent="0.25">
      <c r="A4" s="14" t="s">
        <v>6</v>
      </c>
      <c r="B4" s="15"/>
      <c r="C4" s="16"/>
    </row>
    <row r="5" spans="1:3" s="14" customFormat="1" ht="14.45" customHeight="1" x14ac:dyDescent="0.25">
      <c r="A5" s="14">
        <v>2100</v>
      </c>
      <c r="B5" s="15">
        <v>-5954913</v>
      </c>
      <c r="C5" s="16"/>
    </row>
    <row r="6" spans="1:3" s="14" customFormat="1" ht="14.45" customHeight="1" x14ac:dyDescent="0.25">
      <c r="A6" s="14" t="s">
        <v>5</v>
      </c>
      <c r="B6" s="15">
        <f>B5</f>
        <v>-5954913</v>
      </c>
      <c r="C6" s="16"/>
    </row>
    <row r="7" spans="1:3" s="14" customFormat="1" ht="14.45" customHeight="1" x14ac:dyDescent="0.25">
      <c r="A7" s="18" t="s">
        <v>4</v>
      </c>
      <c r="B7" s="19">
        <f>SUM(B3+B6)</f>
        <v>-105470</v>
      </c>
      <c r="C7" s="16"/>
    </row>
    <row r="8" spans="1:3" s="14" customFormat="1" ht="14.45" customHeight="1" x14ac:dyDescent="0.25">
      <c r="A8" s="14" t="s">
        <v>3</v>
      </c>
      <c r="B8" s="15"/>
      <c r="C8" s="16"/>
    </row>
    <row r="9" spans="1:3" s="14" customFormat="1" ht="14.45" customHeight="1" x14ac:dyDescent="0.25">
      <c r="A9" s="14" t="s">
        <v>436</v>
      </c>
      <c r="B9" s="15">
        <v>-22393</v>
      </c>
      <c r="C9" s="16" t="s">
        <v>440</v>
      </c>
    </row>
    <row r="10" spans="1:3" s="14" customFormat="1" ht="14.45" customHeight="1" x14ac:dyDescent="0.25">
      <c r="A10" s="14" t="s">
        <v>437</v>
      </c>
      <c r="B10" s="15">
        <v>-25992</v>
      </c>
      <c r="C10" s="16" t="s">
        <v>440</v>
      </c>
    </row>
    <row r="11" spans="1:3" s="14" customFormat="1" ht="14.45" customHeight="1" x14ac:dyDescent="0.25">
      <c r="A11" s="14" t="s">
        <v>438</v>
      </c>
      <c r="B11" s="20">
        <v>-26807</v>
      </c>
      <c r="C11" s="16" t="s">
        <v>440</v>
      </c>
    </row>
    <row r="12" spans="1:3" s="14" customFormat="1" ht="14.45" customHeight="1" x14ac:dyDescent="0.25">
      <c r="A12" s="14" t="s">
        <v>439</v>
      </c>
      <c r="B12" s="20">
        <v>-30278</v>
      </c>
      <c r="C12" s="16" t="s">
        <v>440</v>
      </c>
    </row>
    <row r="13" spans="1:3" s="14" customFormat="1" ht="14.45" customHeight="1" x14ac:dyDescent="0.25">
      <c r="B13" s="20"/>
      <c r="C13" s="16"/>
    </row>
    <row r="14" spans="1:3" s="14" customFormat="1" ht="14.45" customHeight="1" x14ac:dyDescent="0.25">
      <c r="B14" s="20"/>
      <c r="C14" s="16"/>
    </row>
    <row r="15" spans="1:3" s="14" customFormat="1" ht="14.45" customHeight="1" x14ac:dyDescent="0.25">
      <c r="B15" s="20"/>
      <c r="C15" s="16"/>
    </row>
    <row r="16" spans="1:3" s="14" customFormat="1" ht="14.45" customHeight="1" x14ac:dyDescent="0.25">
      <c r="B16" s="20"/>
      <c r="C16" s="16"/>
    </row>
    <row r="17" spans="1:9" s="14" customFormat="1" ht="14.45" customHeight="1" x14ac:dyDescent="0.25">
      <c r="B17" s="20"/>
      <c r="C17" s="16"/>
    </row>
    <row r="18" spans="1:9" s="14" customFormat="1" ht="14.45" customHeight="1" x14ac:dyDescent="0.25">
      <c r="B18" s="20"/>
      <c r="C18" s="16"/>
    </row>
    <row r="19" spans="1:9" s="14" customFormat="1" ht="14.45" customHeight="1" x14ac:dyDescent="0.25">
      <c r="B19" s="20"/>
      <c r="C19" s="16"/>
    </row>
    <row r="20" spans="1:9" s="14" customFormat="1" ht="14.45" customHeight="1" x14ac:dyDescent="0.25">
      <c r="B20" s="20"/>
      <c r="C20" s="16"/>
    </row>
    <row r="21" spans="1:9" s="14" customFormat="1" ht="14.45" customHeight="1" x14ac:dyDescent="0.25">
      <c r="B21" s="20"/>
      <c r="C21" s="16"/>
    </row>
    <row r="22" spans="1:9" s="14" customFormat="1" ht="14.45" customHeight="1" x14ac:dyDescent="0.25">
      <c r="B22" s="20"/>
      <c r="C22" s="16"/>
    </row>
    <row r="23" spans="1:9" s="14" customFormat="1" ht="14.45" customHeight="1" x14ac:dyDescent="0.25">
      <c r="B23" s="15">
        <f>SUM(B9:B22)</f>
        <v>-105470</v>
      </c>
      <c r="C23" s="16"/>
    </row>
    <row r="24" spans="1:9" s="14" customFormat="1" ht="14.45" customHeight="1" x14ac:dyDescent="0.25">
      <c r="A24" s="14" t="s">
        <v>2</v>
      </c>
      <c r="B24" s="15"/>
      <c r="C24" s="16"/>
    </row>
    <row r="25" spans="1:9" s="14" customFormat="1" ht="14.45" customHeight="1" x14ac:dyDescent="0.25">
      <c r="B25" s="15"/>
      <c r="C25" s="16"/>
    </row>
    <row r="26" spans="1:9" s="14" customFormat="1" ht="14.45" customHeight="1" x14ac:dyDescent="0.25">
      <c r="B26" s="15"/>
      <c r="C26" s="16"/>
    </row>
    <row r="27" spans="1:9" s="16" customFormat="1" ht="14.45" customHeight="1" x14ac:dyDescent="0.25">
      <c r="A27" s="14"/>
      <c r="B27" s="15"/>
    </row>
    <row r="28" spans="1:9" s="16" customFormat="1" ht="14.45" customHeight="1" x14ac:dyDescent="0.25">
      <c r="A28" s="14"/>
      <c r="B28" s="22"/>
      <c r="C28" s="21"/>
      <c r="D28" s="21"/>
      <c r="E28" s="21"/>
      <c r="F28" s="21"/>
      <c r="G28" s="21"/>
    </row>
    <row r="29" spans="1:9" s="16" customFormat="1" ht="14.45" customHeight="1" x14ac:dyDescent="0.25">
      <c r="A29" s="14"/>
      <c r="B29" s="22"/>
      <c r="C29" s="21"/>
      <c r="D29" s="21"/>
      <c r="E29" s="21"/>
      <c r="F29" s="21"/>
      <c r="G29" s="21"/>
    </row>
    <row r="30" spans="1:9" s="16" customFormat="1" ht="14.45" customHeight="1" x14ac:dyDescent="0.25">
      <c r="A30" s="14"/>
      <c r="B30" s="15">
        <f>SUM(B25:B28)</f>
        <v>0</v>
      </c>
      <c r="D30" s="14"/>
      <c r="E30" s="14"/>
      <c r="F30" s="14"/>
      <c r="G30" s="14"/>
      <c r="H30" s="14"/>
      <c r="I30" s="14"/>
    </row>
    <row r="31" spans="1:9" s="16" customFormat="1" ht="14.45" customHeight="1" x14ac:dyDescent="0.25">
      <c r="A31" s="18" t="s">
        <v>1</v>
      </c>
      <c r="B31" s="19">
        <f>B30+B23</f>
        <v>-105470</v>
      </c>
      <c r="D31" s="14"/>
      <c r="E31" s="14"/>
      <c r="F31" s="14"/>
      <c r="G31" s="14"/>
      <c r="H31" s="14"/>
      <c r="I31" s="14"/>
    </row>
    <row r="32" spans="1:9" s="16" customFormat="1" ht="14.45" customHeight="1" x14ac:dyDescent="0.25">
      <c r="A32" s="14" t="s">
        <v>0</v>
      </c>
      <c r="B32" s="15">
        <f>B31-B7</f>
        <v>0</v>
      </c>
      <c r="D32" s="14"/>
      <c r="E32" s="14"/>
      <c r="F32" s="14"/>
      <c r="G32" s="14"/>
      <c r="H32" s="14"/>
      <c r="I32" s="14"/>
    </row>
    <row r="33" spans="1:2" ht="20.100000000000001" customHeight="1" x14ac:dyDescent="0.3">
      <c r="A33" s="1"/>
      <c r="B33" s="3"/>
    </row>
    <row r="34" spans="1:2" ht="20.100000000000001" customHeight="1" x14ac:dyDescent="0.3">
      <c r="A34" s="1"/>
      <c r="B34" s="3"/>
    </row>
    <row r="35" spans="1:2" ht="20.100000000000001" customHeight="1" x14ac:dyDescent="0.3"/>
    <row r="36" spans="1:2" ht="20.100000000000001" customHeight="1" x14ac:dyDescent="0.3"/>
    <row r="37" spans="1:2" ht="20.100000000000001" customHeight="1" x14ac:dyDescent="0.3"/>
    <row r="38" spans="1:2" ht="20.100000000000001" customHeight="1" x14ac:dyDescent="0.3"/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8"/>
  <sheetViews>
    <sheetView workbookViewId="0">
      <selection activeCell="A2" sqref="A2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4.45" customHeight="1" x14ac:dyDescent="0.25">
      <c r="A1" s="14" t="s">
        <v>304</v>
      </c>
      <c r="B1" s="15"/>
      <c r="C1" s="16"/>
    </row>
    <row r="2" spans="1:3" s="14" customFormat="1" ht="14.45" customHeight="1" x14ac:dyDescent="0.25">
      <c r="A2" s="17">
        <v>42916</v>
      </c>
      <c r="B2" s="15"/>
      <c r="C2" s="16"/>
    </row>
    <row r="3" spans="1:3" s="14" customFormat="1" ht="14.45" customHeight="1" x14ac:dyDescent="0.25">
      <c r="A3" s="14" t="s">
        <v>389</v>
      </c>
      <c r="B3" s="15">
        <v>4654048.0999999996</v>
      </c>
      <c r="C3" s="16"/>
    </row>
    <row r="4" spans="1:3" s="14" customFormat="1" ht="14.45" customHeight="1" x14ac:dyDescent="0.25">
      <c r="A4" s="14" t="s">
        <v>6</v>
      </c>
      <c r="B4" s="15"/>
      <c r="C4" s="16"/>
    </row>
    <row r="5" spans="1:3" s="14" customFormat="1" ht="14.45" customHeight="1" x14ac:dyDescent="0.25">
      <c r="A5" s="14">
        <v>2100</v>
      </c>
      <c r="B5" s="15">
        <v>-4938735.0999999996</v>
      </c>
      <c r="C5" s="16"/>
    </row>
    <row r="6" spans="1:3" s="14" customFormat="1" ht="14.45" customHeight="1" x14ac:dyDescent="0.25">
      <c r="A6" s="14" t="s">
        <v>5</v>
      </c>
      <c r="B6" s="15">
        <f>B5</f>
        <v>-4938735.0999999996</v>
      </c>
      <c r="C6" s="16"/>
    </row>
    <row r="7" spans="1:3" s="14" customFormat="1" ht="14.45" customHeight="1" x14ac:dyDescent="0.25">
      <c r="A7" s="18" t="s">
        <v>4</v>
      </c>
      <c r="B7" s="19">
        <f>SUM(B3+B6)</f>
        <v>-284687</v>
      </c>
      <c r="C7" s="16"/>
    </row>
    <row r="8" spans="1:3" s="14" customFormat="1" ht="14.45" customHeight="1" x14ac:dyDescent="0.25">
      <c r="A8" s="14" t="s">
        <v>3</v>
      </c>
      <c r="B8" s="15"/>
      <c r="C8" s="16"/>
    </row>
    <row r="9" spans="1:3" s="14" customFormat="1" ht="14.45" customHeight="1" x14ac:dyDescent="0.25">
      <c r="A9" s="14" t="s">
        <v>441</v>
      </c>
      <c r="B9" s="15">
        <v>-29645</v>
      </c>
      <c r="C9" s="16" t="s">
        <v>449</v>
      </c>
    </row>
    <row r="10" spans="1:3" s="14" customFormat="1" ht="14.45" customHeight="1" x14ac:dyDescent="0.25">
      <c r="A10" s="14" t="s">
        <v>442</v>
      </c>
      <c r="B10" s="15">
        <v>-30192</v>
      </c>
      <c r="C10" s="16" t="s">
        <v>449</v>
      </c>
    </row>
    <row r="11" spans="1:3" s="14" customFormat="1" ht="14.45" customHeight="1" x14ac:dyDescent="0.25">
      <c r="A11" s="14" t="s">
        <v>443</v>
      </c>
      <c r="B11" s="20">
        <v>-31452</v>
      </c>
      <c r="C11" s="16" t="s">
        <v>449</v>
      </c>
    </row>
    <row r="12" spans="1:3" s="14" customFormat="1" ht="14.45" customHeight="1" x14ac:dyDescent="0.25">
      <c r="A12" s="14" t="s">
        <v>444</v>
      </c>
      <c r="B12" s="20">
        <v>-31804</v>
      </c>
      <c r="C12" s="16" t="s">
        <v>449</v>
      </c>
    </row>
    <row r="13" spans="1:3" s="14" customFormat="1" ht="14.45" customHeight="1" x14ac:dyDescent="0.25">
      <c r="A13" s="14" t="s">
        <v>445</v>
      </c>
      <c r="B13" s="20">
        <v>-31804</v>
      </c>
      <c r="C13" s="16" t="s">
        <v>449</v>
      </c>
    </row>
    <row r="14" spans="1:3" s="14" customFormat="1" ht="14.45" customHeight="1" x14ac:dyDescent="0.25">
      <c r="A14" s="14" t="s">
        <v>450</v>
      </c>
      <c r="B14" s="20">
        <v>-31804</v>
      </c>
      <c r="C14" s="16" t="s">
        <v>449</v>
      </c>
    </row>
    <row r="15" spans="1:3" s="14" customFormat="1" ht="14.45" customHeight="1" x14ac:dyDescent="0.25">
      <c r="A15" s="14" t="s">
        <v>446</v>
      </c>
      <c r="B15" s="20">
        <v>-31804</v>
      </c>
      <c r="C15" s="16" t="s">
        <v>449</v>
      </c>
    </row>
    <row r="16" spans="1:3" s="14" customFormat="1" ht="14.45" customHeight="1" x14ac:dyDescent="0.25">
      <c r="A16" s="14" t="s">
        <v>447</v>
      </c>
      <c r="B16" s="20">
        <v>-32809</v>
      </c>
      <c r="C16" s="16" t="s">
        <v>449</v>
      </c>
    </row>
    <row r="17" spans="1:9" s="14" customFormat="1" ht="14.45" customHeight="1" x14ac:dyDescent="0.25">
      <c r="A17" s="14" t="s">
        <v>448</v>
      </c>
      <c r="B17" s="20">
        <v>-33373</v>
      </c>
      <c r="C17" s="16" t="s">
        <v>449</v>
      </c>
    </row>
    <row r="18" spans="1:9" s="14" customFormat="1" ht="14.45" customHeight="1" x14ac:dyDescent="0.25">
      <c r="B18" s="20"/>
      <c r="C18" s="16"/>
    </row>
    <row r="19" spans="1:9" s="14" customFormat="1" ht="14.45" customHeight="1" x14ac:dyDescent="0.25">
      <c r="B19" s="20"/>
      <c r="C19" s="16"/>
    </row>
    <row r="20" spans="1:9" s="14" customFormat="1" ht="14.45" customHeight="1" x14ac:dyDescent="0.25">
      <c r="B20" s="20"/>
      <c r="C20" s="16"/>
    </row>
    <row r="21" spans="1:9" s="14" customFormat="1" ht="14.45" customHeight="1" x14ac:dyDescent="0.25">
      <c r="B21" s="20"/>
      <c r="C21" s="16"/>
    </row>
    <row r="22" spans="1:9" s="14" customFormat="1" ht="14.45" customHeight="1" x14ac:dyDescent="0.25">
      <c r="B22" s="20"/>
      <c r="C22" s="16"/>
    </row>
    <row r="23" spans="1:9" s="14" customFormat="1" ht="14.45" customHeight="1" x14ac:dyDescent="0.25">
      <c r="B23" s="15">
        <f>SUM(B9:B22)</f>
        <v>-284687</v>
      </c>
      <c r="C23" s="16"/>
    </row>
    <row r="24" spans="1:9" s="14" customFormat="1" ht="14.45" customHeight="1" x14ac:dyDescent="0.25">
      <c r="A24" s="14" t="s">
        <v>2</v>
      </c>
      <c r="B24" s="15"/>
      <c r="C24" s="16"/>
    </row>
    <row r="25" spans="1:9" s="14" customFormat="1" ht="14.45" customHeight="1" x14ac:dyDescent="0.25">
      <c r="B25" s="15"/>
      <c r="C25" s="16"/>
    </row>
    <row r="26" spans="1:9" s="14" customFormat="1" ht="14.45" customHeight="1" x14ac:dyDescent="0.25">
      <c r="B26" s="15"/>
      <c r="C26" s="16"/>
    </row>
    <row r="27" spans="1:9" s="16" customFormat="1" ht="14.45" customHeight="1" x14ac:dyDescent="0.25">
      <c r="A27" s="14"/>
      <c r="B27" s="15"/>
    </row>
    <row r="28" spans="1:9" s="16" customFormat="1" ht="14.45" customHeight="1" x14ac:dyDescent="0.25">
      <c r="A28" s="14"/>
      <c r="B28" s="22"/>
      <c r="C28" s="21"/>
      <c r="D28" s="21"/>
      <c r="E28" s="21"/>
      <c r="F28" s="21"/>
      <c r="G28" s="21"/>
    </row>
    <row r="29" spans="1:9" s="16" customFormat="1" ht="14.45" customHeight="1" x14ac:dyDescent="0.25">
      <c r="A29" s="14"/>
      <c r="B29" s="22"/>
      <c r="C29" s="21"/>
      <c r="D29" s="21"/>
      <c r="E29" s="21"/>
      <c r="F29" s="21"/>
      <c r="G29" s="21"/>
    </row>
    <row r="30" spans="1:9" s="16" customFormat="1" ht="14.45" customHeight="1" x14ac:dyDescent="0.25">
      <c r="A30" s="14"/>
      <c r="B30" s="15">
        <f>SUM(B25:B28)</f>
        <v>0</v>
      </c>
      <c r="D30" s="14"/>
      <c r="E30" s="14"/>
      <c r="F30" s="14"/>
      <c r="G30" s="14"/>
      <c r="H30" s="14"/>
      <c r="I30" s="14"/>
    </row>
    <row r="31" spans="1:9" s="16" customFormat="1" ht="14.45" customHeight="1" x14ac:dyDescent="0.25">
      <c r="A31" s="18" t="s">
        <v>1</v>
      </c>
      <c r="B31" s="19">
        <f>B30+B23</f>
        <v>-284687</v>
      </c>
      <c r="D31" s="14"/>
      <c r="E31" s="14"/>
      <c r="F31" s="14"/>
      <c r="G31" s="14"/>
      <c r="H31" s="14"/>
      <c r="I31" s="14"/>
    </row>
    <row r="32" spans="1:9" s="16" customFormat="1" ht="14.45" customHeight="1" x14ac:dyDescent="0.25">
      <c r="A32" s="14" t="s">
        <v>0</v>
      </c>
      <c r="B32" s="15">
        <f>B31-B7</f>
        <v>0</v>
      </c>
      <c r="D32" s="14"/>
      <c r="E32" s="14"/>
      <c r="F32" s="14"/>
      <c r="G32" s="14"/>
      <c r="H32" s="14"/>
      <c r="I32" s="14"/>
    </row>
    <row r="33" spans="1:2" ht="20.100000000000001" customHeight="1" x14ac:dyDescent="0.3">
      <c r="A33" s="1"/>
      <c r="B33" s="3"/>
    </row>
    <row r="34" spans="1:2" ht="20.100000000000001" customHeight="1" x14ac:dyDescent="0.3">
      <c r="A34" s="1"/>
      <c r="B34" s="3"/>
    </row>
    <row r="35" spans="1:2" ht="20.100000000000001" customHeight="1" x14ac:dyDescent="0.3"/>
    <row r="36" spans="1:2" ht="20.100000000000001" customHeight="1" x14ac:dyDescent="0.3"/>
    <row r="37" spans="1:2" ht="20.100000000000001" customHeight="1" x14ac:dyDescent="0.3"/>
    <row r="38" spans="1:2" ht="20.100000000000001" customHeight="1" x14ac:dyDescent="0.3"/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8"/>
  <sheetViews>
    <sheetView workbookViewId="0">
      <selection activeCell="C13" sqref="C13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4.45" customHeight="1" x14ac:dyDescent="0.25">
      <c r="A1" s="14" t="s">
        <v>304</v>
      </c>
      <c r="B1" s="15"/>
      <c r="C1" s="16"/>
    </row>
    <row r="2" spans="1:3" s="14" customFormat="1" ht="14.45" customHeight="1" x14ac:dyDescent="0.25">
      <c r="A2" s="17">
        <v>42947</v>
      </c>
      <c r="B2" s="15"/>
      <c r="C2" s="16"/>
    </row>
    <row r="3" spans="1:3" s="14" customFormat="1" ht="14.45" customHeight="1" x14ac:dyDescent="0.25">
      <c r="A3" s="14" t="s">
        <v>389</v>
      </c>
      <c r="B3" s="15">
        <v>3432569.6</v>
      </c>
      <c r="C3" s="16"/>
    </row>
    <row r="4" spans="1:3" s="14" customFormat="1" ht="14.45" customHeight="1" x14ac:dyDescent="0.25">
      <c r="A4" s="14" t="s">
        <v>6</v>
      </c>
      <c r="B4" s="15"/>
      <c r="C4" s="16"/>
    </row>
    <row r="5" spans="1:3" s="14" customFormat="1" ht="14.45" customHeight="1" x14ac:dyDescent="0.25">
      <c r="A5" s="14">
        <v>2100</v>
      </c>
      <c r="B5" s="15">
        <v>-3557290.6</v>
      </c>
      <c r="C5" s="16"/>
    </row>
    <row r="6" spans="1:3" s="14" customFormat="1" ht="14.45" customHeight="1" x14ac:dyDescent="0.25">
      <c r="A6" s="14" t="s">
        <v>5</v>
      </c>
      <c r="B6" s="15">
        <f>B5</f>
        <v>-3557290.6</v>
      </c>
      <c r="C6" s="16"/>
    </row>
    <row r="7" spans="1:3" s="14" customFormat="1" ht="14.45" customHeight="1" x14ac:dyDescent="0.25">
      <c r="A7" s="18" t="s">
        <v>4</v>
      </c>
      <c r="B7" s="19">
        <f>SUM(B3+B6)</f>
        <v>-124721</v>
      </c>
      <c r="C7" s="16"/>
    </row>
    <row r="8" spans="1:3" s="14" customFormat="1" ht="14.45" customHeight="1" x14ac:dyDescent="0.25">
      <c r="A8" s="14" t="s">
        <v>3</v>
      </c>
      <c r="B8" s="15"/>
      <c r="C8" s="16"/>
    </row>
    <row r="9" spans="1:3" s="14" customFormat="1" ht="14.45" customHeight="1" x14ac:dyDescent="0.25">
      <c r="A9" s="14" t="s">
        <v>451</v>
      </c>
      <c r="B9" s="15">
        <v>-29736</v>
      </c>
      <c r="C9" s="16" t="s">
        <v>455</v>
      </c>
    </row>
    <row r="10" spans="1:3" s="14" customFormat="1" ht="14.45" customHeight="1" x14ac:dyDescent="0.25">
      <c r="A10" s="14" t="s">
        <v>452</v>
      </c>
      <c r="B10" s="15">
        <v>-30853</v>
      </c>
      <c r="C10" s="16" t="s">
        <v>455</v>
      </c>
    </row>
    <row r="11" spans="1:3" s="14" customFormat="1" ht="14.45" customHeight="1" x14ac:dyDescent="0.25">
      <c r="A11" s="14" t="s">
        <v>453</v>
      </c>
      <c r="B11" s="20">
        <v>-30853</v>
      </c>
      <c r="C11" s="16" t="s">
        <v>455</v>
      </c>
    </row>
    <row r="12" spans="1:3" s="14" customFormat="1" ht="14.45" customHeight="1" x14ac:dyDescent="0.25">
      <c r="A12" s="14" t="s">
        <v>454</v>
      </c>
      <c r="B12" s="20">
        <v>-33279</v>
      </c>
      <c r="C12" s="16" t="s">
        <v>455</v>
      </c>
    </row>
    <row r="13" spans="1:3" s="14" customFormat="1" ht="14.45" customHeight="1" x14ac:dyDescent="0.25">
      <c r="B13" s="20"/>
      <c r="C13" s="16"/>
    </row>
    <row r="14" spans="1:3" s="14" customFormat="1" ht="14.45" customHeight="1" x14ac:dyDescent="0.25">
      <c r="B14" s="20"/>
      <c r="C14" s="16"/>
    </row>
    <row r="15" spans="1:3" s="14" customFormat="1" ht="14.45" customHeight="1" x14ac:dyDescent="0.25">
      <c r="B15" s="20"/>
      <c r="C15" s="16"/>
    </row>
    <row r="16" spans="1:3" s="14" customFormat="1" ht="14.45" customHeight="1" x14ac:dyDescent="0.25">
      <c r="B16" s="20"/>
      <c r="C16" s="16"/>
    </row>
    <row r="17" spans="1:9" s="14" customFormat="1" ht="14.45" customHeight="1" x14ac:dyDescent="0.25">
      <c r="B17" s="20"/>
      <c r="C17" s="16"/>
    </row>
    <row r="18" spans="1:9" s="14" customFormat="1" ht="14.45" customHeight="1" x14ac:dyDescent="0.25">
      <c r="B18" s="20"/>
      <c r="C18" s="16"/>
    </row>
    <row r="19" spans="1:9" s="14" customFormat="1" ht="14.45" customHeight="1" x14ac:dyDescent="0.25">
      <c r="B19" s="20"/>
      <c r="C19" s="16"/>
    </row>
    <row r="20" spans="1:9" s="14" customFormat="1" ht="14.45" customHeight="1" x14ac:dyDescent="0.25">
      <c r="B20" s="20"/>
      <c r="C20" s="16"/>
    </row>
    <row r="21" spans="1:9" s="14" customFormat="1" ht="14.45" customHeight="1" x14ac:dyDescent="0.25">
      <c r="B21" s="20"/>
      <c r="C21" s="16"/>
    </row>
    <row r="22" spans="1:9" s="14" customFormat="1" ht="14.45" customHeight="1" x14ac:dyDescent="0.25">
      <c r="B22" s="20"/>
      <c r="C22" s="16"/>
    </row>
    <row r="23" spans="1:9" s="14" customFormat="1" ht="14.45" customHeight="1" x14ac:dyDescent="0.25">
      <c r="B23" s="15">
        <f>SUM(B9:B22)</f>
        <v>-124721</v>
      </c>
      <c r="C23" s="16"/>
    </row>
    <row r="24" spans="1:9" s="14" customFormat="1" ht="14.45" customHeight="1" x14ac:dyDescent="0.25">
      <c r="A24" s="14" t="s">
        <v>2</v>
      </c>
      <c r="B24" s="15"/>
      <c r="C24" s="16"/>
    </row>
    <row r="25" spans="1:9" s="14" customFormat="1" ht="14.45" customHeight="1" x14ac:dyDescent="0.25">
      <c r="B25" s="15"/>
      <c r="C25" s="16"/>
    </row>
    <row r="26" spans="1:9" s="14" customFormat="1" ht="14.45" customHeight="1" x14ac:dyDescent="0.25">
      <c r="B26" s="15"/>
      <c r="C26" s="16"/>
    </row>
    <row r="27" spans="1:9" s="16" customFormat="1" ht="14.45" customHeight="1" x14ac:dyDescent="0.25">
      <c r="A27" s="14"/>
      <c r="B27" s="15"/>
    </row>
    <row r="28" spans="1:9" s="16" customFormat="1" ht="14.45" customHeight="1" x14ac:dyDescent="0.25">
      <c r="A28" s="14"/>
      <c r="B28" s="22"/>
      <c r="C28" s="21"/>
      <c r="D28" s="21"/>
      <c r="E28" s="21"/>
      <c r="F28" s="21"/>
      <c r="G28" s="21"/>
    </row>
    <row r="29" spans="1:9" s="16" customFormat="1" ht="14.45" customHeight="1" x14ac:dyDescent="0.25">
      <c r="A29" s="14"/>
      <c r="B29" s="22"/>
      <c r="C29" s="21"/>
      <c r="D29" s="21"/>
      <c r="E29" s="21"/>
      <c r="F29" s="21"/>
      <c r="G29" s="21"/>
    </row>
    <row r="30" spans="1:9" s="16" customFormat="1" ht="14.45" customHeight="1" x14ac:dyDescent="0.25">
      <c r="A30" s="14"/>
      <c r="B30" s="15">
        <f>SUM(B25:B28)</f>
        <v>0</v>
      </c>
      <c r="D30" s="14"/>
      <c r="E30" s="14"/>
      <c r="F30" s="14"/>
      <c r="G30" s="14"/>
      <c r="H30" s="14"/>
      <c r="I30" s="14"/>
    </row>
    <row r="31" spans="1:9" s="16" customFormat="1" ht="14.45" customHeight="1" x14ac:dyDescent="0.25">
      <c r="A31" s="18" t="s">
        <v>1</v>
      </c>
      <c r="B31" s="19">
        <f>B30+B23</f>
        <v>-124721</v>
      </c>
      <c r="D31" s="14"/>
      <c r="E31" s="14"/>
      <c r="F31" s="14"/>
      <c r="G31" s="14"/>
      <c r="H31" s="14"/>
      <c r="I31" s="14"/>
    </row>
    <row r="32" spans="1:9" s="16" customFormat="1" ht="14.45" customHeight="1" x14ac:dyDescent="0.25">
      <c r="A32" s="14" t="s">
        <v>0</v>
      </c>
      <c r="B32" s="15">
        <f>B31-B7</f>
        <v>0</v>
      </c>
      <c r="D32" s="14"/>
      <c r="E32" s="14"/>
      <c r="F32" s="14"/>
      <c r="G32" s="14"/>
      <c r="H32" s="14"/>
      <c r="I32" s="14"/>
    </row>
    <row r="33" spans="1:2" ht="20.100000000000001" customHeight="1" x14ac:dyDescent="0.3">
      <c r="A33" s="1"/>
      <c r="B33" s="3"/>
    </row>
    <row r="34" spans="1:2" ht="20.100000000000001" customHeight="1" x14ac:dyDescent="0.3">
      <c r="A34" s="1"/>
      <c r="B34" s="3"/>
    </row>
    <row r="35" spans="1:2" ht="20.100000000000001" customHeight="1" x14ac:dyDescent="0.3"/>
    <row r="36" spans="1:2" ht="20.100000000000001" customHeight="1" x14ac:dyDescent="0.3"/>
    <row r="37" spans="1:2" ht="20.100000000000001" customHeight="1" x14ac:dyDescent="0.3"/>
    <row r="38" spans="1:2" ht="20.100000000000001" customHeight="1" x14ac:dyDescent="0.3"/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3"/>
  <sheetViews>
    <sheetView workbookViewId="0">
      <selection activeCell="C21" sqref="C21:C22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41.710937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4.45" customHeight="1" x14ac:dyDescent="0.25">
      <c r="A1" s="14" t="s">
        <v>304</v>
      </c>
      <c r="B1" s="15"/>
      <c r="C1" s="16"/>
    </row>
    <row r="2" spans="1:3" s="14" customFormat="1" ht="14.45" customHeight="1" x14ac:dyDescent="0.25">
      <c r="A2" s="17">
        <v>42978</v>
      </c>
      <c r="B2" s="15"/>
      <c r="C2" s="16"/>
    </row>
    <row r="3" spans="1:3" s="14" customFormat="1" ht="14.45" customHeight="1" x14ac:dyDescent="0.25">
      <c r="A3" s="14" t="s">
        <v>389</v>
      </c>
      <c r="B3" s="15">
        <v>6804123.0999999996</v>
      </c>
      <c r="C3" s="16"/>
    </row>
    <row r="4" spans="1:3" s="14" customFormat="1" ht="14.45" customHeight="1" x14ac:dyDescent="0.25">
      <c r="A4" s="14" t="s">
        <v>6</v>
      </c>
      <c r="B4" s="15"/>
      <c r="C4" s="16"/>
    </row>
    <row r="5" spans="1:3" s="14" customFormat="1" ht="14.45" customHeight="1" x14ac:dyDescent="0.25">
      <c r="A5" s="14">
        <v>2100</v>
      </c>
      <c r="B5" s="15">
        <v>-6747968.0999999996</v>
      </c>
      <c r="C5" s="16"/>
    </row>
    <row r="6" spans="1:3" s="14" customFormat="1" ht="14.45" customHeight="1" x14ac:dyDescent="0.25">
      <c r="A6" s="14" t="s">
        <v>5</v>
      </c>
      <c r="B6" s="15">
        <f>B5</f>
        <v>-6747968.0999999996</v>
      </c>
      <c r="C6" s="16"/>
    </row>
    <row r="7" spans="1:3" s="14" customFormat="1" ht="14.45" customHeight="1" x14ac:dyDescent="0.25">
      <c r="A7" s="18" t="s">
        <v>4</v>
      </c>
      <c r="B7" s="19">
        <f>SUM(B3+B6)</f>
        <v>56155</v>
      </c>
      <c r="C7" s="16"/>
    </row>
    <row r="8" spans="1:3" s="14" customFormat="1" ht="14.45" customHeight="1" x14ac:dyDescent="0.25">
      <c r="A8" s="14" t="s">
        <v>3</v>
      </c>
      <c r="B8" s="15"/>
      <c r="C8" s="16"/>
    </row>
    <row r="9" spans="1:3" s="14" customFormat="1" ht="14.45" customHeight="1" x14ac:dyDescent="0.25">
      <c r="A9" s="14" t="s">
        <v>456</v>
      </c>
      <c r="B9" s="15">
        <v>-22622</v>
      </c>
      <c r="C9" s="16" t="s">
        <v>460</v>
      </c>
    </row>
    <row r="10" spans="1:3" s="14" customFormat="1" ht="14.45" customHeight="1" x14ac:dyDescent="0.25">
      <c r="A10" s="14" t="s">
        <v>457</v>
      </c>
      <c r="B10" s="15">
        <v>-25786</v>
      </c>
      <c r="C10" s="16" t="s">
        <v>460</v>
      </c>
    </row>
    <row r="11" spans="1:3" s="14" customFormat="1" ht="14.45" customHeight="1" x14ac:dyDescent="0.25">
      <c r="A11" s="14" t="s">
        <v>458</v>
      </c>
      <c r="B11" s="20">
        <v>-26945</v>
      </c>
      <c r="C11" s="16" t="s">
        <v>460</v>
      </c>
    </row>
    <row r="12" spans="1:3" s="14" customFormat="1" ht="14.45" customHeight="1" x14ac:dyDescent="0.25">
      <c r="A12" s="14" t="s">
        <v>459</v>
      </c>
      <c r="B12" s="20">
        <v>-39694</v>
      </c>
      <c r="C12" s="47" t="s">
        <v>471</v>
      </c>
    </row>
    <row r="13" spans="1:3" s="14" customFormat="1" ht="14.45" customHeight="1" x14ac:dyDescent="0.25">
      <c r="B13" s="20"/>
      <c r="C13" s="47"/>
    </row>
    <row r="14" spans="1:3" s="14" customFormat="1" ht="14.45" customHeight="1" x14ac:dyDescent="0.25">
      <c r="B14" s="15">
        <f>SUM(B9:B13)</f>
        <v>-115047</v>
      </c>
      <c r="C14" s="16"/>
    </row>
    <row r="15" spans="1:3" s="14" customFormat="1" ht="14.45" customHeight="1" x14ac:dyDescent="0.25">
      <c r="A15" s="14" t="s">
        <v>2</v>
      </c>
      <c r="B15" s="15"/>
      <c r="C15" s="16"/>
    </row>
    <row r="16" spans="1:3" s="14" customFormat="1" ht="14.45" customHeight="1" x14ac:dyDescent="0.25">
      <c r="A16" s="14" t="s">
        <v>461</v>
      </c>
      <c r="B16" s="15">
        <v>19292</v>
      </c>
      <c r="C16" s="16" t="s">
        <v>469</v>
      </c>
    </row>
    <row r="17" spans="1:9" s="14" customFormat="1" ht="14.45" customHeight="1" x14ac:dyDescent="0.25">
      <c r="A17" s="14" t="s">
        <v>462</v>
      </c>
      <c r="B17" s="15">
        <v>19550</v>
      </c>
      <c r="C17" s="16" t="s">
        <v>469</v>
      </c>
    </row>
    <row r="18" spans="1:9" s="16" customFormat="1" ht="14.45" customHeight="1" x14ac:dyDescent="0.25">
      <c r="A18" s="14" t="s">
        <v>463</v>
      </c>
      <c r="B18" s="15">
        <v>20152</v>
      </c>
      <c r="C18" s="16" t="s">
        <v>469</v>
      </c>
    </row>
    <row r="19" spans="1:9" s="16" customFormat="1" ht="14.45" customHeight="1" x14ac:dyDescent="0.25">
      <c r="A19" s="14" t="s">
        <v>464</v>
      </c>
      <c r="B19" s="22">
        <v>20324</v>
      </c>
      <c r="C19" s="21" t="s">
        <v>469</v>
      </c>
      <c r="D19" s="21"/>
      <c r="E19" s="21"/>
      <c r="F19" s="21"/>
      <c r="G19" s="21"/>
    </row>
    <row r="20" spans="1:9" s="16" customFormat="1" ht="14.45" customHeight="1" x14ac:dyDescent="0.25">
      <c r="A20" s="14" t="s">
        <v>465</v>
      </c>
      <c r="B20" s="22">
        <v>21929</v>
      </c>
      <c r="C20" s="21" t="s">
        <v>469</v>
      </c>
      <c r="D20" s="21"/>
      <c r="E20" s="21"/>
      <c r="F20" s="21"/>
      <c r="G20" s="21"/>
    </row>
    <row r="21" spans="1:9" s="16" customFormat="1" ht="14.45" customHeight="1" x14ac:dyDescent="0.25">
      <c r="A21" s="14" t="s">
        <v>466</v>
      </c>
      <c r="B21" s="22">
        <v>30261</v>
      </c>
      <c r="C21" s="47" t="s">
        <v>470</v>
      </c>
      <c r="D21" s="21"/>
      <c r="E21" s="21"/>
      <c r="F21" s="21"/>
      <c r="G21" s="21"/>
    </row>
    <row r="22" spans="1:9" s="16" customFormat="1" ht="14.45" customHeight="1" x14ac:dyDescent="0.25">
      <c r="A22" s="14"/>
      <c r="B22" s="22"/>
      <c r="C22" s="47"/>
      <c r="D22" s="21"/>
      <c r="E22" s="21"/>
      <c r="F22" s="21"/>
      <c r="G22" s="21"/>
    </row>
    <row r="23" spans="1:9" s="16" customFormat="1" ht="14.45" customHeight="1" x14ac:dyDescent="0.25">
      <c r="A23" s="14" t="s">
        <v>467</v>
      </c>
      <c r="B23" s="22">
        <v>39694</v>
      </c>
      <c r="C23" s="47" t="s">
        <v>468</v>
      </c>
      <c r="D23" s="21"/>
      <c r="E23" s="21"/>
      <c r="F23" s="21"/>
      <c r="G23" s="21"/>
    </row>
    <row r="24" spans="1:9" s="16" customFormat="1" ht="14.45" customHeight="1" x14ac:dyDescent="0.25">
      <c r="A24" s="14"/>
      <c r="B24" s="22"/>
      <c r="C24" s="47"/>
      <c r="D24" s="21"/>
      <c r="E24" s="21"/>
      <c r="F24" s="21"/>
      <c r="G24" s="21"/>
    </row>
    <row r="25" spans="1:9" s="16" customFormat="1" ht="14.45" customHeight="1" x14ac:dyDescent="0.25">
      <c r="A25" s="14"/>
      <c r="B25" s="15">
        <f>SUM(B16:B24)</f>
        <v>171202</v>
      </c>
      <c r="D25" s="14"/>
      <c r="E25" s="14"/>
      <c r="F25" s="14"/>
      <c r="G25" s="14"/>
      <c r="H25" s="14"/>
      <c r="I25" s="14"/>
    </row>
    <row r="26" spans="1:9" s="16" customFormat="1" ht="14.45" customHeight="1" x14ac:dyDescent="0.25">
      <c r="A26" s="18" t="s">
        <v>1</v>
      </c>
      <c r="B26" s="19">
        <f>B25+B14</f>
        <v>56155</v>
      </c>
      <c r="D26" s="14"/>
      <c r="E26" s="14"/>
      <c r="F26" s="14"/>
      <c r="G26" s="14"/>
      <c r="H26" s="14"/>
      <c r="I26" s="14"/>
    </row>
    <row r="27" spans="1:9" s="16" customFormat="1" ht="14.45" customHeight="1" x14ac:dyDescent="0.25">
      <c r="A27" s="14" t="s">
        <v>0</v>
      </c>
      <c r="B27" s="15">
        <f>B26-B7</f>
        <v>0</v>
      </c>
      <c r="D27" s="14"/>
      <c r="E27" s="14"/>
      <c r="F27" s="14"/>
      <c r="G27" s="14"/>
      <c r="H27" s="14"/>
      <c r="I27" s="14"/>
    </row>
    <row r="28" spans="1:9" s="2" customFormat="1" ht="20.100000000000001" customHeight="1" x14ac:dyDescent="0.3">
      <c r="A28" s="1"/>
      <c r="B28" s="3"/>
      <c r="D28" s="1"/>
      <c r="E28" s="1"/>
      <c r="F28" s="1"/>
      <c r="G28" s="1"/>
      <c r="H28" s="1"/>
      <c r="I28" s="1"/>
    </row>
    <row r="29" spans="1:9" s="2" customFormat="1" ht="20.100000000000001" customHeight="1" x14ac:dyDescent="0.3">
      <c r="A29" s="1"/>
      <c r="B29" s="3"/>
      <c r="D29" s="1"/>
      <c r="E29" s="1"/>
      <c r="F29" s="1"/>
      <c r="G29" s="1"/>
      <c r="H29" s="1"/>
      <c r="I29" s="1"/>
    </row>
    <row r="30" spans="1:9" s="2" customFormat="1" ht="20.100000000000001" customHeight="1" x14ac:dyDescent="0.3">
      <c r="A30"/>
      <c r="B30" s="10"/>
      <c r="D30" s="1"/>
      <c r="E30" s="1"/>
      <c r="F30" s="1"/>
      <c r="G30" s="1"/>
      <c r="H30" s="1"/>
      <c r="I30" s="1"/>
    </row>
    <row r="31" spans="1:9" s="2" customFormat="1" ht="20.100000000000001" customHeight="1" x14ac:dyDescent="0.3">
      <c r="A31"/>
      <c r="B31" s="10"/>
      <c r="D31" s="1"/>
      <c r="E31" s="1"/>
      <c r="F31" s="1"/>
      <c r="G31" s="1"/>
      <c r="H31" s="1"/>
      <c r="I31" s="1"/>
    </row>
    <row r="32" spans="1:9" s="2" customFormat="1" ht="20.100000000000001" customHeight="1" x14ac:dyDescent="0.3">
      <c r="A32"/>
      <c r="B32" s="10"/>
      <c r="D32" s="1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1"/>
      <c r="E33" s="1"/>
      <c r="F33" s="1"/>
      <c r="G33" s="1"/>
      <c r="H33" s="1"/>
      <c r="I33" s="1"/>
    </row>
  </sheetData>
  <mergeCells count="3">
    <mergeCell ref="C23:C24"/>
    <mergeCell ref="C21:C22"/>
    <mergeCell ref="C12:C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49"/>
  <sheetViews>
    <sheetView workbookViewId="0">
      <selection activeCell="C41" sqref="C41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41.710937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4.45" customHeight="1" x14ac:dyDescent="0.25">
      <c r="A1" s="14" t="s">
        <v>304</v>
      </c>
      <c r="B1" s="15"/>
      <c r="C1" s="16"/>
    </row>
    <row r="2" spans="1:3" s="14" customFormat="1" ht="14.45" customHeight="1" x14ac:dyDescent="0.25">
      <c r="A2" s="17">
        <v>43008</v>
      </c>
      <c r="B2" s="15"/>
      <c r="C2" s="16"/>
    </row>
    <row r="3" spans="1:3" s="14" customFormat="1" ht="14.45" customHeight="1" x14ac:dyDescent="0.25">
      <c r="A3" s="14" t="s">
        <v>389</v>
      </c>
      <c r="B3" s="15">
        <v>5978837.5</v>
      </c>
      <c r="C3" s="16"/>
    </row>
    <row r="4" spans="1:3" s="14" customFormat="1" ht="14.45" customHeight="1" x14ac:dyDescent="0.25">
      <c r="A4" s="14" t="s">
        <v>6</v>
      </c>
      <c r="B4" s="15"/>
      <c r="C4" s="16"/>
    </row>
    <row r="5" spans="1:3" s="14" customFormat="1" ht="14.45" customHeight="1" x14ac:dyDescent="0.25">
      <c r="A5" s="14">
        <v>2100</v>
      </c>
      <c r="B5" s="15">
        <v>-6582341.5</v>
      </c>
      <c r="C5" s="16"/>
    </row>
    <row r="6" spans="1:3" s="14" customFormat="1" ht="14.45" customHeight="1" x14ac:dyDescent="0.25">
      <c r="A6" s="14" t="s">
        <v>5</v>
      </c>
      <c r="B6" s="15">
        <f>B5</f>
        <v>-6582341.5</v>
      </c>
      <c r="C6" s="16"/>
    </row>
    <row r="7" spans="1:3" s="14" customFormat="1" ht="14.45" customHeight="1" x14ac:dyDescent="0.25">
      <c r="A7" s="18" t="s">
        <v>4</v>
      </c>
      <c r="B7" s="19">
        <f>SUM(B3+B6)</f>
        <v>-603504</v>
      </c>
      <c r="C7" s="16"/>
    </row>
    <row r="8" spans="1:3" s="14" customFormat="1" ht="14.45" customHeight="1" x14ac:dyDescent="0.25">
      <c r="A8" s="14" t="s">
        <v>3</v>
      </c>
      <c r="B8" s="15"/>
      <c r="C8" s="16"/>
    </row>
    <row r="9" spans="1:3" s="14" customFormat="1" ht="14.45" customHeight="1" x14ac:dyDescent="0.25">
      <c r="A9" s="14" t="s">
        <v>472</v>
      </c>
      <c r="B9" s="15">
        <v>-22056</v>
      </c>
      <c r="C9" s="16" t="s">
        <v>508</v>
      </c>
    </row>
    <row r="10" spans="1:3" s="14" customFormat="1" ht="14.45" customHeight="1" x14ac:dyDescent="0.25">
      <c r="A10" s="14" t="s">
        <v>473</v>
      </c>
      <c r="B10" s="15">
        <v>-24425</v>
      </c>
      <c r="C10" s="16" t="s">
        <v>501</v>
      </c>
    </row>
    <row r="11" spans="1:3" s="14" customFormat="1" ht="14.45" customHeight="1" x14ac:dyDescent="0.25">
      <c r="A11" s="14" t="s">
        <v>474</v>
      </c>
      <c r="B11" s="15">
        <v>-24425</v>
      </c>
      <c r="C11" s="16" t="s">
        <v>502</v>
      </c>
    </row>
    <row r="12" spans="1:3" s="14" customFormat="1" ht="14.45" customHeight="1" x14ac:dyDescent="0.25">
      <c r="A12" s="14" t="s">
        <v>475</v>
      </c>
      <c r="B12" s="15">
        <v>-26251</v>
      </c>
      <c r="C12" s="16" t="s">
        <v>503</v>
      </c>
    </row>
    <row r="13" spans="1:3" s="14" customFormat="1" ht="14.45" customHeight="1" x14ac:dyDescent="0.25">
      <c r="A13" s="14" t="s">
        <v>476</v>
      </c>
      <c r="B13" s="15">
        <v>-26251</v>
      </c>
      <c r="C13" s="16" t="s">
        <v>503</v>
      </c>
    </row>
    <row r="14" spans="1:3" s="14" customFormat="1" ht="14.45" customHeight="1" x14ac:dyDescent="0.25">
      <c r="A14" s="14" t="s">
        <v>477</v>
      </c>
      <c r="B14" s="15">
        <v>-26251</v>
      </c>
      <c r="C14" s="16" t="s">
        <v>504</v>
      </c>
    </row>
    <row r="15" spans="1:3" s="14" customFormat="1" ht="14.45" customHeight="1" x14ac:dyDescent="0.25">
      <c r="A15" s="14" t="s">
        <v>478</v>
      </c>
      <c r="B15" s="15">
        <v>-26251</v>
      </c>
      <c r="C15" s="16" t="s">
        <v>505</v>
      </c>
    </row>
    <row r="16" spans="1:3" s="14" customFormat="1" ht="14.45" customHeight="1" x14ac:dyDescent="0.25">
      <c r="A16" s="14" t="s">
        <v>479</v>
      </c>
      <c r="B16" s="15">
        <v>-26429</v>
      </c>
      <c r="C16" s="16" t="s">
        <v>506</v>
      </c>
    </row>
    <row r="17" spans="1:3" s="14" customFormat="1" ht="14.45" customHeight="1" x14ac:dyDescent="0.25">
      <c r="A17" s="14" t="s">
        <v>480</v>
      </c>
      <c r="B17" s="15">
        <v>-26429</v>
      </c>
      <c r="C17" s="16" t="s">
        <v>505</v>
      </c>
    </row>
    <row r="18" spans="1:3" s="14" customFormat="1" ht="14.45" customHeight="1" x14ac:dyDescent="0.25">
      <c r="A18" s="14" t="s">
        <v>481</v>
      </c>
      <c r="B18" s="15">
        <v>-26518</v>
      </c>
      <c r="C18" s="16" t="s">
        <v>505</v>
      </c>
    </row>
    <row r="19" spans="1:3" s="14" customFormat="1" ht="14.45" customHeight="1" x14ac:dyDescent="0.25">
      <c r="A19" s="14" t="s">
        <v>482</v>
      </c>
      <c r="B19" s="15">
        <v>-26945</v>
      </c>
      <c r="C19" s="16" t="s">
        <v>503</v>
      </c>
    </row>
    <row r="20" spans="1:3" s="14" customFormat="1" ht="14.45" customHeight="1" x14ac:dyDescent="0.25">
      <c r="A20" s="14" t="s">
        <v>483</v>
      </c>
      <c r="B20" s="15">
        <v>-26945</v>
      </c>
      <c r="C20" s="16" t="s">
        <v>504</v>
      </c>
    </row>
    <row r="21" spans="1:3" s="14" customFormat="1" ht="14.45" customHeight="1" x14ac:dyDescent="0.25">
      <c r="A21" s="14" t="s">
        <v>484</v>
      </c>
      <c r="B21" s="15">
        <v>-26945</v>
      </c>
      <c r="C21" s="16" t="s">
        <v>505</v>
      </c>
    </row>
    <row r="22" spans="1:3" s="14" customFormat="1" ht="14.45" customHeight="1" x14ac:dyDescent="0.25">
      <c r="A22" s="14" t="s">
        <v>485</v>
      </c>
      <c r="B22" s="15">
        <v>-26945</v>
      </c>
      <c r="C22" s="16" t="s">
        <v>505</v>
      </c>
    </row>
    <row r="23" spans="1:3" s="14" customFormat="1" ht="14.45" customHeight="1" x14ac:dyDescent="0.25">
      <c r="A23" s="14" t="s">
        <v>486</v>
      </c>
      <c r="B23" s="20">
        <v>-27123</v>
      </c>
      <c r="C23" s="16" t="s">
        <v>503</v>
      </c>
    </row>
    <row r="24" spans="1:3" s="14" customFormat="1" ht="14.45" customHeight="1" x14ac:dyDescent="0.25">
      <c r="A24" s="14" t="s">
        <v>487</v>
      </c>
      <c r="B24" s="20">
        <v>-27212</v>
      </c>
      <c r="C24" s="16" t="s">
        <v>501</v>
      </c>
    </row>
    <row r="25" spans="1:3" s="14" customFormat="1" ht="14.45" customHeight="1" x14ac:dyDescent="0.25">
      <c r="A25" s="14" t="s">
        <v>488</v>
      </c>
      <c r="B25" s="20">
        <v>-27212</v>
      </c>
      <c r="C25" s="16" t="s">
        <v>504</v>
      </c>
    </row>
    <row r="26" spans="1:3" s="14" customFormat="1" ht="14.45" customHeight="1" x14ac:dyDescent="0.25">
      <c r="A26" s="14" t="s">
        <v>489</v>
      </c>
      <c r="B26" s="20">
        <v>-27475</v>
      </c>
      <c r="C26" s="16" t="s">
        <v>504</v>
      </c>
    </row>
    <row r="27" spans="1:3" s="14" customFormat="1" ht="14.45" customHeight="1" x14ac:dyDescent="0.25">
      <c r="A27" s="14" t="s">
        <v>490</v>
      </c>
      <c r="B27" s="20">
        <v>-28480</v>
      </c>
      <c r="C27" s="16" t="s">
        <v>502</v>
      </c>
    </row>
    <row r="28" spans="1:3" s="14" customFormat="1" ht="14.45" customHeight="1" x14ac:dyDescent="0.25">
      <c r="A28" s="14" t="s">
        <v>491</v>
      </c>
      <c r="B28" s="20">
        <v>-28743</v>
      </c>
      <c r="C28" s="16" t="s">
        <v>504</v>
      </c>
    </row>
    <row r="29" spans="1:3" s="14" customFormat="1" ht="14.45" customHeight="1" x14ac:dyDescent="0.25">
      <c r="A29" s="14" t="s">
        <v>492</v>
      </c>
      <c r="B29" s="20">
        <v>-29157</v>
      </c>
      <c r="C29" s="16" t="s">
        <v>504</v>
      </c>
    </row>
    <row r="30" spans="1:3" s="14" customFormat="1" ht="14.45" customHeight="1" x14ac:dyDescent="0.25">
      <c r="A30" s="14" t="s">
        <v>493</v>
      </c>
      <c r="B30" s="20">
        <v>-29424</v>
      </c>
      <c r="C30" s="16" t="s">
        <v>505</v>
      </c>
    </row>
    <row r="31" spans="1:3" s="14" customFormat="1" ht="14.45" customHeight="1" x14ac:dyDescent="0.25">
      <c r="A31" s="14" t="s">
        <v>494</v>
      </c>
      <c r="B31" s="20">
        <v>-29687</v>
      </c>
      <c r="C31" s="16" t="s">
        <v>502</v>
      </c>
    </row>
    <row r="32" spans="1:3" s="14" customFormat="1" ht="14.45" customHeight="1" x14ac:dyDescent="0.25">
      <c r="A32" s="14" t="s">
        <v>500</v>
      </c>
      <c r="B32" s="20">
        <v>-30603</v>
      </c>
      <c r="C32" s="16" t="s">
        <v>503</v>
      </c>
    </row>
    <row r="33" spans="1:9" s="14" customFormat="1" ht="14.45" customHeight="1" x14ac:dyDescent="0.25">
      <c r="A33" s="14" t="s">
        <v>495</v>
      </c>
      <c r="B33" s="20">
        <v>-32542</v>
      </c>
      <c r="C33" s="16" t="s">
        <v>504</v>
      </c>
    </row>
    <row r="34" spans="1:9" s="14" customFormat="1" ht="14.45" customHeight="1" x14ac:dyDescent="0.25">
      <c r="B34" s="15">
        <f>SUM(B9:B33)</f>
        <v>-680724</v>
      </c>
      <c r="C34" s="16"/>
    </row>
    <row r="35" spans="1:9" s="14" customFormat="1" ht="14.45" customHeight="1" x14ac:dyDescent="0.25">
      <c r="A35" s="14" t="s">
        <v>2</v>
      </c>
      <c r="B35" s="15"/>
      <c r="C35" s="16"/>
    </row>
    <row r="36" spans="1:9" s="14" customFormat="1" ht="14.45" customHeight="1" x14ac:dyDescent="0.25">
      <c r="A36" s="14" t="s">
        <v>496</v>
      </c>
      <c r="B36" s="15">
        <v>16141</v>
      </c>
      <c r="C36" s="16" t="s">
        <v>507</v>
      </c>
    </row>
    <row r="37" spans="1:9" s="14" customFormat="1" ht="14.45" customHeight="1" x14ac:dyDescent="0.25">
      <c r="A37" s="14" t="s">
        <v>497</v>
      </c>
      <c r="B37" s="15">
        <v>17172</v>
      </c>
      <c r="C37" s="16" t="s">
        <v>507</v>
      </c>
    </row>
    <row r="38" spans="1:9" s="16" customFormat="1" ht="14.45" customHeight="1" x14ac:dyDescent="0.25">
      <c r="A38" s="14" t="s">
        <v>498</v>
      </c>
      <c r="B38" s="15">
        <v>21851</v>
      </c>
      <c r="C38" s="16" t="s">
        <v>507</v>
      </c>
    </row>
    <row r="39" spans="1:9" s="16" customFormat="1" ht="14.45" customHeight="1" x14ac:dyDescent="0.25">
      <c r="A39" s="14" t="s">
        <v>499</v>
      </c>
      <c r="B39" s="22">
        <v>22056</v>
      </c>
      <c r="C39" s="47" t="s">
        <v>509</v>
      </c>
      <c r="D39" s="21"/>
      <c r="E39" s="21"/>
      <c r="F39" s="21"/>
      <c r="G39" s="21"/>
    </row>
    <row r="40" spans="1:9" s="16" customFormat="1" ht="14.45" customHeight="1" x14ac:dyDescent="0.25">
      <c r="A40" s="14"/>
      <c r="B40" s="22"/>
      <c r="C40" s="47"/>
      <c r="D40" s="21"/>
      <c r="E40" s="21"/>
      <c r="F40" s="21"/>
      <c r="G40" s="21"/>
    </row>
    <row r="41" spans="1:9" s="16" customFormat="1" ht="14.45" customHeight="1" x14ac:dyDescent="0.25">
      <c r="A41" s="14"/>
      <c r="B41" s="15">
        <f>SUM(B36:B39)</f>
        <v>77220</v>
      </c>
      <c r="D41" s="14"/>
      <c r="E41" s="14"/>
      <c r="F41" s="14"/>
      <c r="G41" s="14"/>
      <c r="H41" s="14"/>
      <c r="I41" s="14"/>
    </row>
    <row r="42" spans="1:9" s="16" customFormat="1" ht="14.45" customHeight="1" x14ac:dyDescent="0.25">
      <c r="A42" s="18" t="s">
        <v>1</v>
      </c>
      <c r="B42" s="19">
        <f>B41+B34</f>
        <v>-603504</v>
      </c>
      <c r="D42" s="14"/>
      <c r="E42" s="14"/>
      <c r="F42" s="14"/>
      <c r="G42" s="14"/>
      <c r="H42" s="14"/>
      <c r="I42" s="14"/>
    </row>
    <row r="43" spans="1:9" s="16" customFormat="1" ht="14.45" customHeight="1" x14ac:dyDescent="0.25">
      <c r="A43" s="14" t="s">
        <v>0</v>
      </c>
      <c r="B43" s="15">
        <f>B42-B7</f>
        <v>0</v>
      </c>
      <c r="D43" s="14"/>
      <c r="E43" s="14"/>
      <c r="F43" s="14"/>
      <c r="G43" s="14"/>
      <c r="H43" s="14"/>
      <c r="I43" s="14"/>
    </row>
    <row r="44" spans="1:9" s="2" customFormat="1" ht="20.100000000000001" customHeight="1" x14ac:dyDescent="0.3">
      <c r="A44" s="1"/>
      <c r="B44" s="3"/>
      <c r="D44" s="1"/>
      <c r="E44" s="1"/>
      <c r="F44" s="1"/>
      <c r="G44" s="1"/>
      <c r="H44" s="1"/>
      <c r="I44" s="1"/>
    </row>
    <row r="45" spans="1:9" s="2" customFormat="1" ht="20.100000000000001" customHeight="1" x14ac:dyDescent="0.3">
      <c r="A45" s="1"/>
      <c r="B45" s="3"/>
      <c r="D45" s="1"/>
      <c r="E45" s="1"/>
      <c r="F45" s="1"/>
      <c r="G45" s="1"/>
      <c r="H45" s="1"/>
      <c r="I45" s="1"/>
    </row>
    <row r="46" spans="1:9" s="2" customFormat="1" ht="20.100000000000001" customHeight="1" x14ac:dyDescent="0.3">
      <c r="A46"/>
      <c r="B46" s="10"/>
      <c r="D46" s="1"/>
      <c r="E46" s="1"/>
      <c r="F46" s="1"/>
      <c r="G46" s="1"/>
      <c r="H46" s="1"/>
      <c r="I46" s="1"/>
    </row>
    <row r="47" spans="1:9" s="2" customFormat="1" ht="20.100000000000001" customHeight="1" x14ac:dyDescent="0.3">
      <c r="A47"/>
      <c r="B47" s="10"/>
      <c r="D47" s="1"/>
      <c r="E47" s="1"/>
      <c r="F47" s="1"/>
      <c r="G47" s="1"/>
      <c r="H47" s="1"/>
      <c r="I47" s="1"/>
    </row>
    <row r="48" spans="1:9" s="2" customFormat="1" ht="20.100000000000001" customHeight="1" x14ac:dyDescent="0.3">
      <c r="A48"/>
      <c r="B48" s="10"/>
      <c r="D48" s="1"/>
      <c r="E48" s="1"/>
      <c r="F48" s="1"/>
      <c r="G48" s="1"/>
      <c r="H48" s="1"/>
      <c r="I48" s="1"/>
    </row>
    <row r="49" spans="1:9" s="2" customFormat="1" ht="20.100000000000001" customHeight="1" x14ac:dyDescent="0.3">
      <c r="A49"/>
      <c r="B49" s="10"/>
      <c r="D49" s="1"/>
      <c r="E49" s="1"/>
      <c r="F49" s="1"/>
      <c r="G49" s="1"/>
      <c r="H49" s="1"/>
      <c r="I49" s="1"/>
    </row>
  </sheetData>
  <mergeCells count="1">
    <mergeCell ref="C39:C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49"/>
  <sheetViews>
    <sheetView topLeftCell="A7" workbookViewId="0">
      <selection activeCell="C36" sqref="C36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41.710937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4.45" customHeight="1" x14ac:dyDescent="0.25">
      <c r="A1" s="14" t="s">
        <v>304</v>
      </c>
      <c r="B1" s="15"/>
      <c r="C1" s="16"/>
    </row>
    <row r="2" spans="1:3" s="14" customFormat="1" ht="14.45" customHeight="1" x14ac:dyDescent="0.25">
      <c r="A2" s="17">
        <v>43039</v>
      </c>
      <c r="B2" s="15"/>
      <c r="C2" s="16"/>
    </row>
    <row r="3" spans="1:3" s="14" customFormat="1" ht="14.45" customHeight="1" x14ac:dyDescent="0.25">
      <c r="A3" s="14" t="s">
        <v>389</v>
      </c>
      <c r="B3" s="15">
        <v>7455553.2999999998</v>
      </c>
      <c r="C3" s="16"/>
    </row>
    <row r="4" spans="1:3" s="14" customFormat="1" ht="14.45" customHeight="1" x14ac:dyDescent="0.25">
      <c r="A4" s="14" t="s">
        <v>6</v>
      </c>
      <c r="B4" s="15"/>
      <c r="C4" s="16"/>
    </row>
    <row r="5" spans="1:3" s="14" customFormat="1" ht="14.45" customHeight="1" x14ac:dyDescent="0.25">
      <c r="A5" s="14">
        <v>2100</v>
      </c>
      <c r="B5" s="15">
        <v>-7878945.2999999998</v>
      </c>
      <c r="C5" s="16"/>
    </row>
    <row r="6" spans="1:3" s="14" customFormat="1" ht="14.45" customHeight="1" x14ac:dyDescent="0.25">
      <c r="A6" s="14" t="s">
        <v>5</v>
      </c>
      <c r="B6" s="15">
        <f>B5</f>
        <v>-7878945.2999999998</v>
      </c>
      <c r="C6" s="16"/>
    </row>
    <row r="7" spans="1:3" s="14" customFormat="1" ht="14.45" customHeight="1" x14ac:dyDescent="0.25">
      <c r="A7" s="18" t="s">
        <v>4</v>
      </c>
      <c r="B7" s="19">
        <f>SUM(B3+B6)</f>
        <v>-423392</v>
      </c>
      <c r="C7" s="16"/>
    </row>
    <row r="8" spans="1:3" s="14" customFormat="1" ht="14.45" customHeight="1" x14ac:dyDescent="0.25">
      <c r="A8" s="14" t="s">
        <v>3</v>
      </c>
      <c r="B8" s="15"/>
      <c r="C8" s="16"/>
    </row>
    <row r="9" spans="1:3" s="14" customFormat="1" ht="14.45" customHeight="1" x14ac:dyDescent="0.25">
      <c r="A9" s="14" t="s">
        <v>510</v>
      </c>
      <c r="B9" s="15">
        <v>-23854</v>
      </c>
      <c r="C9" s="16" t="s">
        <v>535</v>
      </c>
    </row>
    <row r="10" spans="1:3" s="14" customFormat="1" ht="14.45" customHeight="1" x14ac:dyDescent="0.25">
      <c r="A10" s="14" t="s">
        <v>511</v>
      </c>
      <c r="B10" s="15">
        <v>-24047</v>
      </c>
      <c r="C10" s="16" t="s">
        <v>535</v>
      </c>
    </row>
    <row r="11" spans="1:3" s="14" customFormat="1" ht="14.45" customHeight="1" x14ac:dyDescent="0.25">
      <c r="A11" s="14" t="s">
        <v>512</v>
      </c>
      <c r="B11" s="15">
        <v>-24113</v>
      </c>
      <c r="C11" s="16" t="s">
        <v>535</v>
      </c>
    </row>
    <row r="12" spans="1:3" s="14" customFormat="1" ht="14.45" customHeight="1" x14ac:dyDescent="0.25">
      <c r="A12" s="14" t="s">
        <v>513</v>
      </c>
      <c r="B12" s="15">
        <v>-24113</v>
      </c>
      <c r="C12" s="16" t="s">
        <v>535</v>
      </c>
    </row>
    <row r="13" spans="1:3" s="14" customFormat="1" ht="14.45" customHeight="1" x14ac:dyDescent="0.25">
      <c r="A13" s="14" t="s">
        <v>514</v>
      </c>
      <c r="B13" s="15">
        <v>-25022</v>
      </c>
      <c r="C13" s="16" t="s">
        <v>535</v>
      </c>
    </row>
    <row r="14" spans="1:3" s="14" customFormat="1" ht="14.45" customHeight="1" x14ac:dyDescent="0.25">
      <c r="A14" s="14" t="s">
        <v>515</v>
      </c>
      <c r="B14" s="15">
        <v>-25108</v>
      </c>
      <c r="C14" s="16" t="s">
        <v>535</v>
      </c>
    </row>
    <row r="15" spans="1:3" s="14" customFormat="1" ht="14.45" customHeight="1" x14ac:dyDescent="0.25">
      <c r="A15" s="14" t="s">
        <v>516</v>
      </c>
      <c r="B15" s="15">
        <v>-26518</v>
      </c>
      <c r="C15" s="16" t="s">
        <v>535</v>
      </c>
    </row>
    <row r="16" spans="1:3" s="14" customFormat="1" ht="14.45" customHeight="1" x14ac:dyDescent="0.25">
      <c r="A16" s="14" t="s">
        <v>517</v>
      </c>
      <c r="B16" s="15">
        <v>-27123</v>
      </c>
      <c r="C16" s="16" t="s">
        <v>535</v>
      </c>
    </row>
    <row r="17" spans="1:3" s="14" customFormat="1" ht="14.45" customHeight="1" x14ac:dyDescent="0.25">
      <c r="A17" s="14" t="s">
        <v>518</v>
      </c>
      <c r="B17" s="15">
        <v>-27475</v>
      </c>
      <c r="C17" s="16" t="s">
        <v>535</v>
      </c>
    </row>
    <row r="18" spans="1:3" s="14" customFormat="1" ht="14.45" customHeight="1" x14ac:dyDescent="0.25">
      <c r="A18" s="14" t="s">
        <v>519</v>
      </c>
      <c r="B18" s="15">
        <v>-27519</v>
      </c>
      <c r="C18" s="16" t="s">
        <v>535</v>
      </c>
    </row>
    <row r="19" spans="1:3" s="14" customFormat="1" ht="14.45" customHeight="1" x14ac:dyDescent="0.25">
      <c r="A19" s="14" t="s">
        <v>520</v>
      </c>
      <c r="B19" s="15">
        <v>-28391</v>
      </c>
      <c r="C19" s="16" t="s">
        <v>535</v>
      </c>
    </row>
    <row r="20" spans="1:3" s="14" customFormat="1" ht="14.45" customHeight="1" x14ac:dyDescent="0.25">
      <c r="A20" s="14" t="s">
        <v>521</v>
      </c>
      <c r="B20" s="15">
        <v>-28743</v>
      </c>
      <c r="C20" s="16" t="s">
        <v>536</v>
      </c>
    </row>
    <row r="21" spans="1:3" s="14" customFormat="1" ht="14.45" customHeight="1" x14ac:dyDescent="0.25">
      <c r="A21" s="14" t="s">
        <v>522</v>
      </c>
      <c r="B21" s="15">
        <v>-29335</v>
      </c>
      <c r="C21" s="16" t="s">
        <v>537</v>
      </c>
    </row>
    <row r="22" spans="1:3" s="14" customFormat="1" ht="14.45" customHeight="1" x14ac:dyDescent="0.25">
      <c r="A22" s="14" t="s">
        <v>523</v>
      </c>
      <c r="B22" s="15">
        <v>-31452</v>
      </c>
      <c r="C22" s="16" t="s">
        <v>535</v>
      </c>
    </row>
    <row r="23" spans="1:3" s="14" customFormat="1" ht="14.45" customHeight="1" x14ac:dyDescent="0.25">
      <c r="A23" s="14" t="s">
        <v>524</v>
      </c>
      <c r="B23" s="20">
        <v>-31804</v>
      </c>
      <c r="C23" s="16" t="s">
        <v>537</v>
      </c>
    </row>
    <row r="24" spans="1:3" s="14" customFormat="1" ht="14.45" customHeight="1" x14ac:dyDescent="0.25">
      <c r="A24" s="14" t="s">
        <v>525</v>
      </c>
      <c r="B24" s="20">
        <v>-39436</v>
      </c>
      <c r="C24" s="16" t="s">
        <v>536</v>
      </c>
    </row>
    <row r="25" spans="1:3" s="14" customFormat="1" ht="14.45" customHeight="1" x14ac:dyDescent="0.25">
      <c r="A25" s="14" t="s">
        <v>526</v>
      </c>
      <c r="B25" s="20">
        <v>-39608</v>
      </c>
      <c r="C25" s="16" t="s">
        <v>536</v>
      </c>
    </row>
    <row r="26" spans="1:3" s="14" customFormat="1" ht="14.45" customHeight="1" x14ac:dyDescent="0.25">
      <c r="A26" s="14" t="s">
        <v>527</v>
      </c>
      <c r="B26" s="20">
        <v>-39694</v>
      </c>
      <c r="C26" s="16" t="s">
        <v>536</v>
      </c>
    </row>
    <row r="27" spans="1:3" s="14" customFormat="1" ht="14.45" customHeight="1" x14ac:dyDescent="0.25">
      <c r="A27" s="14" t="s">
        <v>528</v>
      </c>
      <c r="B27" s="20">
        <v>-41147</v>
      </c>
      <c r="C27" s="16" t="s">
        <v>536</v>
      </c>
    </row>
    <row r="28" spans="1:3" s="14" customFormat="1" ht="14.45" customHeight="1" x14ac:dyDescent="0.25">
      <c r="B28" s="20"/>
      <c r="C28" s="16"/>
    </row>
    <row r="29" spans="1:3" s="14" customFormat="1" ht="14.45" customHeight="1" x14ac:dyDescent="0.25">
      <c r="B29" s="15">
        <f>SUM(B9:B28)</f>
        <v>-564502</v>
      </c>
      <c r="C29" s="16"/>
    </row>
    <row r="30" spans="1:3" s="14" customFormat="1" ht="14.45" customHeight="1" x14ac:dyDescent="0.25">
      <c r="A30" s="14" t="s">
        <v>2</v>
      </c>
      <c r="B30" s="15"/>
      <c r="C30" s="16"/>
    </row>
    <row r="31" spans="1:3" s="14" customFormat="1" ht="14.45" customHeight="1" x14ac:dyDescent="0.25">
      <c r="A31" s="14" t="s">
        <v>529</v>
      </c>
      <c r="B31" s="15">
        <v>20753</v>
      </c>
      <c r="C31" s="16" t="s">
        <v>539</v>
      </c>
    </row>
    <row r="32" spans="1:3" s="14" customFormat="1" ht="14.45" customHeight="1" x14ac:dyDescent="0.25">
      <c r="A32" s="14" t="s">
        <v>530</v>
      </c>
      <c r="B32" s="15">
        <v>21469</v>
      </c>
      <c r="C32" s="16" t="s">
        <v>540</v>
      </c>
    </row>
    <row r="33" spans="1:9" s="14" customFormat="1" ht="14.45" customHeight="1" x14ac:dyDescent="0.25">
      <c r="A33" s="14" t="s">
        <v>531</v>
      </c>
      <c r="B33" s="15">
        <v>22187</v>
      </c>
      <c r="C33" s="16" t="s">
        <v>539</v>
      </c>
    </row>
    <row r="34" spans="1:9" s="14" customFormat="1" ht="14.45" customHeight="1" x14ac:dyDescent="0.25">
      <c r="A34" s="14" t="s">
        <v>532</v>
      </c>
      <c r="B34" s="15">
        <v>22187</v>
      </c>
      <c r="C34" s="16" t="s">
        <v>540</v>
      </c>
    </row>
    <row r="35" spans="1:9" s="14" customFormat="1" ht="14.45" customHeight="1" x14ac:dyDescent="0.25">
      <c r="A35" s="14" t="s">
        <v>533</v>
      </c>
      <c r="B35" s="15">
        <v>22759</v>
      </c>
      <c r="C35" s="16" t="s">
        <v>539</v>
      </c>
    </row>
    <row r="36" spans="1:9" s="14" customFormat="1" ht="14.45" customHeight="1" x14ac:dyDescent="0.25">
      <c r="A36" s="14" t="s">
        <v>534</v>
      </c>
      <c r="B36" s="15">
        <v>31755</v>
      </c>
      <c r="C36" s="16" t="s">
        <v>538</v>
      </c>
    </row>
    <row r="37" spans="1:9" s="14" customFormat="1" ht="14.45" customHeight="1" x14ac:dyDescent="0.25">
      <c r="B37" s="15"/>
      <c r="C37" s="16"/>
    </row>
    <row r="38" spans="1:9" s="16" customFormat="1" ht="14.45" customHeight="1" x14ac:dyDescent="0.25">
      <c r="A38" s="14"/>
      <c r="B38" s="15"/>
    </row>
    <row r="39" spans="1:9" s="16" customFormat="1" ht="14.45" customHeight="1" x14ac:dyDescent="0.25">
      <c r="A39" s="14"/>
      <c r="B39" s="22"/>
      <c r="C39" s="23"/>
      <c r="D39" s="21"/>
      <c r="E39" s="21"/>
      <c r="F39" s="21"/>
      <c r="G39" s="21"/>
    </row>
    <row r="40" spans="1:9" s="16" customFormat="1" ht="14.45" customHeight="1" x14ac:dyDescent="0.25">
      <c r="A40" s="14"/>
      <c r="B40" s="22"/>
      <c r="C40" s="23"/>
      <c r="D40" s="21"/>
      <c r="E40" s="21"/>
      <c r="F40" s="21"/>
      <c r="G40" s="21"/>
    </row>
    <row r="41" spans="1:9" s="16" customFormat="1" ht="14.45" customHeight="1" x14ac:dyDescent="0.25">
      <c r="A41" s="14"/>
      <c r="B41" s="15">
        <f>SUM(B31:B39)</f>
        <v>141110</v>
      </c>
      <c r="D41" s="14"/>
      <c r="E41" s="14"/>
      <c r="F41" s="14"/>
      <c r="G41" s="14"/>
      <c r="H41" s="14"/>
      <c r="I41" s="14"/>
    </row>
    <row r="42" spans="1:9" s="16" customFormat="1" ht="14.45" customHeight="1" x14ac:dyDescent="0.25">
      <c r="A42" s="18" t="s">
        <v>1</v>
      </c>
      <c r="B42" s="19">
        <f>B41+B29</f>
        <v>-423392</v>
      </c>
      <c r="D42" s="14"/>
      <c r="E42" s="14"/>
      <c r="F42" s="14"/>
      <c r="G42" s="14"/>
      <c r="H42" s="14"/>
      <c r="I42" s="14"/>
    </row>
    <row r="43" spans="1:9" s="16" customFormat="1" ht="14.45" customHeight="1" x14ac:dyDescent="0.25">
      <c r="A43" s="14" t="s">
        <v>0</v>
      </c>
      <c r="B43" s="15">
        <f>B42-B7</f>
        <v>0</v>
      </c>
      <c r="D43" s="14"/>
      <c r="E43" s="14"/>
      <c r="F43" s="14"/>
      <c r="G43" s="14"/>
      <c r="H43" s="14"/>
      <c r="I43" s="14"/>
    </row>
    <row r="44" spans="1:9" s="2" customFormat="1" ht="20.100000000000001" customHeight="1" x14ac:dyDescent="0.3">
      <c r="A44" s="1"/>
      <c r="B44" s="3"/>
      <c r="D44" s="1"/>
      <c r="E44" s="1"/>
      <c r="F44" s="1"/>
      <c r="G44" s="1"/>
      <c r="H44" s="1"/>
      <c r="I44" s="1"/>
    </row>
    <row r="45" spans="1:9" s="2" customFormat="1" ht="20.100000000000001" customHeight="1" x14ac:dyDescent="0.3">
      <c r="A45" s="1"/>
      <c r="B45" s="3"/>
      <c r="D45" s="1"/>
      <c r="E45" s="1"/>
      <c r="F45" s="1"/>
      <c r="G45" s="1"/>
      <c r="H45" s="1"/>
      <c r="I45" s="1"/>
    </row>
    <row r="46" spans="1:9" s="2" customFormat="1" ht="20.100000000000001" customHeight="1" x14ac:dyDescent="0.3">
      <c r="A46"/>
      <c r="B46" s="10"/>
      <c r="D46" s="1"/>
      <c r="E46" s="1"/>
      <c r="F46" s="1"/>
      <c r="G46" s="1"/>
      <c r="H46" s="1"/>
      <c r="I46" s="1"/>
    </row>
    <row r="47" spans="1:9" s="2" customFormat="1" ht="20.100000000000001" customHeight="1" x14ac:dyDescent="0.3">
      <c r="A47"/>
      <c r="B47" s="10"/>
      <c r="D47" s="1"/>
      <c r="E47" s="1"/>
      <c r="F47" s="1"/>
      <c r="G47" s="1"/>
      <c r="H47" s="1"/>
      <c r="I47" s="1"/>
    </row>
    <row r="48" spans="1:9" s="2" customFormat="1" ht="20.100000000000001" customHeight="1" x14ac:dyDescent="0.3">
      <c r="A48"/>
      <c r="B48" s="10"/>
      <c r="D48" s="1"/>
      <c r="E48" s="1"/>
      <c r="F48" s="1"/>
      <c r="G48" s="1"/>
      <c r="H48" s="1"/>
      <c r="I48" s="1"/>
    </row>
    <row r="49" spans="1:9" s="2" customFormat="1" ht="20.100000000000001" customHeight="1" x14ac:dyDescent="0.3">
      <c r="A49"/>
      <c r="B49" s="10"/>
      <c r="D49" s="1"/>
      <c r="E49" s="1"/>
      <c r="F49" s="1"/>
      <c r="G49" s="1"/>
      <c r="H49" s="1"/>
      <c r="I49" s="1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3"/>
  <sheetViews>
    <sheetView workbookViewId="0">
      <selection activeCell="A12" sqref="A12:C17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41.710937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5.95" customHeight="1" x14ac:dyDescent="0.25">
      <c r="A1" s="14" t="s">
        <v>304</v>
      </c>
      <c r="B1" s="15"/>
      <c r="C1" s="16"/>
    </row>
    <row r="2" spans="1:3" s="14" customFormat="1" ht="15.95" customHeight="1" x14ac:dyDescent="0.25">
      <c r="A2" s="17">
        <v>43159</v>
      </c>
      <c r="B2" s="15"/>
      <c r="C2" s="16"/>
    </row>
    <row r="3" spans="1:3" s="14" customFormat="1" ht="15.95" customHeight="1" x14ac:dyDescent="0.25">
      <c r="A3" s="14" t="s">
        <v>389</v>
      </c>
      <c r="B3" s="15">
        <v>5715410.5</v>
      </c>
      <c r="C3" s="16"/>
    </row>
    <row r="4" spans="1:3" s="14" customFormat="1" ht="15.95" customHeight="1" x14ac:dyDescent="0.25">
      <c r="A4" s="14" t="s">
        <v>6</v>
      </c>
      <c r="B4" s="15"/>
      <c r="C4" s="16"/>
    </row>
    <row r="5" spans="1:3" s="14" customFormat="1" ht="15.95" customHeight="1" x14ac:dyDescent="0.25">
      <c r="A5" s="14">
        <v>2100</v>
      </c>
      <c r="B5" s="15">
        <v>-5951583.5</v>
      </c>
      <c r="C5" s="16"/>
    </row>
    <row r="6" spans="1:3" s="14" customFormat="1" ht="15.95" customHeight="1" x14ac:dyDescent="0.25">
      <c r="A6" s="14" t="s">
        <v>5</v>
      </c>
      <c r="B6" s="15">
        <f>B5</f>
        <v>-5951583.5</v>
      </c>
      <c r="C6" s="16"/>
    </row>
    <row r="7" spans="1:3" s="14" customFormat="1" ht="15.95" customHeight="1" x14ac:dyDescent="0.25">
      <c r="A7" s="18" t="s">
        <v>4</v>
      </c>
      <c r="B7" s="19">
        <f>SUM(B3+B6)</f>
        <v>-236173</v>
      </c>
      <c r="C7" s="16"/>
    </row>
    <row r="8" spans="1:3" s="14" customFormat="1" ht="15.95" customHeight="1" x14ac:dyDescent="0.25">
      <c r="A8" s="14" t="s">
        <v>3</v>
      </c>
      <c r="B8" s="15"/>
      <c r="C8" s="16"/>
    </row>
    <row r="9" spans="1:3" s="14" customFormat="1" ht="15.95" customHeight="1" x14ac:dyDescent="0.25">
      <c r="A9" s="14" t="s">
        <v>541</v>
      </c>
      <c r="B9" s="15">
        <v>-25362</v>
      </c>
      <c r="C9" s="16" t="s">
        <v>549</v>
      </c>
    </row>
    <row r="10" spans="1:3" s="14" customFormat="1" ht="15.95" customHeight="1" x14ac:dyDescent="0.25">
      <c r="A10" s="14" t="s">
        <v>542</v>
      </c>
      <c r="B10" s="15">
        <v>-25540</v>
      </c>
      <c r="C10" s="16" t="s">
        <v>549</v>
      </c>
    </row>
    <row r="11" spans="1:3" s="14" customFormat="1" ht="15.95" customHeight="1" x14ac:dyDescent="0.25">
      <c r="A11" s="14" t="s">
        <v>543</v>
      </c>
      <c r="B11" s="15">
        <v>-25892</v>
      </c>
      <c r="C11" s="16" t="s">
        <v>549</v>
      </c>
    </row>
    <row r="12" spans="1:3" s="14" customFormat="1" ht="15.95" customHeight="1" x14ac:dyDescent="0.25">
      <c r="A12" s="14" t="s">
        <v>544</v>
      </c>
      <c r="B12" s="15">
        <v>-27824</v>
      </c>
      <c r="C12" s="16" t="s">
        <v>549</v>
      </c>
    </row>
    <row r="13" spans="1:3" s="14" customFormat="1" ht="15.95" customHeight="1" x14ac:dyDescent="0.25">
      <c r="A13" s="14" t="s">
        <v>545</v>
      </c>
      <c r="B13" s="15">
        <v>-29626</v>
      </c>
      <c r="C13" s="16" t="s">
        <v>549</v>
      </c>
    </row>
    <row r="14" spans="1:3" s="14" customFormat="1" ht="15.95" customHeight="1" x14ac:dyDescent="0.25">
      <c r="A14" s="14" t="s">
        <v>546</v>
      </c>
      <c r="B14" s="15">
        <v>-30156</v>
      </c>
      <c r="C14" s="16" t="s">
        <v>550</v>
      </c>
    </row>
    <row r="15" spans="1:3" s="14" customFormat="1" ht="15.95" customHeight="1" x14ac:dyDescent="0.25">
      <c r="A15" s="14" t="s">
        <v>548</v>
      </c>
      <c r="B15" s="15">
        <v>-32302</v>
      </c>
      <c r="C15" s="16" t="s">
        <v>549</v>
      </c>
    </row>
    <row r="16" spans="1:3" s="14" customFormat="1" ht="15.95" customHeight="1" x14ac:dyDescent="0.25">
      <c r="A16" s="14" t="s">
        <v>547</v>
      </c>
      <c r="B16" s="15">
        <v>-39471</v>
      </c>
      <c r="C16" s="16" t="s">
        <v>549</v>
      </c>
    </row>
    <row r="17" spans="1:9" s="14" customFormat="1" ht="15.95" customHeight="1" x14ac:dyDescent="0.25">
      <c r="B17" s="15"/>
      <c r="C17" s="16"/>
    </row>
    <row r="18" spans="1:9" s="14" customFormat="1" ht="15.95" customHeight="1" x14ac:dyDescent="0.25">
      <c r="B18" s="15"/>
      <c r="C18" s="16"/>
    </row>
    <row r="19" spans="1:9" s="14" customFormat="1" ht="15.95" customHeight="1" x14ac:dyDescent="0.25">
      <c r="B19" s="15"/>
      <c r="C19" s="16"/>
    </row>
    <row r="20" spans="1:9" s="14" customFormat="1" ht="15.95" customHeight="1" x14ac:dyDescent="0.25">
      <c r="B20" s="15">
        <f>SUM(B9:B19)</f>
        <v>-236173</v>
      </c>
      <c r="C20" s="16"/>
    </row>
    <row r="21" spans="1:9" s="14" customFormat="1" ht="15.95" customHeight="1" x14ac:dyDescent="0.25">
      <c r="A21" s="14" t="s">
        <v>2</v>
      </c>
      <c r="B21" s="15"/>
      <c r="C21" s="16"/>
    </row>
    <row r="22" spans="1:9" s="14" customFormat="1" ht="15.95" customHeight="1" x14ac:dyDescent="0.25">
      <c r="B22" s="15"/>
      <c r="C22" s="16"/>
    </row>
    <row r="23" spans="1:9" s="14" customFormat="1" ht="15.95" customHeight="1" x14ac:dyDescent="0.25">
      <c r="B23" s="15"/>
      <c r="C23" s="16"/>
    </row>
    <row r="24" spans="1:9" s="16" customFormat="1" ht="15.95" customHeight="1" x14ac:dyDescent="0.25">
      <c r="A24" s="14"/>
      <c r="B24" s="22"/>
      <c r="C24" s="23"/>
      <c r="D24" s="21"/>
      <c r="E24" s="21"/>
      <c r="F24" s="21"/>
      <c r="G24" s="21"/>
    </row>
    <row r="25" spans="1:9" s="16" customFormat="1" ht="15.95" customHeight="1" x14ac:dyDescent="0.25">
      <c r="A25" s="14"/>
      <c r="B25" s="15">
        <f>SUM(B22:B23)</f>
        <v>0</v>
      </c>
      <c r="D25" s="14"/>
      <c r="E25" s="14"/>
      <c r="F25" s="14"/>
      <c r="G25" s="14"/>
      <c r="H25" s="14"/>
      <c r="I25" s="14"/>
    </row>
    <row r="26" spans="1:9" s="16" customFormat="1" ht="15.95" customHeight="1" x14ac:dyDescent="0.25">
      <c r="A26" s="18" t="s">
        <v>1</v>
      </c>
      <c r="B26" s="19">
        <f>B25+B20</f>
        <v>-236173</v>
      </c>
      <c r="D26" s="14"/>
      <c r="E26" s="14"/>
      <c r="F26" s="14"/>
      <c r="G26" s="14"/>
      <c r="H26" s="14"/>
      <c r="I26" s="14"/>
    </row>
    <row r="27" spans="1:9" s="16" customFormat="1" ht="15.95" customHeight="1" x14ac:dyDescent="0.25">
      <c r="A27" s="14" t="s">
        <v>0</v>
      </c>
      <c r="B27" s="15">
        <f>B26-B7</f>
        <v>0</v>
      </c>
      <c r="D27" s="14"/>
      <c r="E27" s="14"/>
      <c r="F27" s="14"/>
      <c r="G27" s="14"/>
      <c r="H27" s="14"/>
      <c r="I27" s="14"/>
    </row>
    <row r="28" spans="1:9" s="2" customFormat="1" ht="20.100000000000001" customHeight="1" x14ac:dyDescent="0.3">
      <c r="A28" s="1"/>
      <c r="B28" s="3"/>
      <c r="D28" s="1"/>
      <c r="E28" s="1"/>
      <c r="F28" s="1"/>
      <c r="G28" s="1"/>
      <c r="H28" s="1"/>
      <c r="I28" s="1"/>
    </row>
    <row r="29" spans="1:9" s="2" customFormat="1" ht="20.100000000000001" customHeight="1" x14ac:dyDescent="0.3">
      <c r="A29" s="1"/>
      <c r="B29" s="3"/>
      <c r="D29" s="1"/>
      <c r="E29" s="1"/>
      <c r="F29" s="1"/>
      <c r="G29" s="1"/>
      <c r="H29" s="1"/>
      <c r="I29" s="1"/>
    </row>
    <row r="30" spans="1:9" s="2" customFormat="1" ht="20.100000000000001" customHeight="1" x14ac:dyDescent="0.3">
      <c r="A30"/>
      <c r="B30" s="10"/>
      <c r="D30" s="1"/>
      <c r="E30" s="1"/>
      <c r="F30" s="1"/>
      <c r="G30" s="1"/>
      <c r="H30" s="1"/>
      <c r="I30" s="1"/>
    </row>
    <row r="31" spans="1:9" s="2" customFormat="1" ht="20.100000000000001" customHeight="1" x14ac:dyDescent="0.3">
      <c r="A31"/>
      <c r="B31" s="10"/>
      <c r="D31" s="1"/>
      <c r="E31" s="1"/>
      <c r="F31" s="1"/>
      <c r="G31" s="1"/>
      <c r="H31" s="1"/>
      <c r="I31" s="1"/>
    </row>
    <row r="32" spans="1:9" s="2" customFormat="1" ht="20.100000000000001" customHeight="1" x14ac:dyDescent="0.3">
      <c r="A32"/>
      <c r="B32" s="10"/>
      <c r="D32" s="1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1"/>
      <c r="E33" s="1"/>
      <c r="F33" s="1"/>
      <c r="G33" s="1"/>
      <c r="H33" s="1"/>
      <c r="I33" s="1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40"/>
  <sheetViews>
    <sheetView workbookViewId="0">
      <selection activeCell="C30" sqref="C30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41.710937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5.95" customHeight="1" x14ac:dyDescent="0.25">
      <c r="A1" s="14" t="s">
        <v>304</v>
      </c>
      <c r="B1" s="15"/>
      <c r="C1" s="16"/>
    </row>
    <row r="2" spans="1:3" s="14" customFormat="1" ht="15.95" customHeight="1" x14ac:dyDescent="0.25">
      <c r="A2" s="17">
        <v>43190</v>
      </c>
      <c r="B2" s="15"/>
      <c r="C2" s="16"/>
    </row>
    <row r="3" spans="1:3" s="14" customFormat="1" ht="15.95" customHeight="1" x14ac:dyDescent="0.25">
      <c r="A3" s="14" t="s">
        <v>389</v>
      </c>
      <c r="B3" s="15">
        <v>4978204</v>
      </c>
      <c r="C3" s="16"/>
    </row>
    <row r="4" spans="1:3" s="14" customFormat="1" ht="15.95" customHeight="1" x14ac:dyDescent="0.25">
      <c r="A4" s="14" t="s">
        <v>6</v>
      </c>
      <c r="B4" s="15"/>
      <c r="C4" s="16"/>
    </row>
    <row r="5" spans="1:3" s="14" customFormat="1" ht="15.95" customHeight="1" x14ac:dyDescent="0.25">
      <c r="A5" s="14">
        <v>2100</v>
      </c>
      <c r="B5" s="15">
        <v>-5280991</v>
      </c>
      <c r="C5" s="16"/>
    </row>
    <row r="6" spans="1:3" s="14" customFormat="1" ht="15.95" customHeight="1" x14ac:dyDescent="0.25">
      <c r="A6" s="14" t="s">
        <v>5</v>
      </c>
      <c r="B6" s="15">
        <f>B5</f>
        <v>-5280991</v>
      </c>
      <c r="C6" s="16"/>
    </row>
    <row r="7" spans="1:3" s="14" customFormat="1" ht="15.95" customHeight="1" x14ac:dyDescent="0.25">
      <c r="A7" s="18" t="s">
        <v>4</v>
      </c>
      <c r="B7" s="19">
        <f>SUM(B3+B6)</f>
        <v>-302787</v>
      </c>
      <c r="C7" s="16"/>
    </row>
    <row r="8" spans="1:3" s="14" customFormat="1" ht="15.95" customHeight="1" x14ac:dyDescent="0.25">
      <c r="A8" s="14" t="s">
        <v>3</v>
      </c>
      <c r="B8" s="15"/>
      <c r="C8" s="16"/>
    </row>
    <row r="9" spans="1:3" s="14" customFormat="1" ht="15.95" customHeight="1" x14ac:dyDescent="0.25">
      <c r="A9" s="14" t="s">
        <v>551</v>
      </c>
      <c r="B9" s="15">
        <v>-22657</v>
      </c>
      <c r="C9" s="16" t="s">
        <v>564</v>
      </c>
    </row>
    <row r="10" spans="1:3" s="14" customFormat="1" ht="15.95" customHeight="1" x14ac:dyDescent="0.25">
      <c r="A10" s="14" t="s">
        <v>552</v>
      </c>
      <c r="B10" s="15">
        <v>-22923</v>
      </c>
      <c r="C10" s="16" t="s">
        <v>564</v>
      </c>
    </row>
    <row r="11" spans="1:3" s="14" customFormat="1" ht="15.95" customHeight="1" x14ac:dyDescent="0.25">
      <c r="A11" s="14" t="s">
        <v>553</v>
      </c>
      <c r="B11" s="15">
        <v>-24806</v>
      </c>
      <c r="C11" s="16" t="s">
        <v>565</v>
      </c>
    </row>
    <row r="12" spans="1:3" s="14" customFormat="1" ht="15.95" customHeight="1" x14ac:dyDescent="0.25">
      <c r="A12" s="14" t="s">
        <v>562</v>
      </c>
      <c r="B12" s="15">
        <v>-26756</v>
      </c>
      <c r="C12" s="16" t="s">
        <v>564</v>
      </c>
    </row>
    <row r="13" spans="1:3" s="14" customFormat="1" ht="15.95" customHeight="1" x14ac:dyDescent="0.25">
      <c r="A13" s="14" t="s">
        <v>554</v>
      </c>
      <c r="B13" s="15">
        <v>-27091</v>
      </c>
      <c r="C13" s="16" t="s">
        <v>566</v>
      </c>
    </row>
    <row r="14" spans="1:3" s="14" customFormat="1" ht="15.95" customHeight="1" x14ac:dyDescent="0.25">
      <c r="A14" s="14" t="s">
        <v>555</v>
      </c>
      <c r="B14" s="15">
        <v>-27108</v>
      </c>
      <c r="C14" s="16" t="s">
        <v>567</v>
      </c>
    </row>
    <row r="15" spans="1:3" s="14" customFormat="1" ht="15.95" customHeight="1" x14ac:dyDescent="0.25">
      <c r="A15" s="14" t="s">
        <v>556</v>
      </c>
      <c r="B15" s="15">
        <v>-27646</v>
      </c>
      <c r="C15" s="16" t="s">
        <v>568</v>
      </c>
    </row>
    <row r="16" spans="1:3" s="14" customFormat="1" ht="15.95" customHeight="1" x14ac:dyDescent="0.25">
      <c r="A16" s="14" t="s">
        <v>557</v>
      </c>
      <c r="B16" s="15">
        <v>-27646</v>
      </c>
      <c r="C16" s="16" t="s">
        <v>568</v>
      </c>
    </row>
    <row r="17" spans="1:9" s="14" customFormat="1" ht="15.95" customHeight="1" x14ac:dyDescent="0.25">
      <c r="A17" s="14" t="s">
        <v>558</v>
      </c>
      <c r="B17" s="15">
        <v>-27913</v>
      </c>
      <c r="C17" s="16" t="s">
        <v>564</v>
      </c>
    </row>
    <row r="18" spans="1:9" s="14" customFormat="1" ht="15.95" customHeight="1" x14ac:dyDescent="0.25">
      <c r="A18" s="14" t="s">
        <v>559</v>
      </c>
      <c r="B18" s="15">
        <v>-28176</v>
      </c>
      <c r="C18" s="16" t="s">
        <v>568</v>
      </c>
    </row>
    <row r="19" spans="1:9" s="14" customFormat="1" ht="15.95" customHeight="1" x14ac:dyDescent="0.25">
      <c r="A19" s="14" t="s">
        <v>563</v>
      </c>
      <c r="B19" s="15">
        <v>-29893</v>
      </c>
      <c r="C19" s="16" t="s">
        <v>567</v>
      </c>
    </row>
    <row r="20" spans="1:9" s="14" customFormat="1" ht="15.95" customHeight="1" x14ac:dyDescent="0.25">
      <c r="A20" s="14" t="s">
        <v>560</v>
      </c>
      <c r="B20" s="15">
        <v>-31398</v>
      </c>
      <c r="C20" s="16" t="s">
        <v>568</v>
      </c>
    </row>
    <row r="21" spans="1:9" s="14" customFormat="1" ht="15.95" customHeight="1" x14ac:dyDescent="0.25">
      <c r="B21" s="15"/>
      <c r="C21" s="16"/>
    </row>
    <row r="22" spans="1:9" s="14" customFormat="1" ht="15.95" customHeight="1" x14ac:dyDescent="0.25">
      <c r="B22" s="15"/>
      <c r="C22" s="16"/>
    </row>
    <row r="23" spans="1:9" s="14" customFormat="1" ht="15.95" customHeight="1" x14ac:dyDescent="0.25">
      <c r="B23" s="15"/>
      <c r="C23" s="16"/>
    </row>
    <row r="24" spans="1:9" s="14" customFormat="1" ht="15.95" customHeight="1" x14ac:dyDescent="0.25">
      <c r="B24" s="15"/>
      <c r="C24" s="16"/>
    </row>
    <row r="25" spans="1:9" s="14" customFormat="1" ht="15.95" customHeight="1" x14ac:dyDescent="0.25">
      <c r="B25" s="15"/>
      <c r="C25" s="16"/>
    </row>
    <row r="26" spans="1:9" s="14" customFormat="1" ht="15.95" customHeight="1" x14ac:dyDescent="0.25">
      <c r="B26" s="15"/>
      <c r="C26" s="16"/>
    </row>
    <row r="27" spans="1:9" s="14" customFormat="1" ht="15.95" customHeight="1" x14ac:dyDescent="0.25">
      <c r="B27" s="15">
        <f>SUM(B9:B26)</f>
        <v>-324013</v>
      </c>
      <c r="C27" s="16"/>
    </row>
    <row r="28" spans="1:9" s="14" customFormat="1" ht="15.95" customHeight="1" x14ac:dyDescent="0.25">
      <c r="A28" s="14" t="s">
        <v>2</v>
      </c>
      <c r="B28" s="15"/>
      <c r="C28" s="16"/>
    </row>
    <row r="29" spans="1:9" s="14" customFormat="1" ht="15.95" customHeight="1" x14ac:dyDescent="0.25">
      <c r="A29" s="14" t="s">
        <v>561</v>
      </c>
      <c r="B29" s="15">
        <v>21226</v>
      </c>
      <c r="C29" s="16" t="s">
        <v>569</v>
      </c>
    </row>
    <row r="30" spans="1:9" s="14" customFormat="1" ht="15.95" customHeight="1" x14ac:dyDescent="0.25">
      <c r="B30" s="15"/>
      <c r="C30" s="16"/>
    </row>
    <row r="31" spans="1:9" s="16" customFormat="1" ht="15.95" customHeight="1" x14ac:dyDescent="0.25">
      <c r="A31" s="14"/>
      <c r="B31" s="22"/>
      <c r="C31" s="23"/>
      <c r="D31" s="21"/>
      <c r="E31" s="21"/>
      <c r="F31" s="21"/>
      <c r="G31" s="21"/>
    </row>
    <row r="32" spans="1:9" s="16" customFormat="1" ht="15.95" customHeight="1" x14ac:dyDescent="0.25">
      <c r="A32" s="14"/>
      <c r="B32" s="15">
        <f>SUM(B29:B30)</f>
        <v>21226</v>
      </c>
      <c r="D32" s="14"/>
      <c r="E32" s="14"/>
      <c r="F32" s="14"/>
      <c r="G32" s="14"/>
      <c r="H32" s="14"/>
      <c r="I32" s="14"/>
    </row>
    <row r="33" spans="1:9" s="16" customFormat="1" ht="15.95" customHeight="1" x14ac:dyDescent="0.25">
      <c r="A33" s="18" t="s">
        <v>1</v>
      </c>
      <c r="B33" s="19">
        <f>B32+B27</f>
        <v>-302787</v>
      </c>
      <c r="D33" s="14"/>
      <c r="E33" s="14"/>
      <c r="F33" s="14"/>
      <c r="G33" s="14"/>
      <c r="H33" s="14"/>
      <c r="I33" s="14"/>
    </row>
    <row r="34" spans="1:9" s="16" customFormat="1" ht="15.95" customHeight="1" x14ac:dyDescent="0.25">
      <c r="A34" s="14" t="s">
        <v>0</v>
      </c>
      <c r="B34" s="15">
        <f>B33-B7</f>
        <v>0</v>
      </c>
      <c r="D34" s="14"/>
      <c r="E34" s="14"/>
      <c r="F34" s="14"/>
      <c r="G34" s="14"/>
      <c r="H34" s="14"/>
      <c r="I34" s="14"/>
    </row>
    <row r="35" spans="1:9" s="2" customFormat="1" ht="20.100000000000001" customHeight="1" x14ac:dyDescent="0.3">
      <c r="A35" s="1"/>
      <c r="B35" s="3"/>
      <c r="D35" s="1"/>
      <c r="E35" s="1"/>
      <c r="F35" s="1"/>
      <c r="G35" s="1"/>
      <c r="H35" s="1"/>
      <c r="I35" s="1"/>
    </row>
    <row r="36" spans="1:9" s="2" customFormat="1" ht="20.100000000000001" customHeight="1" x14ac:dyDescent="0.3">
      <c r="A36" s="1"/>
      <c r="B36" s="3"/>
      <c r="D36" s="1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1"/>
      <c r="E37" s="1"/>
      <c r="F37" s="1"/>
      <c r="G37" s="1"/>
      <c r="H37" s="1"/>
      <c r="I37" s="1"/>
    </row>
    <row r="38" spans="1:9" s="2" customFormat="1" ht="20.100000000000001" customHeight="1" x14ac:dyDescent="0.3">
      <c r="A38"/>
      <c r="B38" s="10"/>
      <c r="D38" s="1"/>
      <c r="E38" s="1"/>
      <c r="F38" s="1"/>
      <c r="G38" s="1"/>
      <c r="H38" s="1"/>
      <c r="I38" s="1"/>
    </row>
    <row r="39" spans="1:9" s="2" customFormat="1" ht="20.100000000000001" customHeight="1" x14ac:dyDescent="0.3">
      <c r="A39"/>
      <c r="B39" s="10"/>
      <c r="D39" s="1"/>
      <c r="E39" s="1"/>
      <c r="F39" s="1"/>
      <c r="G39" s="1"/>
      <c r="H39" s="1"/>
      <c r="I39" s="1"/>
    </row>
    <row r="40" spans="1:9" s="2" customFormat="1" ht="20.100000000000001" customHeight="1" x14ac:dyDescent="0.3">
      <c r="A40"/>
      <c r="B40" s="10"/>
      <c r="D40" s="1"/>
      <c r="E40" s="1"/>
      <c r="F40" s="1"/>
      <c r="G40" s="1"/>
      <c r="H40" s="1"/>
      <c r="I40" s="1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38"/>
  <sheetViews>
    <sheetView topLeftCell="A19" workbookViewId="0">
      <selection activeCell="A25" sqref="A25:XFD26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41.710937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5.95" customHeight="1" x14ac:dyDescent="0.25">
      <c r="A1" s="14" t="s">
        <v>304</v>
      </c>
      <c r="B1" s="15"/>
      <c r="C1" s="16"/>
    </row>
    <row r="2" spans="1:3" s="14" customFormat="1" ht="15.95" customHeight="1" x14ac:dyDescent="0.25">
      <c r="A2" s="17">
        <v>43220</v>
      </c>
      <c r="B2" s="15"/>
      <c r="C2" s="16"/>
    </row>
    <row r="3" spans="1:3" s="14" customFormat="1" ht="15.95" customHeight="1" x14ac:dyDescent="0.25">
      <c r="A3" s="14" t="s">
        <v>389</v>
      </c>
      <c r="B3" s="15">
        <v>5402825.4000000004</v>
      </c>
      <c r="C3" s="16"/>
    </row>
    <row r="4" spans="1:3" s="14" customFormat="1" ht="15.95" customHeight="1" x14ac:dyDescent="0.25">
      <c r="A4" s="14" t="s">
        <v>6</v>
      </c>
      <c r="B4" s="15"/>
      <c r="C4" s="16"/>
    </row>
    <row r="5" spans="1:3" s="14" customFormat="1" ht="15.95" customHeight="1" x14ac:dyDescent="0.25">
      <c r="A5" s="14">
        <v>2100</v>
      </c>
      <c r="B5" s="15">
        <v>-5804400.4000000004</v>
      </c>
      <c r="C5" s="16"/>
    </row>
    <row r="6" spans="1:3" s="14" customFormat="1" ht="15.95" customHeight="1" x14ac:dyDescent="0.25">
      <c r="A6" s="14" t="s">
        <v>5</v>
      </c>
      <c r="B6" s="15">
        <f>B5</f>
        <v>-5804400.4000000004</v>
      </c>
      <c r="C6" s="16"/>
    </row>
    <row r="7" spans="1:3" s="14" customFormat="1" ht="15.95" customHeight="1" x14ac:dyDescent="0.25">
      <c r="A7" s="18" t="s">
        <v>4</v>
      </c>
      <c r="B7" s="19">
        <f>SUM(B3+B6)</f>
        <v>-401575</v>
      </c>
      <c r="C7" s="16"/>
    </row>
    <row r="8" spans="1:3" s="14" customFormat="1" ht="15.95" customHeight="1" x14ac:dyDescent="0.25">
      <c r="A8" s="14" t="s">
        <v>3</v>
      </c>
      <c r="B8" s="15"/>
      <c r="C8" s="16"/>
    </row>
    <row r="9" spans="1:3" s="14" customFormat="1" ht="15.95" customHeight="1" x14ac:dyDescent="0.25">
      <c r="A9" s="14" t="s">
        <v>570</v>
      </c>
      <c r="B9" s="15">
        <v>-22474</v>
      </c>
      <c r="C9" s="16" t="s">
        <v>588</v>
      </c>
    </row>
    <row r="10" spans="1:3" s="14" customFormat="1" ht="15.95" customHeight="1" x14ac:dyDescent="0.25">
      <c r="A10" s="14" t="s">
        <v>571</v>
      </c>
      <c r="B10" s="15">
        <v>-25362</v>
      </c>
      <c r="C10" s="16" t="s">
        <v>433</v>
      </c>
    </row>
    <row r="11" spans="1:3" s="14" customFormat="1" ht="15.95" customHeight="1" x14ac:dyDescent="0.25">
      <c r="A11" s="14" t="s">
        <v>572</v>
      </c>
      <c r="B11" s="15">
        <v>-25540</v>
      </c>
      <c r="C11" s="16" t="s">
        <v>590</v>
      </c>
    </row>
    <row r="12" spans="1:3" s="14" customFormat="1" ht="15.95" customHeight="1" x14ac:dyDescent="0.25">
      <c r="A12" s="14" t="s">
        <v>573</v>
      </c>
      <c r="B12" s="15">
        <v>-27646</v>
      </c>
      <c r="C12" s="16" t="s">
        <v>433</v>
      </c>
    </row>
    <row r="13" spans="1:3" s="14" customFormat="1" ht="15.95" customHeight="1" x14ac:dyDescent="0.25">
      <c r="A13" s="14" t="s">
        <v>574</v>
      </c>
      <c r="B13" s="15">
        <v>-27913</v>
      </c>
      <c r="C13" s="16" t="s">
        <v>588</v>
      </c>
    </row>
    <row r="14" spans="1:3" s="14" customFormat="1" ht="15.95" customHeight="1" x14ac:dyDescent="0.25">
      <c r="A14" s="14" t="s">
        <v>575</v>
      </c>
      <c r="B14" s="15">
        <v>-27913</v>
      </c>
      <c r="C14" s="16" t="s">
        <v>588</v>
      </c>
    </row>
    <row r="15" spans="1:3" s="14" customFormat="1" ht="15.95" customHeight="1" x14ac:dyDescent="0.25">
      <c r="A15" s="14" t="s">
        <v>576</v>
      </c>
      <c r="B15" s="15">
        <v>-27913</v>
      </c>
      <c r="C15" s="16" t="s">
        <v>588</v>
      </c>
    </row>
    <row r="16" spans="1:3" s="14" customFormat="1" ht="15.95" customHeight="1" x14ac:dyDescent="0.25">
      <c r="A16" s="14" t="s">
        <v>577</v>
      </c>
      <c r="B16" s="15">
        <v>-27913</v>
      </c>
      <c r="C16" s="16" t="s">
        <v>589</v>
      </c>
    </row>
    <row r="17" spans="1:9" s="14" customFormat="1" ht="15.95" customHeight="1" x14ac:dyDescent="0.25">
      <c r="A17" s="14" t="s">
        <v>578</v>
      </c>
      <c r="B17" s="15">
        <v>-28915</v>
      </c>
      <c r="C17" s="16" t="s">
        <v>588</v>
      </c>
    </row>
    <row r="18" spans="1:9" s="14" customFormat="1" ht="15.95" customHeight="1" x14ac:dyDescent="0.25">
      <c r="A18" s="14" t="s">
        <v>579</v>
      </c>
      <c r="B18" s="15">
        <v>-29626</v>
      </c>
      <c r="C18" s="16" t="s">
        <v>588</v>
      </c>
    </row>
    <row r="19" spans="1:9" s="14" customFormat="1" ht="15.95" customHeight="1" x14ac:dyDescent="0.25">
      <c r="A19" s="14" t="s">
        <v>587</v>
      </c>
      <c r="B19" s="15">
        <v>-29804</v>
      </c>
      <c r="C19" s="16" t="s">
        <v>588</v>
      </c>
    </row>
    <row r="20" spans="1:9" s="14" customFormat="1" ht="15.95" customHeight="1" x14ac:dyDescent="0.25">
      <c r="A20" s="14" t="s">
        <v>580</v>
      </c>
      <c r="B20" s="15">
        <v>-30868</v>
      </c>
      <c r="C20" s="16" t="s">
        <v>589</v>
      </c>
    </row>
    <row r="21" spans="1:9" s="14" customFormat="1" ht="15.95" customHeight="1" x14ac:dyDescent="0.25">
      <c r="A21" s="14" t="s">
        <v>581</v>
      </c>
      <c r="B21" s="15">
        <v>-31135</v>
      </c>
      <c r="C21" s="16" t="s">
        <v>433</v>
      </c>
    </row>
    <row r="22" spans="1:9" s="14" customFormat="1" ht="15.95" customHeight="1" x14ac:dyDescent="0.25">
      <c r="A22" s="14" t="s">
        <v>582</v>
      </c>
      <c r="B22" s="15">
        <v>-31975</v>
      </c>
      <c r="C22" s="16" t="s">
        <v>588</v>
      </c>
    </row>
    <row r="23" spans="1:9" s="14" customFormat="1" ht="15.95" customHeight="1" x14ac:dyDescent="0.25">
      <c r="A23" s="14" t="s">
        <v>583</v>
      </c>
      <c r="B23" s="15">
        <v>-32448</v>
      </c>
      <c r="C23" s="16" t="s">
        <v>433</v>
      </c>
    </row>
    <row r="24" spans="1:9" s="14" customFormat="1" ht="15.95" customHeight="1" x14ac:dyDescent="0.25">
      <c r="A24" s="14" t="s">
        <v>584</v>
      </c>
      <c r="B24" s="15">
        <v>-34141</v>
      </c>
      <c r="C24" s="16" t="s">
        <v>589</v>
      </c>
    </row>
    <row r="25" spans="1:9" s="14" customFormat="1" ht="15.95" customHeight="1" x14ac:dyDescent="0.25">
      <c r="B25" s="15">
        <f>SUM(B9:B24)</f>
        <v>-461586</v>
      </c>
      <c r="C25" s="16"/>
    </row>
    <row r="26" spans="1:9" s="14" customFormat="1" ht="15.95" customHeight="1" x14ac:dyDescent="0.25">
      <c r="A26" s="14" t="s">
        <v>2</v>
      </c>
      <c r="B26" s="15"/>
      <c r="C26" s="16"/>
    </row>
    <row r="27" spans="1:9" s="14" customFormat="1" ht="15.95" customHeight="1" x14ac:dyDescent="0.25">
      <c r="A27" s="14" t="s">
        <v>586</v>
      </c>
      <c r="B27" s="15">
        <v>28876</v>
      </c>
      <c r="C27" s="16" t="s">
        <v>591</v>
      </c>
    </row>
    <row r="28" spans="1:9" s="14" customFormat="1" ht="15.95" customHeight="1" x14ac:dyDescent="0.25">
      <c r="A28" s="14" t="s">
        <v>585</v>
      </c>
      <c r="B28" s="15">
        <v>31135</v>
      </c>
      <c r="C28" s="16" t="s">
        <v>592</v>
      </c>
    </row>
    <row r="29" spans="1:9" s="16" customFormat="1" ht="15.95" customHeight="1" x14ac:dyDescent="0.25">
      <c r="A29" s="14"/>
      <c r="B29" s="22"/>
      <c r="C29" s="23"/>
      <c r="D29" s="21"/>
      <c r="E29" s="21"/>
      <c r="F29" s="21"/>
      <c r="G29" s="21"/>
    </row>
    <row r="30" spans="1:9" s="16" customFormat="1" ht="15.95" customHeight="1" x14ac:dyDescent="0.25">
      <c r="A30" s="14"/>
      <c r="B30" s="15">
        <f>SUM(B27:B28)</f>
        <v>60011</v>
      </c>
      <c r="D30" s="14"/>
      <c r="E30" s="14"/>
      <c r="F30" s="14"/>
      <c r="G30" s="14"/>
      <c r="H30" s="14"/>
      <c r="I30" s="14"/>
    </row>
    <row r="31" spans="1:9" s="16" customFormat="1" ht="15.95" customHeight="1" x14ac:dyDescent="0.25">
      <c r="A31" s="18" t="s">
        <v>1</v>
      </c>
      <c r="B31" s="19">
        <f>B30+B25</f>
        <v>-401575</v>
      </c>
      <c r="D31" s="14"/>
      <c r="E31" s="14"/>
      <c r="F31" s="14"/>
      <c r="G31" s="14"/>
      <c r="H31" s="14"/>
      <c r="I31" s="14"/>
    </row>
    <row r="32" spans="1:9" s="16" customFormat="1" ht="15.95" customHeight="1" x14ac:dyDescent="0.25">
      <c r="A32" s="14" t="s">
        <v>0</v>
      </c>
      <c r="B32" s="15">
        <f>B31-B7</f>
        <v>0</v>
      </c>
      <c r="D32" s="14"/>
      <c r="E32" s="14"/>
      <c r="F32" s="14"/>
      <c r="G32" s="14"/>
      <c r="H32" s="14"/>
      <c r="I32" s="14"/>
    </row>
    <row r="33" spans="1:9" s="2" customFormat="1" ht="20.100000000000001" customHeight="1" x14ac:dyDescent="0.3">
      <c r="A33" s="1"/>
      <c r="B33" s="3"/>
      <c r="D33" s="1"/>
      <c r="E33" s="1"/>
      <c r="F33" s="1"/>
      <c r="G33" s="1"/>
      <c r="H33" s="1"/>
      <c r="I33" s="1"/>
    </row>
    <row r="34" spans="1:9" s="2" customFormat="1" ht="20.100000000000001" customHeight="1" x14ac:dyDescent="0.3">
      <c r="A34" s="1"/>
      <c r="B34" s="3"/>
      <c r="D34" s="1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1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1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1"/>
      <c r="E37" s="1"/>
      <c r="F37" s="1"/>
      <c r="G37" s="1"/>
      <c r="H37" s="1"/>
      <c r="I37" s="1"/>
    </row>
    <row r="38" spans="1:9" s="2" customFormat="1" ht="20.100000000000001" customHeight="1" x14ac:dyDescent="0.3">
      <c r="A38"/>
      <c r="B38" s="10"/>
      <c r="D38" s="1"/>
      <c r="E38" s="1"/>
      <c r="F38" s="1"/>
      <c r="G38" s="1"/>
      <c r="H38" s="1"/>
      <c r="I38" s="1"/>
    </row>
  </sheetData>
  <pageMargins left="0.7" right="0.7" top="0.75" bottom="0.75" header="0.3" footer="0.3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38"/>
  <sheetViews>
    <sheetView workbookViewId="0">
      <selection activeCell="C16" sqref="C16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41.710937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5.95" customHeight="1" x14ac:dyDescent="0.25">
      <c r="A1" s="14" t="s">
        <v>304</v>
      </c>
      <c r="B1" s="15"/>
      <c r="C1" s="16"/>
    </row>
    <row r="2" spans="1:3" s="14" customFormat="1" ht="15.95" customHeight="1" x14ac:dyDescent="0.25">
      <c r="A2" s="17">
        <v>43251</v>
      </c>
      <c r="B2" s="15"/>
      <c r="C2" s="16"/>
    </row>
    <row r="3" spans="1:3" s="14" customFormat="1" ht="15.95" customHeight="1" x14ac:dyDescent="0.25">
      <c r="A3" s="14" t="s">
        <v>389</v>
      </c>
      <c r="B3" s="15">
        <v>5994598.7999999998</v>
      </c>
      <c r="C3" s="16"/>
    </row>
    <row r="4" spans="1:3" s="14" customFormat="1" ht="15.95" customHeight="1" x14ac:dyDescent="0.25">
      <c r="A4" s="14" t="s">
        <v>6</v>
      </c>
      <c r="B4" s="15"/>
      <c r="C4" s="16"/>
    </row>
    <row r="5" spans="1:3" s="14" customFormat="1" ht="15.95" customHeight="1" x14ac:dyDescent="0.25">
      <c r="A5" s="14">
        <v>2100</v>
      </c>
      <c r="B5" s="15">
        <v>-6194304.7999999998</v>
      </c>
      <c r="C5" s="16"/>
    </row>
    <row r="6" spans="1:3" s="14" customFormat="1" ht="15.95" customHeight="1" x14ac:dyDescent="0.25">
      <c r="A6" s="14" t="s">
        <v>5</v>
      </c>
      <c r="B6" s="15">
        <f>B5</f>
        <v>-6194304.7999999998</v>
      </c>
      <c r="C6" s="16"/>
    </row>
    <row r="7" spans="1:3" s="14" customFormat="1" ht="15.95" customHeight="1" x14ac:dyDescent="0.25">
      <c r="A7" s="18" t="s">
        <v>4</v>
      </c>
      <c r="B7" s="19">
        <f>SUM(B3+B6)</f>
        <v>-199706</v>
      </c>
      <c r="C7" s="16"/>
    </row>
    <row r="8" spans="1:3" s="14" customFormat="1" ht="15.95" customHeight="1" x14ac:dyDescent="0.25">
      <c r="A8" s="14" t="s">
        <v>3</v>
      </c>
      <c r="B8" s="15"/>
      <c r="C8" s="16"/>
    </row>
    <row r="9" spans="1:3" s="14" customFormat="1" ht="15.95" customHeight="1" x14ac:dyDescent="0.25">
      <c r="A9" s="14" t="s">
        <v>593</v>
      </c>
      <c r="B9" s="15">
        <v>-25362</v>
      </c>
      <c r="C9" s="16" t="s">
        <v>440</v>
      </c>
    </row>
    <row r="10" spans="1:3" s="14" customFormat="1" ht="15.95" customHeight="1" x14ac:dyDescent="0.25">
      <c r="A10" s="14" t="s">
        <v>594</v>
      </c>
      <c r="B10" s="15">
        <v>-27646</v>
      </c>
      <c r="C10" s="16" t="s">
        <v>600</v>
      </c>
    </row>
    <row r="11" spans="1:3" s="14" customFormat="1" ht="15.95" customHeight="1" x14ac:dyDescent="0.25">
      <c r="A11" s="14" t="s">
        <v>595</v>
      </c>
      <c r="B11" s="15">
        <v>-27646</v>
      </c>
      <c r="C11" s="16" t="s">
        <v>600</v>
      </c>
    </row>
    <row r="12" spans="1:3" s="14" customFormat="1" ht="15.95" customHeight="1" x14ac:dyDescent="0.25">
      <c r="A12" s="14" t="s">
        <v>596</v>
      </c>
      <c r="B12" s="15">
        <v>-27966</v>
      </c>
      <c r="C12" s="16" t="s">
        <v>600</v>
      </c>
    </row>
    <row r="13" spans="1:3" s="14" customFormat="1" ht="15.95" customHeight="1" x14ac:dyDescent="0.25">
      <c r="A13" s="14" t="s">
        <v>597</v>
      </c>
      <c r="B13" s="15">
        <v>-28233</v>
      </c>
      <c r="C13" s="16" t="s">
        <v>601</v>
      </c>
    </row>
    <row r="14" spans="1:3" s="14" customFormat="1" ht="15.95" customHeight="1" x14ac:dyDescent="0.25">
      <c r="A14" s="14" t="s">
        <v>598</v>
      </c>
      <c r="B14" s="15">
        <v>-31398</v>
      </c>
      <c r="C14" s="16" t="s">
        <v>601</v>
      </c>
    </row>
    <row r="15" spans="1:3" s="14" customFormat="1" ht="15.95" customHeight="1" x14ac:dyDescent="0.25">
      <c r="A15" s="14" t="s">
        <v>599</v>
      </c>
      <c r="B15" s="15">
        <v>-31455</v>
      </c>
      <c r="C15" s="16" t="s">
        <v>601</v>
      </c>
    </row>
    <row r="16" spans="1:3" s="14" customFormat="1" ht="15.95" customHeight="1" x14ac:dyDescent="0.25">
      <c r="B16" s="15"/>
      <c r="C16" s="16"/>
    </row>
    <row r="17" spans="1:9" s="14" customFormat="1" ht="15.95" customHeight="1" x14ac:dyDescent="0.25">
      <c r="B17" s="15"/>
      <c r="C17" s="16"/>
    </row>
    <row r="18" spans="1:9" s="14" customFormat="1" ht="15.95" customHeight="1" x14ac:dyDescent="0.25">
      <c r="B18" s="15"/>
      <c r="C18" s="16"/>
    </row>
    <row r="19" spans="1:9" s="14" customFormat="1" ht="15.95" customHeight="1" x14ac:dyDescent="0.25">
      <c r="B19" s="15"/>
      <c r="C19" s="16"/>
    </row>
    <row r="20" spans="1:9" s="14" customFormat="1" ht="15.95" customHeight="1" x14ac:dyDescent="0.25">
      <c r="B20" s="15"/>
      <c r="C20" s="16"/>
    </row>
    <row r="21" spans="1:9" s="14" customFormat="1" ht="15.95" customHeight="1" x14ac:dyDescent="0.25">
      <c r="B21" s="15"/>
      <c r="C21" s="16"/>
    </row>
    <row r="22" spans="1:9" s="14" customFormat="1" ht="15.95" customHeight="1" x14ac:dyDescent="0.25">
      <c r="B22" s="15"/>
      <c r="C22" s="16"/>
    </row>
    <row r="23" spans="1:9" s="14" customFormat="1" ht="15.95" customHeight="1" x14ac:dyDescent="0.25">
      <c r="B23" s="15"/>
      <c r="C23" s="16"/>
    </row>
    <row r="24" spans="1:9" s="14" customFormat="1" ht="15.95" customHeight="1" x14ac:dyDescent="0.25">
      <c r="B24" s="15"/>
      <c r="C24" s="16"/>
    </row>
    <row r="25" spans="1:9" s="14" customFormat="1" ht="15.95" customHeight="1" x14ac:dyDescent="0.25">
      <c r="B25" s="15">
        <f>SUM(B9:B24)</f>
        <v>-199706</v>
      </c>
      <c r="C25" s="16"/>
    </row>
    <row r="26" spans="1:9" s="14" customFormat="1" ht="15.95" customHeight="1" x14ac:dyDescent="0.25">
      <c r="A26" s="14" t="s">
        <v>2</v>
      </c>
      <c r="B26" s="15"/>
      <c r="C26" s="16"/>
    </row>
    <row r="27" spans="1:9" s="14" customFormat="1" ht="15.95" customHeight="1" x14ac:dyDescent="0.25">
      <c r="B27" s="15"/>
      <c r="C27" s="16"/>
    </row>
    <row r="28" spans="1:9" s="14" customFormat="1" ht="15.95" customHeight="1" x14ac:dyDescent="0.25">
      <c r="B28" s="15"/>
      <c r="C28" s="16"/>
    </row>
    <row r="29" spans="1:9" s="16" customFormat="1" ht="15.95" customHeight="1" x14ac:dyDescent="0.25">
      <c r="A29" s="14"/>
      <c r="B29" s="22"/>
      <c r="C29" s="23"/>
      <c r="D29" s="21"/>
      <c r="E29" s="21"/>
      <c r="F29" s="21"/>
      <c r="G29" s="21"/>
    </row>
    <row r="30" spans="1:9" s="16" customFormat="1" ht="15.95" customHeight="1" x14ac:dyDescent="0.25">
      <c r="A30" s="14"/>
      <c r="B30" s="15">
        <f>SUM(B27:B28)</f>
        <v>0</v>
      </c>
      <c r="D30" s="14"/>
      <c r="E30" s="14"/>
      <c r="F30" s="14"/>
      <c r="G30" s="14"/>
      <c r="H30" s="14"/>
      <c r="I30" s="14"/>
    </row>
    <row r="31" spans="1:9" s="16" customFormat="1" ht="15.95" customHeight="1" x14ac:dyDescent="0.25">
      <c r="A31" s="18" t="s">
        <v>1</v>
      </c>
      <c r="B31" s="19">
        <f>B30+B25</f>
        <v>-199706</v>
      </c>
      <c r="D31" s="14"/>
      <c r="E31" s="14"/>
      <c r="F31" s="14"/>
      <c r="G31" s="14"/>
      <c r="H31" s="14"/>
      <c r="I31" s="14"/>
    </row>
    <row r="32" spans="1:9" s="16" customFormat="1" ht="15.95" customHeight="1" x14ac:dyDescent="0.25">
      <c r="A32" s="14" t="s">
        <v>0</v>
      </c>
      <c r="B32" s="15">
        <f>B31-B7</f>
        <v>0</v>
      </c>
      <c r="D32" s="14"/>
      <c r="E32" s="14"/>
      <c r="F32" s="14"/>
      <c r="G32" s="14"/>
      <c r="H32" s="14"/>
      <c r="I32" s="14"/>
    </row>
    <row r="33" spans="1:9" s="2" customFormat="1" ht="20.100000000000001" customHeight="1" x14ac:dyDescent="0.3">
      <c r="A33" s="1"/>
      <c r="B33" s="3"/>
      <c r="D33" s="1"/>
      <c r="E33" s="1"/>
      <c r="F33" s="1"/>
      <c r="G33" s="1"/>
      <c r="H33" s="1"/>
      <c r="I33" s="1"/>
    </row>
    <row r="34" spans="1:9" s="2" customFormat="1" ht="20.100000000000001" customHeight="1" x14ac:dyDescent="0.3">
      <c r="A34" s="1"/>
      <c r="B34" s="3"/>
      <c r="D34" s="1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1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1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1"/>
      <c r="E37" s="1"/>
      <c r="F37" s="1"/>
      <c r="G37" s="1"/>
      <c r="H37" s="1"/>
      <c r="I37" s="1"/>
    </row>
    <row r="38" spans="1:9" s="2" customFormat="1" ht="20.100000000000001" customHeight="1" x14ac:dyDescent="0.3">
      <c r="A38"/>
      <c r="B38" s="10"/>
      <c r="D38" s="1"/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42"/>
  <sheetViews>
    <sheetView topLeftCell="A10" workbookViewId="0">
      <selection activeCell="C26" sqref="C26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41.710937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5.95" customHeight="1" x14ac:dyDescent="0.25">
      <c r="A1" s="14" t="s">
        <v>304</v>
      </c>
      <c r="B1" s="15"/>
      <c r="C1" s="16"/>
    </row>
    <row r="2" spans="1:3" s="14" customFormat="1" ht="15.95" customHeight="1" x14ac:dyDescent="0.25">
      <c r="A2" s="17">
        <v>43281</v>
      </c>
      <c r="B2" s="15"/>
      <c r="C2" s="16"/>
    </row>
    <row r="3" spans="1:3" s="14" customFormat="1" ht="15.95" customHeight="1" x14ac:dyDescent="0.25">
      <c r="A3" s="14" t="s">
        <v>389</v>
      </c>
      <c r="B3" s="15">
        <v>5657235.7000000002</v>
      </c>
      <c r="C3" s="16"/>
    </row>
    <row r="4" spans="1:3" s="14" customFormat="1" ht="15.95" customHeight="1" x14ac:dyDescent="0.25">
      <c r="A4" s="14" t="s">
        <v>6</v>
      </c>
      <c r="B4" s="15"/>
      <c r="C4" s="16"/>
    </row>
    <row r="5" spans="1:3" s="14" customFormat="1" ht="15.95" customHeight="1" x14ac:dyDescent="0.25">
      <c r="A5" s="14">
        <v>2100</v>
      </c>
      <c r="B5" s="15">
        <v>-5922329.7000000002</v>
      </c>
      <c r="C5" s="16"/>
    </row>
    <row r="6" spans="1:3" s="14" customFormat="1" ht="15.95" customHeight="1" x14ac:dyDescent="0.25">
      <c r="A6" s="14" t="s">
        <v>5</v>
      </c>
      <c r="B6" s="15">
        <f>B5</f>
        <v>-5922329.7000000002</v>
      </c>
      <c r="C6" s="16"/>
    </row>
    <row r="7" spans="1:3" s="14" customFormat="1" ht="15.95" customHeight="1" x14ac:dyDescent="0.25">
      <c r="A7" s="18" t="s">
        <v>4</v>
      </c>
      <c r="B7" s="19">
        <f>SUM(B3+B6)</f>
        <v>-265094</v>
      </c>
      <c r="C7" s="16"/>
    </row>
    <row r="8" spans="1:3" s="14" customFormat="1" ht="15.95" customHeight="1" x14ac:dyDescent="0.25">
      <c r="A8" s="14" t="s">
        <v>3</v>
      </c>
      <c r="B8" s="15"/>
      <c r="C8" s="16"/>
    </row>
    <row r="9" spans="1:3" s="14" customFormat="1" ht="15.95" customHeight="1" x14ac:dyDescent="0.25">
      <c r="A9" s="14" t="s">
        <v>602</v>
      </c>
      <c r="B9" s="15">
        <v>-26598</v>
      </c>
      <c r="C9" s="16" t="s">
        <v>617</v>
      </c>
    </row>
    <row r="10" spans="1:3" s="14" customFormat="1" ht="15.95" customHeight="1" x14ac:dyDescent="0.25">
      <c r="A10" s="14" t="s">
        <v>603</v>
      </c>
      <c r="B10" s="15">
        <v>-26776</v>
      </c>
      <c r="C10" s="16" t="s">
        <v>618</v>
      </c>
    </row>
    <row r="11" spans="1:3" s="14" customFormat="1" ht="15.95" customHeight="1" x14ac:dyDescent="0.25">
      <c r="A11" s="14" t="s">
        <v>604</v>
      </c>
      <c r="B11" s="15">
        <v>-26776</v>
      </c>
      <c r="C11" s="16" t="s">
        <v>619</v>
      </c>
    </row>
    <row r="12" spans="1:3" s="14" customFormat="1" ht="15.95" customHeight="1" x14ac:dyDescent="0.25">
      <c r="A12" s="14" t="s">
        <v>605</v>
      </c>
      <c r="B12" s="15">
        <v>-27666</v>
      </c>
      <c r="C12" s="16" t="s">
        <v>618</v>
      </c>
    </row>
    <row r="13" spans="1:3" s="14" customFormat="1" ht="15.95" customHeight="1" x14ac:dyDescent="0.25">
      <c r="A13" s="14" t="s">
        <v>606</v>
      </c>
      <c r="B13" s="15">
        <v>-27933</v>
      </c>
      <c r="C13" s="16" t="s">
        <v>618</v>
      </c>
    </row>
    <row r="14" spans="1:3" s="14" customFormat="1" ht="15.95" customHeight="1" x14ac:dyDescent="0.25">
      <c r="A14" s="14" t="s">
        <v>607</v>
      </c>
      <c r="B14" s="15">
        <v>-27933</v>
      </c>
      <c r="C14" s="16" t="s">
        <v>618</v>
      </c>
    </row>
    <row r="15" spans="1:3" s="14" customFormat="1" ht="15.95" customHeight="1" x14ac:dyDescent="0.25">
      <c r="A15" s="14" t="s">
        <v>608</v>
      </c>
      <c r="B15" s="15">
        <v>-28196</v>
      </c>
      <c r="C15" s="16" t="s">
        <v>618</v>
      </c>
    </row>
    <row r="16" spans="1:3" s="14" customFormat="1" ht="15.95" customHeight="1" x14ac:dyDescent="0.25">
      <c r="A16" s="14" t="s">
        <v>609</v>
      </c>
      <c r="B16" s="15">
        <v>-29646</v>
      </c>
      <c r="C16" s="16" t="s">
        <v>618</v>
      </c>
    </row>
    <row r="17" spans="1:3" s="14" customFormat="1" ht="15.95" customHeight="1" x14ac:dyDescent="0.25">
      <c r="A17" s="14" t="s">
        <v>610</v>
      </c>
      <c r="B17" s="15">
        <v>-30888</v>
      </c>
      <c r="C17" s="16" t="s">
        <v>620</v>
      </c>
    </row>
    <row r="18" spans="1:3" s="14" customFormat="1" ht="15.95" customHeight="1" x14ac:dyDescent="0.25">
      <c r="A18" s="14" t="s">
        <v>611</v>
      </c>
      <c r="B18" s="15">
        <v>-31066</v>
      </c>
      <c r="C18" s="16" t="s">
        <v>620</v>
      </c>
    </row>
    <row r="19" spans="1:3" s="14" customFormat="1" ht="15.95" customHeight="1" x14ac:dyDescent="0.25">
      <c r="A19" s="14" t="s">
        <v>612</v>
      </c>
      <c r="B19" s="15">
        <v>-31066</v>
      </c>
      <c r="C19" s="16" t="s">
        <v>620</v>
      </c>
    </row>
    <row r="20" spans="1:3" s="14" customFormat="1" ht="15.95" customHeight="1" x14ac:dyDescent="0.25">
      <c r="A20" s="14" t="s">
        <v>614</v>
      </c>
      <c r="B20" s="15">
        <v>-31066</v>
      </c>
      <c r="C20" s="16" t="s">
        <v>617</v>
      </c>
    </row>
    <row r="21" spans="1:3" s="14" customFormat="1" ht="15.95" customHeight="1" x14ac:dyDescent="0.25">
      <c r="B21" s="15"/>
      <c r="C21" s="16"/>
    </row>
    <row r="22" spans="1:3" s="14" customFormat="1" ht="15.95" customHeight="1" x14ac:dyDescent="0.25">
      <c r="B22" s="15">
        <f>SUM(B9:B21)</f>
        <v>-345610</v>
      </c>
      <c r="C22" s="16"/>
    </row>
    <row r="23" spans="1:3" s="14" customFormat="1" ht="15.95" customHeight="1" x14ac:dyDescent="0.25">
      <c r="A23" s="14" t="s">
        <v>2</v>
      </c>
      <c r="B23" s="15"/>
      <c r="C23" s="16"/>
    </row>
    <row r="24" spans="1:3" s="14" customFormat="1" ht="15.95" customHeight="1" x14ac:dyDescent="0.25">
      <c r="A24" s="14" t="s">
        <v>613</v>
      </c>
      <c r="B24" s="15">
        <v>19570</v>
      </c>
      <c r="C24" s="16" t="s">
        <v>624</v>
      </c>
    </row>
    <row r="25" spans="1:3" s="14" customFormat="1" ht="15.95" customHeight="1" x14ac:dyDescent="0.25">
      <c r="A25" s="14" t="s">
        <v>623</v>
      </c>
      <c r="B25" s="15">
        <v>20172</v>
      </c>
      <c r="C25" s="16" t="s">
        <v>625</v>
      </c>
    </row>
    <row r="26" spans="1:3" s="14" customFormat="1" ht="15.95" customHeight="1" x14ac:dyDescent="0.25">
      <c r="A26" s="14" t="s">
        <v>615</v>
      </c>
      <c r="B26" s="15">
        <v>20344</v>
      </c>
      <c r="C26" s="16" t="s">
        <v>621</v>
      </c>
    </row>
    <row r="27" spans="1:3" s="14" customFormat="1" ht="15.95" customHeight="1" x14ac:dyDescent="0.25">
      <c r="A27" s="14" t="s">
        <v>616</v>
      </c>
      <c r="B27" s="15">
        <v>20430</v>
      </c>
      <c r="C27" s="16" t="s">
        <v>622</v>
      </c>
    </row>
    <row r="28" spans="1:3" s="14" customFormat="1" ht="15.95" customHeight="1" x14ac:dyDescent="0.25">
      <c r="B28" s="15"/>
      <c r="C28" s="16"/>
    </row>
    <row r="29" spans="1:3" s="14" customFormat="1" ht="15.95" customHeight="1" x14ac:dyDescent="0.25">
      <c r="B29" s="15"/>
      <c r="C29" s="16"/>
    </row>
    <row r="30" spans="1:3" s="14" customFormat="1" ht="15.95" customHeight="1" x14ac:dyDescent="0.25">
      <c r="B30" s="15"/>
      <c r="C30" s="16"/>
    </row>
    <row r="31" spans="1:3" s="14" customFormat="1" ht="15.95" customHeight="1" x14ac:dyDescent="0.25">
      <c r="B31" s="15"/>
      <c r="C31" s="16"/>
    </row>
    <row r="32" spans="1:3" s="14" customFormat="1" ht="15.95" customHeight="1" x14ac:dyDescent="0.25">
      <c r="B32" s="15"/>
      <c r="C32" s="16"/>
    </row>
    <row r="33" spans="1:9" s="16" customFormat="1" ht="15.95" customHeight="1" x14ac:dyDescent="0.25">
      <c r="A33" s="14"/>
      <c r="B33" s="22"/>
      <c r="C33" s="23"/>
      <c r="D33" s="21"/>
      <c r="E33" s="21"/>
      <c r="F33" s="21"/>
      <c r="G33" s="21"/>
    </row>
    <row r="34" spans="1:9" s="16" customFormat="1" ht="15.95" customHeight="1" x14ac:dyDescent="0.25">
      <c r="A34" s="14"/>
      <c r="B34" s="15">
        <f>SUM(B24:B32)</f>
        <v>80516</v>
      </c>
      <c r="D34" s="14"/>
      <c r="E34" s="14"/>
      <c r="F34" s="14"/>
      <c r="G34" s="14"/>
      <c r="H34" s="14"/>
      <c r="I34" s="14"/>
    </row>
    <row r="35" spans="1:9" s="16" customFormat="1" ht="15.95" customHeight="1" x14ac:dyDescent="0.25">
      <c r="A35" s="18" t="s">
        <v>1</v>
      </c>
      <c r="B35" s="19">
        <f>B34+B22</f>
        <v>-265094</v>
      </c>
      <c r="D35" s="14"/>
      <c r="E35" s="14"/>
      <c r="F35" s="14"/>
      <c r="G35" s="14"/>
      <c r="H35" s="14"/>
      <c r="I35" s="14"/>
    </row>
    <row r="36" spans="1:9" s="16" customFormat="1" ht="15.95" customHeight="1" x14ac:dyDescent="0.25">
      <c r="A36" s="14" t="s">
        <v>0</v>
      </c>
      <c r="B36" s="15">
        <f>B35-B7</f>
        <v>0</v>
      </c>
      <c r="D36" s="14"/>
      <c r="E36" s="14"/>
      <c r="F36" s="14"/>
      <c r="G36" s="14"/>
      <c r="H36" s="14"/>
      <c r="I36" s="14"/>
    </row>
    <row r="37" spans="1:9" s="2" customFormat="1" ht="20.100000000000001" customHeight="1" x14ac:dyDescent="0.3">
      <c r="A37" s="1"/>
      <c r="B37" s="3"/>
      <c r="D37" s="1"/>
      <c r="E37" s="1"/>
      <c r="F37" s="1"/>
      <c r="G37" s="1"/>
      <c r="H37" s="1"/>
      <c r="I37" s="1"/>
    </row>
    <row r="38" spans="1:9" s="2" customFormat="1" ht="20.100000000000001" customHeight="1" x14ac:dyDescent="0.3">
      <c r="A38" s="1"/>
      <c r="B38" s="3"/>
      <c r="D38" s="1"/>
      <c r="E38" s="1"/>
      <c r="F38" s="1"/>
      <c r="G38" s="1"/>
      <c r="H38" s="1"/>
      <c r="I38" s="1"/>
    </row>
    <row r="39" spans="1:9" s="2" customFormat="1" ht="20.100000000000001" customHeight="1" x14ac:dyDescent="0.3">
      <c r="A39"/>
      <c r="B39" s="10"/>
      <c r="D39" s="1"/>
      <c r="E39" s="1"/>
      <c r="F39" s="1"/>
      <c r="G39" s="1"/>
      <c r="H39" s="1"/>
      <c r="I39" s="1"/>
    </row>
    <row r="40" spans="1:9" s="2" customFormat="1" ht="20.100000000000001" customHeight="1" x14ac:dyDescent="0.3">
      <c r="A40"/>
      <c r="B40" s="10"/>
      <c r="D40" s="1"/>
      <c r="E40" s="1"/>
      <c r="F40" s="1"/>
      <c r="G40" s="1"/>
      <c r="H40" s="1"/>
      <c r="I40" s="1"/>
    </row>
    <row r="41" spans="1:9" s="2" customFormat="1" ht="20.100000000000001" customHeight="1" x14ac:dyDescent="0.3">
      <c r="A41"/>
      <c r="B41" s="10"/>
      <c r="D41" s="1"/>
      <c r="E41" s="1"/>
      <c r="F41" s="1"/>
      <c r="G41" s="1"/>
      <c r="H41" s="1"/>
      <c r="I41" s="1"/>
    </row>
    <row r="42" spans="1:9" s="2" customFormat="1" ht="20.100000000000001" customHeight="1" x14ac:dyDescent="0.3">
      <c r="A42"/>
      <c r="B42" s="10"/>
      <c r="D42" s="1"/>
      <c r="E42" s="1"/>
      <c r="F42" s="1"/>
      <c r="G42" s="1"/>
      <c r="H42" s="1"/>
      <c r="I42" s="1"/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51"/>
  <sheetViews>
    <sheetView workbookViewId="0">
      <selection activeCell="C43" sqref="C43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41.710937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5" customHeight="1" x14ac:dyDescent="0.25">
      <c r="A1" s="14" t="s">
        <v>304</v>
      </c>
      <c r="B1" s="15"/>
      <c r="C1" s="16"/>
    </row>
    <row r="2" spans="1:3" s="14" customFormat="1" ht="15" customHeight="1" x14ac:dyDescent="0.25">
      <c r="A2" s="17">
        <v>43312</v>
      </c>
      <c r="B2" s="15"/>
      <c r="C2" s="16"/>
    </row>
    <row r="3" spans="1:3" s="14" customFormat="1" ht="15" customHeight="1" x14ac:dyDescent="0.25">
      <c r="A3" s="14" t="s">
        <v>389</v>
      </c>
      <c r="B3" s="15">
        <v>6166520.5</v>
      </c>
      <c r="C3" s="16"/>
    </row>
    <row r="4" spans="1:3" s="14" customFormat="1" ht="15" customHeight="1" x14ac:dyDescent="0.25">
      <c r="A4" s="14" t="s">
        <v>6</v>
      </c>
      <c r="B4" s="15"/>
      <c r="C4" s="16"/>
    </row>
    <row r="5" spans="1:3" s="14" customFormat="1" ht="15" customHeight="1" x14ac:dyDescent="0.25">
      <c r="A5" s="14">
        <v>2100</v>
      </c>
      <c r="B5" s="15">
        <v>-5934421.5</v>
      </c>
      <c r="C5" s="16"/>
    </row>
    <row r="6" spans="1:3" s="14" customFormat="1" ht="15" customHeight="1" x14ac:dyDescent="0.25">
      <c r="A6" s="14" t="s">
        <v>5</v>
      </c>
      <c r="B6" s="15">
        <f>B5</f>
        <v>-5934421.5</v>
      </c>
      <c r="C6" s="16"/>
    </row>
    <row r="7" spans="1:3" s="14" customFormat="1" ht="15" customHeight="1" x14ac:dyDescent="0.25">
      <c r="A7" s="18" t="s">
        <v>4</v>
      </c>
      <c r="B7" s="19">
        <f>SUM(B3+B6)</f>
        <v>232099</v>
      </c>
      <c r="C7" s="16"/>
    </row>
    <row r="8" spans="1:3" s="14" customFormat="1" ht="15" customHeight="1" x14ac:dyDescent="0.25">
      <c r="A8" s="14" t="s">
        <v>3</v>
      </c>
      <c r="B8" s="15"/>
      <c r="C8" s="16"/>
    </row>
    <row r="9" spans="1:3" s="14" customFormat="1" ht="15" customHeight="1" x14ac:dyDescent="0.25">
      <c r="A9" s="14" t="s">
        <v>626</v>
      </c>
      <c r="B9" s="15">
        <v>-21373</v>
      </c>
      <c r="C9" s="16" t="s">
        <v>655</v>
      </c>
    </row>
    <row r="10" spans="1:3" s="14" customFormat="1" ht="15" customHeight="1" x14ac:dyDescent="0.25">
      <c r="A10" s="14" t="s">
        <v>627</v>
      </c>
      <c r="B10" s="15">
        <v>-22828</v>
      </c>
      <c r="C10" s="16" t="s">
        <v>655</v>
      </c>
    </row>
    <row r="11" spans="1:3" s="14" customFormat="1" ht="15" customHeight="1" x14ac:dyDescent="0.25">
      <c r="A11" s="14" t="s">
        <v>628</v>
      </c>
      <c r="B11" s="15">
        <v>-23378</v>
      </c>
      <c r="C11" s="16" t="s">
        <v>655</v>
      </c>
    </row>
    <row r="12" spans="1:3" s="14" customFormat="1" ht="15" customHeight="1" x14ac:dyDescent="0.25">
      <c r="A12" s="14" t="s">
        <v>629</v>
      </c>
      <c r="B12" s="15">
        <v>-25781</v>
      </c>
      <c r="C12" s="16" t="s">
        <v>670</v>
      </c>
    </row>
    <row r="13" spans="1:3" s="14" customFormat="1" ht="15" customHeight="1" x14ac:dyDescent="0.25">
      <c r="A13" s="14" t="s">
        <v>630</v>
      </c>
      <c r="B13" s="15">
        <v>-26457</v>
      </c>
      <c r="C13" s="16" t="s">
        <v>656</v>
      </c>
    </row>
    <row r="14" spans="1:3" s="14" customFormat="1" ht="15" customHeight="1" x14ac:dyDescent="0.25">
      <c r="A14" s="14" t="s">
        <v>631</v>
      </c>
      <c r="B14" s="15">
        <v>-26635</v>
      </c>
      <c r="C14" s="16" t="s">
        <v>657</v>
      </c>
    </row>
    <row r="15" spans="1:3" s="14" customFormat="1" ht="15" customHeight="1" x14ac:dyDescent="0.25">
      <c r="A15" s="14" t="s">
        <v>632</v>
      </c>
      <c r="B15" s="15">
        <v>-26987</v>
      </c>
      <c r="C15" s="16" t="s">
        <v>655</v>
      </c>
    </row>
    <row r="16" spans="1:3" s="14" customFormat="1" ht="15" customHeight="1" x14ac:dyDescent="0.25">
      <c r="A16" s="14" t="s">
        <v>633</v>
      </c>
      <c r="B16" s="15">
        <v>-27525</v>
      </c>
      <c r="C16" s="16" t="s">
        <v>657</v>
      </c>
    </row>
    <row r="17" spans="1:3" s="14" customFormat="1" ht="15" customHeight="1" x14ac:dyDescent="0.25">
      <c r="A17" s="14" t="s">
        <v>634</v>
      </c>
      <c r="B17" s="15">
        <v>-27525</v>
      </c>
      <c r="C17" s="16" t="s">
        <v>655</v>
      </c>
    </row>
    <row r="18" spans="1:3" s="14" customFormat="1" ht="15" customHeight="1" x14ac:dyDescent="0.25">
      <c r="A18" s="14" t="s">
        <v>635</v>
      </c>
      <c r="B18" s="15">
        <v>-27703</v>
      </c>
      <c r="C18" s="16" t="s">
        <v>655</v>
      </c>
    </row>
    <row r="19" spans="1:3" s="14" customFormat="1" ht="15" customHeight="1" x14ac:dyDescent="0.25">
      <c r="A19" s="14" t="s">
        <v>636</v>
      </c>
      <c r="B19" s="15">
        <v>-30730</v>
      </c>
      <c r="C19" s="16" t="s">
        <v>656</v>
      </c>
    </row>
    <row r="20" spans="1:3" s="14" customFormat="1" ht="15" customHeight="1" x14ac:dyDescent="0.25">
      <c r="A20" s="14" t="s">
        <v>658</v>
      </c>
      <c r="B20" s="15">
        <v>-30997</v>
      </c>
      <c r="C20" s="16" t="s">
        <v>660</v>
      </c>
    </row>
    <row r="21" spans="1:3" s="14" customFormat="1" ht="15" customHeight="1" x14ac:dyDescent="0.25">
      <c r="B21" s="15">
        <f>SUM(B9:B20)</f>
        <v>-317919</v>
      </c>
      <c r="C21" s="16"/>
    </row>
    <row r="22" spans="1:3" s="14" customFormat="1" ht="15" customHeight="1" x14ac:dyDescent="0.25">
      <c r="A22" s="14" t="s">
        <v>2</v>
      </c>
      <c r="B22" s="15"/>
      <c r="C22" s="16"/>
    </row>
    <row r="23" spans="1:3" s="14" customFormat="1" ht="15" customHeight="1" x14ac:dyDescent="0.25">
      <c r="A23" s="14" t="s">
        <v>637</v>
      </c>
      <c r="B23" s="15">
        <v>20238</v>
      </c>
      <c r="C23" s="12" t="s">
        <v>661</v>
      </c>
    </row>
    <row r="24" spans="1:3" s="14" customFormat="1" ht="15" customHeight="1" x14ac:dyDescent="0.25">
      <c r="A24" s="14" t="s">
        <v>638</v>
      </c>
      <c r="B24" s="15">
        <v>22088</v>
      </c>
      <c r="C24" s="12" t="s">
        <v>671</v>
      </c>
    </row>
    <row r="25" spans="1:3" s="14" customFormat="1" ht="15" customHeight="1" x14ac:dyDescent="0.25">
      <c r="A25" s="14" t="s">
        <v>639</v>
      </c>
      <c r="B25" s="15">
        <v>22828</v>
      </c>
      <c r="C25" s="12" t="s">
        <v>662</v>
      </c>
    </row>
    <row r="26" spans="1:3" s="14" customFormat="1" ht="15" customHeight="1" x14ac:dyDescent="0.25">
      <c r="A26" s="14" t="s">
        <v>669</v>
      </c>
      <c r="B26" s="15">
        <v>24695</v>
      </c>
      <c r="C26" s="12" t="s">
        <v>663</v>
      </c>
    </row>
    <row r="27" spans="1:3" s="14" customFormat="1" ht="15" customHeight="1" x14ac:dyDescent="0.25">
      <c r="A27" s="14" t="s">
        <v>640</v>
      </c>
      <c r="B27" s="15">
        <v>25225</v>
      </c>
      <c r="C27" s="12" t="s">
        <v>672</v>
      </c>
    </row>
    <row r="28" spans="1:3" s="14" customFormat="1" ht="15" customHeight="1" x14ac:dyDescent="0.25">
      <c r="A28" s="14" t="s">
        <v>641</v>
      </c>
      <c r="B28" s="15">
        <v>25225</v>
      </c>
      <c r="C28" s="12" t="s">
        <v>664</v>
      </c>
    </row>
    <row r="29" spans="1:3" s="14" customFormat="1" ht="15" customHeight="1" x14ac:dyDescent="0.25">
      <c r="A29" s="14" t="s">
        <v>642</v>
      </c>
      <c r="B29" s="15">
        <v>25337</v>
      </c>
      <c r="C29" s="12" t="s">
        <v>665</v>
      </c>
    </row>
    <row r="30" spans="1:3" s="14" customFormat="1" ht="15" customHeight="1" x14ac:dyDescent="0.25">
      <c r="A30" s="14" t="s">
        <v>643</v>
      </c>
      <c r="B30" s="15">
        <v>25423</v>
      </c>
      <c r="C30" s="12" t="s">
        <v>673</v>
      </c>
    </row>
    <row r="31" spans="1:3" s="14" customFormat="1" ht="15" customHeight="1" x14ac:dyDescent="0.25">
      <c r="A31" s="14" t="s">
        <v>644</v>
      </c>
      <c r="B31" s="15">
        <v>25677</v>
      </c>
      <c r="C31" s="12" t="s">
        <v>666</v>
      </c>
    </row>
    <row r="32" spans="1:3" s="14" customFormat="1" ht="15" customHeight="1" x14ac:dyDescent="0.25">
      <c r="A32" s="14" t="s">
        <v>654</v>
      </c>
      <c r="B32" s="15">
        <v>25781</v>
      </c>
      <c r="C32" s="12" t="s">
        <v>670</v>
      </c>
    </row>
    <row r="33" spans="1:9" s="14" customFormat="1" ht="15" customHeight="1" x14ac:dyDescent="0.25">
      <c r="A33" s="14" t="s">
        <v>645</v>
      </c>
      <c r="B33" s="15">
        <v>26635</v>
      </c>
      <c r="C33" s="12" t="s">
        <v>666</v>
      </c>
    </row>
    <row r="34" spans="1:9" s="14" customFormat="1" ht="15" customHeight="1" x14ac:dyDescent="0.25">
      <c r="A34" s="14" t="s">
        <v>646</v>
      </c>
      <c r="B34" s="15">
        <v>27525</v>
      </c>
      <c r="C34" s="12" t="s">
        <v>663</v>
      </c>
    </row>
    <row r="35" spans="1:9" s="14" customFormat="1" ht="15" customHeight="1" x14ac:dyDescent="0.25">
      <c r="A35" s="14" t="s">
        <v>647</v>
      </c>
      <c r="B35" s="15">
        <v>27703</v>
      </c>
      <c r="C35" s="12" t="s">
        <v>663</v>
      </c>
    </row>
    <row r="36" spans="1:9" s="14" customFormat="1" ht="15" customHeight="1" x14ac:dyDescent="0.25">
      <c r="A36" s="14" t="s">
        <v>648</v>
      </c>
      <c r="B36" s="15">
        <v>28979</v>
      </c>
      <c r="C36" s="12" t="s">
        <v>666</v>
      </c>
    </row>
    <row r="37" spans="1:9" s="14" customFormat="1" ht="15" customHeight="1" x14ac:dyDescent="0.25">
      <c r="A37" s="14" t="s">
        <v>649</v>
      </c>
      <c r="B37" s="15">
        <v>29666</v>
      </c>
      <c r="C37" s="12" t="s">
        <v>666</v>
      </c>
    </row>
    <row r="38" spans="1:9" s="16" customFormat="1" ht="15" customHeight="1" x14ac:dyDescent="0.25">
      <c r="A38" s="14" t="s">
        <v>650</v>
      </c>
      <c r="B38" s="22">
        <v>30824</v>
      </c>
      <c r="C38" s="24" t="s">
        <v>667</v>
      </c>
      <c r="D38" s="21"/>
      <c r="E38" s="21"/>
      <c r="F38" s="21"/>
      <c r="G38" s="21"/>
    </row>
    <row r="39" spans="1:9" s="16" customFormat="1" ht="15" customHeight="1" x14ac:dyDescent="0.25">
      <c r="A39" s="14" t="s">
        <v>651</v>
      </c>
      <c r="B39" s="22">
        <v>30997</v>
      </c>
      <c r="C39" s="24" t="s">
        <v>667</v>
      </c>
      <c r="D39" s="21"/>
      <c r="E39" s="21"/>
      <c r="F39" s="21"/>
      <c r="G39" s="21"/>
    </row>
    <row r="40" spans="1:9" s="16" customFormat="1" ht="15" customHeight="1" x14ac:dyDescent="0.25">
      <c r="A40" s="14" t="s">
        <v>659</v>
      </c>
      <c r="B40" s="22">
        <v>30997</v>
      </c>
      <c r="C40" s="24" t="s">
        <v>674</v>
      </c>
      <c r="D40" s="21"/>
      <c r="E40" s="21"/>
      <c r="F40" s="21"/>
      <c r="G40" s="21"/>
    </row>
    <row r="41" spans="1:9" s="16" customFormat="1" ht="15" customHeight="1" x14ac:dyDescent="0.25">
      <c r="A41" s="14" t="s">
        <v>652</v>
      </c>
      <c r="B41" s="22">
        <v>31260</v>
      </c>
      <c r="C41" s="24" t="s">
        <v>668</v>
      </c>
      <c r="D41" s="21"/>
      <c r="E41" s="21"/>
      <c r="F41" s="21"/>
      <c r="G41" s="21"/>
    </row>
    <row r="42" spans="1:9" s="16" customFormat="1" ht="15" customHeight="1" x14ac:dyDescent="0.25">
      <c r="A42" s="14" t="s">
        <v>653</v>
      </c>
      <c r="B42" s="22">
        <v>42915</v>
      </c>
      <c r="C42" s="12" t="s">
        <v>674</v>
      </c>
      <c r="D42" s="21"/>
      <c r="E42" s="21"/>
      <c r="F42" s="21"/>
      <c r="G42" s="21"/>
    </row>
    <row r="43" spans="1:9" s="16" customFormat="1" ht="15" customHeight="1" x14ac:dyDescent="0.25">
      <c r="A43" s="14"/>
      <c r="B43" s="15">
        <f>SUM(B23:B42)</f>
        <v>550018</v>
      </c>
      <c r="D43" s="14"/>
      <c r="E43" s="14"/>
      <c r="F43" s="14"/>
      <c r="G43" s="14"/>
      <c r="H43" s="14"/>
      <c r="I43" s="14"/>
    </row>
    <row r="44" spans="1:9" s="16" customFormat="1" ht="15" customHeight="1" x14ac:dyDescent="0.25">
      <c r="A44" s="18" t="s">
        <v>1</v>
      </c>
      <c r="B44" s="19">
        <f>B43+B21</f>
        <v>232099</v>
      </c>
      <c r="D44" s="14"/>
      <c r="E44" s="14"/>
      <c r="F44" s="14"/>
      <c r="G44" s="14"/>
      <c r="H44" s="14"/>
      <c r="I44" s="14"/>
    </row>
    <row r="45" spans="1:9" s="16" customFormat="1" ht="15" customHeight="1" x14ac:dyDescent="0.25">
      <c r="A45" s="14" t="s">
        <v>0</v>
      </c>
      <c r="B45" s="15">
        <f>B44-B7</f>
        <v>0</v>
      </c>
      <c r="D45" s="14"/>
      <c r="E45" s="14"/>
      <c r="F45" s="14"/>
      <c r="G45" s="14"/>
      <c r="H45" s="14"/>
      <c r="I45" s="14"/>
    </row>
    <row r="46" spans="1:9" s="2" customFormat="1" ht="20.100000000000001" customHeight="1" x14ac:dyDescent="0.3">
      <c r="A46" s="1"/>
      <c r="B46" s="3"/>
      <c r="D46" s="1"/>
      <c r="E46" s="1"/>
      <c r="F46" s="1"/>
      <c r="G46" s="1"/>
      <c r="H46" s="1"/>
      <c r="I46" s="1"/>
    </row>
    <row r="47" spans="1:9" s="2" customFormat="1" ht="20.100000000000001" customHeight="1" x14ac:dyDescent="0.3">
      <c r="A47" s="1"/>
      <c r="B47" s="3"/>
      <c r="D47" s="1"/>
      <c r="E47" s="1"/>
      <c r="F47" s="1"/>
      <c r="G47" s="1"/>
      <c r="H47" s="1"/>
      <c r="I47" s="1"/>
    </row>
    <row r="48" spans="1:9" s="2" customFormat="1" ht="20.100000000000001" customHeight="1" x14ac:dyDescent="0.3">
      <c r="A48"/>
      <c r="B48" s="10"/>
      <c r="D48" s="1"/>
      <c r="E48" s="1"/>
      <c r="F48" s="1"/>
      <c r="G48" s="1"/>
      <c r="H48" s="1"/>
      <c r="I48" s="1"/>
    </row>
    <row r="49" spans="1:9" s="2" customFormat="1" ht="20.100000000000001" customHeight="1" x14ac:dyDescent="0.3">
      <c r="A49"/>
      <c r="B49" s="10"/>
      <c r="D49" s="1"/>
      <c r="E49" s="1"/>
      <c r="F49" s="1"/>
      <c r="G49" s="1"/>
      <c r="H49" s="1"/>
      <c r="I49" s="1"/>
    </row>
    <row r="50" spans="1:9" s="2" customFormat="1" ht="20.100000000000001" customHeight="1" x14ac:dyDescent="0.3">
      <c r="A50"/>
      <c r="B50" s="10"/>
      <c r="D50" s="1"/>
      <c r="E50" s="1"/>
      <c r="F50" s="1"/>
      <c r="G50" s="1"/>
      <c r="H50" s="1"/>
      <c r="I50" s="1"/>
    </row>
    <row r="51" spans="1:9" s="2" customFormat="1" ht="20.100000000000001" customHeight="1" x14ac:dyDescent="0.3">
      <c r="A51"/>
      <c r="B51" s="10"/>
      <c r="D51" s="1"/>
      <c r="E51" s="1"/>
      <c r="F51" s="1"/>
      <c r="G51" s="1"/>
      <c r="H51" s="1"/>
      <c r="I51" s="1"/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9"/>
  <sheetViews>
    <sheetView workbookViewId="0">
      <selection activeCell="C31" sqref="C31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41.7109375" style="2" customWidth="1"/>
    <col min="4" max="7" width="9.140625" style="1"/>
    <col min="8" max="8" width="17.7109375" style="1" customWidth="1"/>
    <col min="9" max="16384" width="9.140625" style="1"/>
  </cols>
  <sheetData>
    <row r="1" spans="1:3" s="14" customFormat="1" ht="15" customHeight="1" x14ac:dyDescent="0.25">
      <c r="A1" s="14" t="s">
        <v>304</v>
      </c>
      <c r="B1" s="15"/>
      <c r="C1" s="16"/>
    </row>
    <row r="2" spans="1:3" s="14" customFormat="1" ht="15" customHeight="1" x14ac:dyDescent="0.25">
      <c r="A2" s="17">
        <v>43343</v>
      </c>
      <c r="B2" s="15"/>
      <c r="C2" s="16"/>
    </row>
    <row r="3" spans="1:3" s="14" customFormat="1" ht="15" customHeight="1" x14ac:dyDescent="0.25">
      <c r="A3" s="14" t="s">
        <v>389</v>
      </c>
      <c r="B3" s="15">
        <v>5013152.8</v>
      </c>
      <c r="C3" s="16"/>
    </row>
    <row r="4" spans="1:3" s="14" customFormat="1" ht="15" customHeight="1" x14ac:dyDescent="0.25">
      <c r="A4" s="14" t="s">
        <v>6</v>
      </c>
      <c r="B4" s="15"/>
      <c r="C4" s="16"/>
    </row>
    <row r="5" spans="1:3" s="14" customFormat="1" ht="15" customHeight="1" x14ac:dyDescent="0.25">
      <c r="A5" s="14">
        <v>2100</v>
      </c>
      <c r="B5" s="15">
        <v>-4900619.8</v>
      </c>
      <c r="C5" s="16"/>
    </row>
    <row r="6" spans="1:3" s="14" customFormat="1" ht="15" customHeight="1" x14ac:dyDescent="0.25">
      <c r="A6" s="14" t="s">
        <v>5</v>
      </c>
      <c r="B6" s="15">
        <f>B5</f>
        <v>-4900619.8</v>
      </c>
      <c r="C6" s="16"/>
    </row>
    <row r="7" spans="1:3" s="14" customFormat="1" ht="15" customHeight="1" x14ac:dyDescent="0.25">
      <c r="A7" s="18" t="s">
        <v>4</v>
      </c>
      <c r="B7" s="19">
        <f>SUM(B3+B6)</f>
        <v>112533</v>
      </c>
      <c r="C7" s="16"/>
    </row>
    <row r="8" spans="1:3" s="14" customFormat="1" ht="15" customHeight="1" x14ac:dyDescent="0.25">
      <c r="A8" s="14" t="s">
        <v>3</v>
      </c>
      <c r="B8" s="15"/>
      <c r="C8" s="16"/>
    </row>
    <row r="9" spans="1:3" s="14" customFormat="1" ht="15" customHeight="1" x14ac:dyDescent="0.25">
      <c r="A9" s="14" t="s">
        <v>675</v>
      </c>
      <c r="B9" s="15">
        <v>-27525</v>
      </c>
      <c r="C9" s="16" t="s">
        <v>693</v>
      </c>
    </row>
    <row r="10" spans="1:3" s="14" customFormat="1" ht="15" customHeight="1" x14ac:dyDescent="0.25">
      <c r="A10" s="14" t="s">
        <v>676</v>
      </c>
      <c r="B10" s="15">
        <v>-27792</v>
      </c>
      <c r="C10" s="16" t="s">
        <v>693</v>
      </c>
    </row>
    <row r="11" spans="1:3" s="14" customFormat="1" ht="15" customHeight="1" x14ac:dyDescent="0.25">
      <c r="A11" s="14" t="s">
        <v>677</v>
      </c>
      <c r="B11" s="15">
        <v>-30824</v>
      </c>
      <c r="C11" s="16" t="s">
        <v>694</v>
      </c>
    </row>
    <row r="12" spans="1:3" s="14" customFormat="1" ht="15" customHeight="1" x14ac:dyDescent="0.25">
      <c r="A12" s="14" t="s">
        <v>678</v>
      </c>
      <c r="B12" s="15">
        <v>-36475</v>
      </c>
      <c r="C12" s="16" t="s">
        <v>693</v>
      </c>
    </row>
    <row r="13" spans="1:3" s="14" customFormat="1" ht="15" customHeight="1" x14ac:dyDescent="0.25">
      <c r="A13" s="14" t="s">
        <v>679</v>
      </c>
      <c r="B13" s="15">
        <v>-36835</v>
      </c>
      <c r="C13" s="16" t="s">
        <v>694</v>
      </c>
    </row>
    <row r="14" spans="1:3" s="14" customFormat="1" ht="15" customHeight="1" x14ac:dyDescent="0.25">
      <c r="A14" s="14" t="s">
        <v>692</v>
      </c>
      <c r="B14" s="15">
        <v>-37007</v>
      </c>
      <c r="C14" s="16" t="s">
        <v>694</v>
      </c>
    </row>
    <row r="15" spans="1:3" s="14" customFormat="1" ht="15" customHeight="1" x14ac:dyDescent="0.25">
      <c r="B15" s="15"/>
      <c r="C15" s="16"/>
    </row>
    <row r="16" spans="1:3" s="14" customFormat="1" ht="15" customHeight="1" x14ac:dyDescent="0.25">
      <c r="B16" s="15">
        <f>SUM(B9:B15)</f>
        <v>-196458</v>
      </c>
      <c r="C16" s="16"/>
    </row>
    <row r="17" spans="1:9" s="14" customFormat="1" ht="15" customHeight="1" x14ac:dyDescent="0.25">
      <c r="A17" s="14" t="s">
        <v>2</v>
      </c>
      <c r="B17" s="15"/>
      <c r="C17" s="16"/>
    </row>
    <row r="18" spans="1:9" s="14" customFormat="1" ht="15" customHeight="1" x14ac:dyDescent="0.25">
      <c r="A18" s="14" t="s">
        <v>680</v>
      </c>
      <c r="B18" s="15">
        <v>20066</v>
      </c>
      <c r="C18" s="16" t="s">
        <v>696</v>
      </c>
    </row>
    <row r="19" spans="1:9" s="14" customFormat="1" ht="15" customHeight="1" x14ac:dyDescent="0.25">
      <c r="A19" s="14" t="s">
        <v>681</v>
      </c>
      <c r="B19" s="15">
        <v>20324</v>
      </c>
      <c r="C19" s="16" t="s">
        <v>697</v>
      </c>
    </row>
    <row r="20" spans="1:9" s="14" customFormat="1" ht="15" customHeight="1" x14ac:dyDescent="0.25">
      <c r="A20" s="14" t="s">
        <v>682</v>
      </c>
      <c r="B20" s="15">
        <v>20324</v>
      </c>
      <c r="C20" s="16" t="s">
        <v>697</v>
      </c>
    </row>
    <row r="21" spans="1:9" s="14" customFormat="1" ht="15" customHeight="1" x14ac:dyDescent="0.25">
      <c r="A21" s="14" t="s">
        <v>691</v>
      </c>
      <c r="B21" s="15">
        <v>21830</v>
      </c>
      <c r="C21" s="16" t="s">
        <v>695</v>
      </c>
    </row>
    <row r="22" spans="1:9" s="14" customFormat="1" ht="15" customHeight="1" x14ac:dyDescent="0.25">
      <c r="A22" s="14" t="s">
        <v>683</v>
      </c>
      <c r="B22" s="15">
        <v>23566</v>
      </c>
      <c r="C22" s="16" t="s">
        <v>696</v>
      </c>
    </row>
    <row r="23" spans="1:9" s="14" customFormat="1" ht="15" customHeight="1" x14ac:dyDescent="0.25">
      <c r="A23" s="14" t="s">
        <v>684</v>
      </c>
      <c r="B23" s="15">
        <v>27496</v>
      </c>
      <c r="C23" s="16" t="s">
        <v>696</v>
      </c>
    </row>
    <row r="24" spans="1:9" s="14" customFormat="1" ht="15" customHeight="1" x14ac:dyDescent="0.25">
      <c r="A24" s="14" t="s">
        <v>685</v>
      </c>
      <c r="B24" s="15">
        <v>27525</v>
      </c>
      <c r="C24" s="16" t="s">
        <v>696</v>
      </c>
    </row>
    <row r="25" spans="1:9" s="14" customFormat="1" ht="15" customHeight="1" x14ac:dyDescent="0.25">
      <c r="A25" s="14" t="s">
        <v>686</v>
      </c>
      <c r="B25" s="15">
        <v>27703</v>
      </c>
      <c r="C25" s="16" t="s">
        <v>696</v>
      </c>
    </row>
    <row r="26" spans="1:9" s="14" customFormat="1" ht="15" customHeight="1" x14ac:dyDescent="0.25">
      <c r="A26" s="14" t="s">
        <v>687</v>
      </c>
      <c r="B26" s="15">
        <v>28055</v>
      </c>
      <c r="C26" s="16" t="s">
        <v>696</v>
      </c>
    </row>
    <row r="27" spans="1:9" s="14" customFormat="1" ht="15" customHeight="1" x14ac:dyDescent="0.25">
      <c r="A27" s="14" t="s">
        <v>688</v>
      </c>
      <c r="B27" s="15">
        <v>28453</v>
      </c>
      <c r="C27" s="16" t="s">
        <v>696</v>
      </c>
    </row>
    <row r="28" spans="1:9" s="14" customFormat="1" ht="15" customHeight="1" x14ac:dyDescent="0.25">
      <c r="A28" s="14" t="s">
        <v>689</v>
      </c>
      <c r="B28" s="15">
        <v>29433</v>
      </c>
      <c r="C28" s="16" t="s">
        <v>696</v>
      </c>
    </row>
    <row r="29" spans="1:9" s="14" customFormat="1" ht="15" customHeight="1" x14ac:dyDescent="0.25">
      <c r="A29" s="14" t="s">
        <v>690</v>
      </c>
      <c r="B29" s="15">
        <v>34216</v>
      </c>
      <c r="C29" s="16" t="s">
        <v>696</v>
      </c>
    </row>
    <row r="30" spans="1:9" s="16" customFormat="1" ht="15" customHeight="1" x14ac:dyDescent="0.25">
      <c r="A30" s="14"/>
      <c r="B30" s="22"/>
      <c r="C30" s="12"/>
      <c r="D30" s="21"/>
      <c r="E30" s="21"/>
      <c r="F30" s="21"/>
      <c r="G30" s="21"/>
    </row>
    <row r="31" spans="1:9" s="16" customFormat="1" ht="15" customHeight="1" x14ac:dyDescent="0.25">
      <c r="A31" s="14"/>
      <c r="B31" s="15">
        <f>SUM(B18:B30)</f>
        <v>308991</v>
      </c>
      <c r="D31" s="14"/>
      <c r="E31" s="14"/>
      <c r="F31" s="14"/>
      <c r="G31" s="14"/>
      <c r="H31" s="14"/>
      <c r="I31" s="14"/>
    </row>
    <row r="32" spans="1:9" s="16" customFormat="1" ht="15" customHeight="1" x14ac:dyDescent="0.25">
      <c r="A32" s="18" t="s">
        <v>1</v>
      </c>
      <c r="B32" s="19">
        <f>B31+B16</f>
        <v>112533</v>
      </c>
      <c r="D32" s="14"/>
      <c r="E32" s="14"/>
      <c r="F32" s="14"/>
      <c r="G32" s="14"/>
      <c r="H32" s="14"/>
      <c r="I32" s="14"/>
    </row>
    <row r="33" spans="1:9" s="16" customFormat="1" ht="15" customHeight="1" x14ac:dyDescent="0.25">
      <c r="A33" s="14" t="s">
        <v>0</v>
      </c>
      <c r="B33" s="15">
        <f>B32-B7</f>
        <v>0</v>
      </c>
      <c r="D33" s="14"/>
      <c r="E33" s="14"/>
      <c r="F33" s="14"/>
      <c r="G33" s="14"/>
      <c r="H33" s="14"/>
      <c r="I33" s="14"/>
    </row>
    <row r="34" spans="1:9" s="2" customFormat="1" ht="20.100000000000001" customHeight="1" x14ac:dyDescent="0.3">
      <c r="A34" s="1"/>
      <c r="B34" s="3"/>
      <c r="D34" s="1"/>
      <c r="E34" s="1"/>
      <c r="F34" s="1"/>
      <c r="G34" s="1"/>
      <c r="H34" s="1"/>
      <c r="I34" s="1"/>
    </row>
    <row r="35" spans="1:9" s="2" customFormat="1" ht="20.100000000000001" customHeight="1" x14ac:dyDescent="0.3">
      <c r="A35" s="1"/>
      <c r="B35" s="3"/>
      <c r="D35" s="1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1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1"/>
      <c r="E37" s="1"/>
      <c r="F37" s="1"/>
      <c r="G37" s="1"/>
      <c r="H37" s="1"/>
      <c r="I37" s="1"/>
    </row>
    <row r="38" spans="1:9" s="2" customFormat="1" ht="20.100000000000001" customHeight="1" x14ac:dyDescent="0.3">
      <c r="A38"/>
      <c r="B38" s="10"/>
      <c r="D38" s="1"/>
      <c r="E38" s="1"/>
      <c r="F38" s="1"/>
      <c r="G38" s="1"/>
      <c r="H38" s="1"/>
      <c r="I38" s="1"/>
    </row>
    <row r="39" spans="1:9" s="2" customFormat="1" ht="20.100000000000001" customHeight="1" x14ac:dyDescent="0.3">
      <c r="A39"/>
      <c r="B39" s="10"/>
      <c r="D39" s="1"/>
      <c r="E39" s="1"/>
      <c r="F39" s="1"/>
      <c r="G39" s="1"/>
      <c r="H39" s="1"/>
      <c r="I39" s="1"/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39"/>
  <sheetViews>
    <sheetView workbookViewId="0">
      <selection activeCell="D16" sqref="D16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1.7109375" style="2" customWidth="1"/>
    <col min="4" max="4" width="11.7109375" style="1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</row>
    <row r="2" spans="1:4" s="14" customFormat="1" ht="15" customHeight="1" x14ac:dyDescent="0.25">
      <c r="A2" s="17">
        <v>43373</v>
      </c>
      <c r="B2" s="15"/>
      <c r="C2" s="16"/>
    </row>
    <row r="3" spans="1:4" s="14" customFormat="1" ht="15" customHeight="1" x14ac:dyDescent="0.25">
      <c r="A3" s="14" t="s">
        <v>389</v>
      </c>
      <c r="B3" s="15">
        <v>3764889.7</v>
      </c>
      <c r="C3" s="16"/>
    </row>
    <row r="4" spans="1:4" s="14" customFormat="1" ht="15" customHeight="1" x14ac:dyDescent="0.25">
      <c r="A4" s="14" t="s">
        <v>6</v>
      </c>
      <c r="B4" s="15"/>
      <c r="C4" s="16"/>
    </row>
    <row r="5" spans="1:4" s="14" customFormat="1" ht="15" customHeight="1" x14ac:dyDescent="0.25">
      <c r="A5" s="14">
        <v>2100</v>
      </c>
      <c r="B5" s="15">
        <v>-3962415.7</v>
      </c>
      <c r="C5" s="16"/>
    </row>
    <row r="6" spans="1:4" s="14" customFormat="1" ht="15" customHeight="1" x14ac:dyDescent="0.25">
      <c r="A6" s="14" t="s">
        <v>5</v>
      </c>
      <c r="B6" s="15">
        <f>B5</f>
        <v>-3962415.7</v>
      </c>
      <c r="C6" s="16"/>
    </row>
    <row r="7" spans="1:4" s="14" customFormat="1" ht="15" customHeight="1" x14ac:dyDescent="0.25">
      <c r="A7" s="18" t="s">
        <v>4</v>
      </c>
      <c r="B7" s="19">
        <f>SUM(B3+B6)</f>
        <v>-197526</v>
      </c>
      <c r="C7" s="16"/>
    </row>
    <row r="8" spans="1:4" s="14" customFormat="1" ht="15" customHeight="1" x14ac:dyDescent="0.25">
      <c r="A8" s="14" t="s">
        <v>3</v>
      </c>
      <c r="B8" s="15"/>
      <c r="C8" s="26" t="s">
        <v>705</v>
      </c>
      <c r="D8" s="25" t="s">
        <v>706</v>
      </c>
    </row>
    <row r="9" spans="1:4" s="14" customFormat="1" ht="15" customHeight="1" x14ac:dyDescent="0.25">
      <c r="A9" s="14" t="s">
        <v>698</v>
      </c>
      <c r="B9" s="15">
        <v>-24695</v>
      </c>
      <c r="C9" s="27" t="s">
        <v>707</v>
      </c>
      <c r="D9" s="14" t="s">
        <v>710</v>
      </c>
    </row>
    <row r="10" spans="1:4" s="14" customFormat="1" ht="15" customHeight="1" x14ac:dyDescent="0.25">
      <c r="A10" s="14" t="s">
        <v>699</v>
      </c>
      <c r="B10" s="15">
        <v>-24873</v>
      </c>
      <c r="C10" s="27" t="s">
        <v>707</v>
      </c>
      <c r="D10" s="14" t="s">
        <v>710</v>
      </c>
    </row>
    <row r="11" spans="1:4" s="14" customFormat="1" ht="15" customHeight="1" x14ac:dyDescent="0.25">
      <c r="A11" s="14" t="s">
        <v>700</v>
      </c>
      <c r="B11" s="15">
        <v>-27792</v>
      </c>
      <c r="C11" s="27" t="s">
        <v>708</v>
      </c>
      <c r="D11" s="14" t="s">
        <v>710</v>
      </c>
    </row>
    <row r="12" spans="1:4" s="14" customFormat="1" ht="15" customHeight="1" x14ac:dyDescent="0.25">
      <c r="A12" s="14" t="s">
        <v>701</v>
      </c>
      <c r="B12" s="15">
        <v>-27792</v>
      </c>
      <c r="C12" s="27" t="s">
        <v>709</v>
      </c>
      <c r="D12" s="14" t="s">
        <v>710</v>
      </c>
    </row>
    <row r="13" spans="1:4" s="14" customFormat="1" ht="15" customHeight="1" x14ac:dyDescent="0.25">
      <c r="A13" s="14" t="s">
        <v>702</v>
      </c>
      <c r="B13" s="15">
        <v>-28466</v>
      </c>
      <c r="C13" s="27" t="s">
        <v>708</v>
      </c>
      <c r="D13" s="14" t="s">
        <v>710</v>
      </c>
    </row>
    <row r="14" spans="1:4" s="14" customFormat="1" ht="15" customHeight="1" x14ac:dyDescent="0.25">
      <c r="A14" s="14" t="s">
        <v>703</v>
      </c>
      <c r="B14" s="15">
        <v>-29488</v>
      </c>
      <c r="C14" s="27" t="s">
        <v>709</v>
      </c>
      <c r="D14" s="14" t="s">
        <v>710</v>
      </c>
    </row>
    <row r="15" spans="1:4" s="14" customFormat="1" ht="15" customHeight="1" x14ac:dyDescent="0.25">
      <c r="A15" s="14" t="s">
        <v>704</v>
      </c>
      <c r="B15" s="15">
        <v>-34420</v>
      </c>
      <c r="C15" s="27" t="s">
        <v>707</v>
      </c>
      <c r="D15" s="14" t="s">
        <v>710</v>
      </c>
    </row>
    <row r="16" spans="1:4" s="14" customFormat="1" ht="15" customHeight="1" x14ac:dyDescent="0.25">
      <c r="B16" s="15">
        <f>SUM(B9:B15)</f>
        <v>-197526</v>
      </c>
      <c r="C16" s="16"/>
    </row>
    <row r="17" spans="1:9" s="14" customFormat="1" ht="15" customHeight="1" x14ac:dyDescent="0.25">
      <c r="A17" s="14" t="s">
        <v>2</v>
      </c>
      <c r="B17" s="15"/>
      <c r="C17" s="16"/>
    </row>
    <row r="18" spans="1:9" s="14" customFormat="1" ht="15" customHeight="1" x14ac:dyDescent="0.25">
      <c r="B18" s="15"/>
      <c r="C18" s="16"/>
    </row>
    <row r="19" spans="1:9" s="14" customFormat="1" ht="15" customHeight="1" x14ac:dyDescent="0.25">
      <c r="B19" s="15"/>
      <c r="C19" s="16"/>
    </row>
    <row r="20" spans="1:9" s="14" customFormat="1" ht="15" customHeight="1" x14ac:dyDescent="0.25">
      <c r="B20" s="15"/>
      <c r="C20" s="16"/>
    </row>
    <row r="21" spans="1:9" s="14" customFormat="1" ht="15" customHeight="1" x14ac:dyDescent="0.25">
      <c r="B21" s="15"/>
      <c r="C21" s="16"/>
    </row>
    <row r="22" spans="1:9" s="14" customFormat="1" ht="15" customHeight="1" x14ac:dyDescent="0.25">
      <c r="B22" s="15"/>
      <c r="C22" s="16"/>
    </row>
    <row r="23" spans="1:9" s="14" customFormat="1" ht="15" customHeight="1" x14ac:dyDescent="0.25">
      <c r="B23" s="15"/>
      <c r="C23" s="16"/>
    </row>
    <row r="24" spans="1:9" s="14" customFormat="1" ht="15" customHeight="1" x14ac:dyDescent="0.25">
      <c r="B24" s="15"/>
      <c r="C24" s="16"/>
    </row>
    <row r="25" spans="1:9" s="14" customFormat="1" ht="15" customHeight="1" x14ac:dyDescent="0.25">
      <c r="B25" s="15"/>
      <c r="C25" s="16"/>
    </row>
    <row r="26" spans="1:9" s="14" customFormat="1" ht="15" customHeight="1" x14ac:dyDescent="0.25">
      <c r="B26" s="15"/>
      <c r="C26" s="16"/>
    </row>
    <row r="27" spans="1:9" s="14" customFormat="1" ht="15" customHeight="1" x14ac:dyDescent="0.25">
      <c r="B27" s="15"/>
      <c r="C27" s="16"/>
    </row>
    <row r="28" spans="1:9" s="14" customFormat="1" ht="15" customHeight="1" x14ac:dyDescent="0.25">
      <c r="B28" s="15"/>
      <c r="C28" s="16"/>
    </row>
    <row r="29" spans="1:9" s="14" customFormat="1" ht="15" customHeight="1" x14ac:dyDescent="0.25">
      <c r="B29" s="15"/>
      <c r="C29" s="16"/>
    </row>
    <row r="30" spans="1:9" s="16" customFormat="1" ht="15" customHeight="1" x14ac:dyDescent="0.25">
      <c r="A30" s="14"/>
      <c r="B30" s="22"/>
      <c r="C30" s="12"/>
      <c r="D30" s="21"/>
      <c r="E30" s="21"/>
      <c r="F30" s="21"/>
      <c r="G30" s="21"/>
    </row>
    <row r="31" spans="1:9" s="16" customFormat="1" ht="15" customHeight="1" x14ac:dyDescent="0.25">
      <c r="A31" s="14"/>
      <c r="B31" s="15">
        <f>SUM(B18:B30)</f>
        <v>0</v>
      </c>
      <c r="D31" s="14"/>
      <c r="E31" s="14"/>
      <c r="F31" s="14"/>
      <c r="G31" s="14"/>
      <c r="H31" s="14"/>
      <c r="I31" s="14"/>
    </row>
    <row r="32" spans="1:9" s="16" customFormat="1" ht="15" customHeight="1" x14ac:dyDescent="0.25">
      <c r="A32" s="18" t="s">
        <v>1</v>
      </c>
      <c r="B32" s="19">
        <f>B31+B16</f>
        <v>-197526</v>
      </c>
      <c r="D32" s="14"/>
      <c r="E32" s="14"/>
      <c r="F32" s="14"/>
      <c r="G32" s="14"/>
      <c r="H32" s="14"/>
      <c r="I32" s="14"/>
    </row>
    <row r="33" spans="1:9" s="16" customFormat="1" ht="15" customHeight="1" x14ac:dyDescent="0.25">
      <c r="A33" s="14" t="s">
        <v>0</v>
      </c>
      <c r="B33" s="15">
        <f>B32-B7</f>
        <v>0</v>
      </c>
      <c r="D33" s="14"/>
      <c r="E33" s="14"/>
      <c r="F33" s="14"/>
      <c r="G33" s="14"/>
      <c r="H33" s="14"/>
      <c r="I33" s="14"/>
    </row>
    <row r="34" spans="1:9" s="2" customFormat="1" ht="20.100000000000001" customHeight="1" x14ac:dyDescent="0.3">
      <c r="A34" s="1"/>
      <c r="B34" s="3"/>
      <c r="D34" s="1"/>
      <c r="E34" s="1"/>
      <c r="F34" s="1"/>
      <c r="G34" s="1"/>
      <c r="H34" s="1"/>
      <c r="I34" s="1"/>
    </row>
    <row r="35" spans="1:9" s="2" customFormat="1" ht="20.100000000000001" customHeight="1" x14ac:dyDescent="0.3">
      <c r="A35" s="1"/>
      <c r="B35" s="3"/>
      <c r="D35" s="1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1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1"/>
      <c r="E37" s="1"/>
      <c r="F37" s="1"/>
      <c r="G37" s="1"/>
      <c r="H37" s="1"/>
      <c r="I37" s="1"/>
    </row>
    <row r="38" spans="1:9" s="2" customFormat="1" ht="20.100000000000001" customHeight="1" x14ac:dyDescent="0.3">
      <c r="A38"/>
      <c r="B38" s="10"/>
      <c r="D38" s="1"/>
      <c r="E38" s="1"/>
      <c r="F38" s="1"/>
      <c r="G38" s="1"/>
      <c r="H38" s="1"/>
      <c r="I38" s="1"/>
    </row>
    <row r="39" spans="1:9" s="2" customFormat="1" ht="20.100000000000001" customHeight="1" x14ac:dyDescent="0.3">
      <c r="A39"/>
      <c r="B39" s="10"/>
      <c r="D39" s="1"/>
      <c r="E39" s="1"/>
      <c r="F39" s="1"/>
      <c r="G39" s="1"/>
      <c r="H39" s="1"/>
      <c r="I39" s="1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39"/>
  <sheetViews>
    <sheetView workbookViewId="0">
      <selection activeCell="H10" sqref="H10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1.7109375" style="2" customWidth="1"/>
    <col min="4" max="4" width="11.7109375" style="1" customWidth="1"/>
    <col min="5" max="7" width="9.140625" style="1"/>
    <col min="8" max="8" width="17.7109375" style="1" customWidth="1"/>
    <col min="9" max="16384" width="9.140625" style="1"/>
  </cols>
  <sheetData>
    <row r="1" spans="1:3" s="14" customFormat="1" ht="15" customHeight="1" x14ac:dyDescent="0.25">
      <c r="A1" s="14" t="s">
        <v>304</v>
      </c>
      <c r="B1" s="15"/>
      <c r="C1" s="16"/>
    </row>
    <row r="2" spans="1:3" s="14" customFormat="1" ht="15" customHeight="1" x14ac:dyDescent="0.25">
      <c r="A2" s="17">
        <v>43404</v>
      </c>
      <c r="B2" s="15"/>
      <c r="C2" s="16"/>
    </row>
    <row r="3" spans="1:3" s="14" customFormat="1" ht="15" customHeight="1" x14ac:dyDescent="0.25">
      <c r="A3" s="14" t="s">
        <v>389</v>
      </c>
      <c r="B3" s="15">
        <v>4753713.5999999996</v>
      </c>
      <c r="C3" s="16"/>
    </row>
    <row r="4" spans="1:3" s="14" customFormat="1" ht="15" customHeight="1" x14ac:dyDescent="0.25">
      <c r="A4" s="14" t="s">
        <v>6</v>
      </c>
      <c r="B4" s="15"/>
      <c r="C4" s="16"/>
    </row>
    <row r="5" spans="1:3" s="14" customFormat="1" ht="15" customHeight="1" x14ac:dyDescent="0.25">
      <c r="A5" s="14">
        <v>2100</v>
      </c>
      <c r="B5" s="15">
        <v>-4753713.5999999996</v>
      </c>
      <c r="C5" s="16"/>
    </row>
    <row r="6" spans="1:3" s="14" customFormat="1" ht="15" customHeight="1" x14ac:dyDescent="0.25">
      <c r="A6" s="14" t="s">
        <v>5</v>
      </c>
      <c r="B6" s="15">
        <f>B5</f>
        <v>-4753713.5999999996</v>
      </c>
      <c r="C6" s="16"/>
    </row>
    <row r="7" spans="1:3" s="14" customFormat="1" ht="15" customHeight="1" x14ac:dyDescent="0.25">
      <c r="A7" s="18" t="s">
        <v>4</v>
      </c>
      <c r="B7" s="19">
        <f>SUM(B3+B6)</f>
        <v>0</v>
      </c>
      <c r="C7" s="16"/>
    </row>
    <row r="8" spans="1:3" s="14" customFormat="1" ht="15" customHeight="1" x14ac:dyDescent="0.25">
      <c r="A8" s="14" t="s">
        <v>3</v>
      </c>
      <c r="B8" s="15"/>
      <c r="C8" s="16"/>
    </row>
    <row r="9" spans="1:3" s="14" customFormat="1" ht="15" customHeight="1" x14ac:dyDescent="0.25">
      <c r="B9" s="15"/>
      <c r="C9" s="16"/>
    </row>
    <row r="10" spans="1:3" s="14" customFormat="1" ht="15" customHeight="1" x14ac:dyDescent="0.25">
      <c r="B10" s="15"/>
      <c r="C10" s="16"/>
    </row>
    <row r="11" spans="1:3" s="14" customFormat="1" ht="15" customHeight="1" x14ac:dyDescent="0.25">
      <c r="B11" s="15"/>
      <c r="C11" s="16"/>
    </row>
    <row r="12" spans="1:3" s="14" customFormat="1" ht="15" customHeight="1" x14ac:dyDescent="0.25">
      <c r="B12" s="15"/>
      <c r="C12" s="16"/>
    </row>
    <row r="13" spans="1:3" s="14" customFormat="1" ht="15" customHeight="1" x14ac:dyDescent="0.25">
      <c r="B13" s="15"/>
      <c r="C13" s="16"/>
    </row>
    <row r="14" spans="1:3" s="14" customFormat="1" ht="15" customHeight="1" x14ac:dyDescent="0.25">
      <c r="B14" s="15"/>
      <c r="C14" s="16"/>
    </row>
    <row r="15" spans="1:3" s="14" customFormat="1" ht="15" customHeight="1" x14ac:dyDescent="0.25">
      <c r="B15" s="15"/>
      <c r="C15" s="16"/>
    </row>
    <row r="16" spans="1:3" s="14" customFormat="1" ht="15" customHeight="1" x14ac:dyDescent="0.25">
      <c r="B16" s="15">
        <f>SUM(B9:B15)</f>
        <v>0</v>
      </c>
      <c r="C16" s="16"/>
    </row>
    <row r="17" spans="1:9" s="14" customFormat="1" ht="15" customHeight="1" x14ac:dyDescent="0.25">
      <c r="A17" s="14" t="s">
        <v>2</v>
      </c>
      <c r="B17" s="15"/>
      <c r="C17" s="16"/>
    </row>
    <row r="18" spans="1:9" s="14" customFormat="1" ht="15" customHeight="1" x14ac:dyDescent="0.25">
      <c r="B18" s="15"/>
      <c r="C18" s="16"/>
    </row>
    <row r="19" spans="1:9" s="14" customFormat="1" ht="15" customHeight="1" x14ac:dyDescent="0.25">
      <c r="B19" s="15"/>
      <c r="C19" s="16"/>
    </row>
    <row r="20" spans="1:9" s="14" customFormat="1" ht="15" customHeight="1" x14ac:dyDescent="0.25">
      <c r="B20" s="15"/>
      <c r="C20" s="16"/>
    </row>
    <row r="21" spans="1:9" s="14" customFormat="1" ht="15" customHeight="1" x14ac:dyDescent="0.25">
      <c r="B21" s="15"/>
      <c r="C21" s="16"/>
    </row>
    <row r="22" spans="1:9" s="14" customFormat="1" ht="15" customHeight="1" x14ac:dyDescent="0.25">
      <c r="B22" s="15"/>
      <c r="C22" s="16"/>
    </row>
    <row r="23" spans="1:9" s="14" customFormat="1" ht="15" customHeight="1" x14ac:dyDescent="0.25">
      <c r="B23" s="15"/>
      <c r="C23" s="16"/>
    </row>
    <row r="24" spans="1:9" s="14" customFormat="1" ht="15" customHeight="1" x14ac:dyDescent="0.25">
      <c r="B24" s="15"/>
      <c r="C24" s="16"/>
    </row>
    <row r="25" spans="1:9" s="14" customFormat="1" ht="15" customHeight="1" x14ac:dyDescent="0.25">
      <c r="B25" s="15"/>
      <c r="C25" s="16"/>
    </row>
    <row r="26" spans="1:9" s="14" customFormat="1" ht="15" customHeight="1" x14ac:dyDescent="0.25">
      <c r="B26" s="15"/>
      <c r="C26" s="16"/>
    </row>
    <row r="27" spans="1:9" s="14" customFormat="1" ht="15" customHeight="1" x14ac:dyDescent="0.25">
      <c r="B27" s="15"/>
      <c r="C27" s="16"/>
    </row>
    <row r="28" spans="1:9" s="14" customFormat="1" ht="15" customHeight="1" x14ac:dyDescent="0.25">
      <c r="B28" s="15"/>
      <c r="C28" s="16"/>
    </row>
    <row r="29" spans="1:9" s="14" customFormat="1" ht="15" customHeight="1" x14ac:dyDescent="0.25">
      <c r="B29" s="15"/>
      <c r="C29" s="16"/>
    </row>
    <row r="30" spans="1:9" s="16" customFormat="1" ht="15" customHeight="1" x14ac:dyDescent="0.25">
      <c r="A30" s="14"/>
      <c r="B30" s="22"/>
      <c r="C30" s="12"/>
      <c r="D30" s="21"/>
      <c r="E30" s="21"/>
      <c r="F30" s="21"/>
      <c r="G30" s="21"/>
    </row>
    <row r="31" spans="1:9" s="16" customFormat="1" ht="15" customHeight="1" x14ac:dyDescent="0.25">
      <c r="A31" s="14"/>
      <c r="B31" s="15">
        <f>SUM(B18:B30)</f>
        <v>0</v>
      </c>
      <c r="D31" s="14"/>
      <c r="E31" s="14"/>
      <c r="F31" s="14"/>
      <c r="G31" s="14"/>
      <c r="H31" s="14"/>
      <c r="I31" s="14"/>
    </row>
    <row r="32" spans="1:9" s="16" customFormat="1" ht="15" customHeight="1" x14ac:dyDescent="0.25">
      <c r="A32" s="18" t="s">
        <v>1</v>
      </c>
      <c r="B32" s="19">
        <f>B31+B16</f>
        <v>0</v>
      </c>
      <c r="D32" s="14"/>
      <c r="E32" s="14"/>
      <c r="F32" s="14"/>
      <c r="G32" s="14"/>
      <c r="H32" s="14"/>
      <c r="I32" s="14"/>
    </row>
    <row r="33" spans="1:9" s="16" customFormat="1" ht="15" customHeight="1" x14ac:dyDescent="0.25">
      <c r="A33" s="14" t="s">
        <v>0</v>
      </c>
      <c r="B33" s="15">
        <f>B32-B7</f>
        <v>0</v>
      </c>
      <c r="D33" s="14"/>
      <c r="E33" s="14"/>
      <c r="F33" s="14"/>
      <c r="G33" s="14"/>
      <c r="H33" s="14"/>
      <c r="I33" s="14"/>
    </row>
    <row r="34" spans="1:9" s="2" customFormat="1" ht="20.100000000000001" customHeight="1" x14ac:dyDescent="0.3">
      <c r="A34" s="1"/>
      <c r="B34" s="3"/>
      <c r="D34" s="1"/>
      <c r="E34" s="1"/>
      <c r="F34" s="1"/>
      <c r="G34" s="1"/>
      <c r="H34" s="1"/>
      <c r="I34" s="1"/>
    </row>
    <row r="35" spans="1:9" s="2" customFormat="1" ht="20.100000000000001" customHeight="1" x14ac:dyDescent="0.3">
      <c r="A35" s="1"/>
      <c r="B35" s="3"/>
      <c r="D35" s="1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1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1"/>
      <c r="E37" s="1"/>
      <c r="F37" s="1"/>
      <c r="G37" s="1"/>
      <c r="H37" s="1"/>
      <c r="I37" s="1"/>
    </row>
    <row r="38" spans="1:9" s="2" customFormat="1" ht="20.100000000000001" customHeight="1" x14ac:dyDescent="0.3">
      <c r="A38"/>
      <c r="B38" s="10"/>
      <c r="D38" s="1"/>
      <c r="E38" s="1"/>
      <c r="F38" s="1"/>
      <c r="G38" s="1"/>
      <c r="H38" s="1"/>
      <c r="I38" s="1"/>
    </row>
    <row r="39" spans="1:9" s="2" customFormat="1" ht="20.100000000000001" customHeight="1" x14ac:dyDescent="0.3">
      <c r="A39"/>
      <c r="B39" s="10"/>
      <c r="D39" s="1"/>
      <c r="E39" s="1"/>
      <c r="F39" s="1"/>
      <c r="G39" s="1"/>
      <c r="H39" s="1"/>
      <c r="I39" s="1"/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39"/>
  <sheetViews>
    <sheetView workbookViewId="0">
      <selection activeCell="C30" sqref="C30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43434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5211551.3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-5384484.2999999998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-5384484.2999999998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-172933</v>
      </c>
      <c r="C7" s="16"/>
      <c r="D7" s="23"/>
    </row>
    <row r="8" spans="1:4" s="14" customFormat="1" ht="15" customHeight="1" x14ac:dyDescent="0.25">
      <c r="A8" s="14" t="s">
        <v>3</v>
      </c>
      <c r="B8" s="15"/>
      <c r="C8" s="26" t="s">
        <v>729</v>
      </c>
      <c r="D8" s="28" t="s">
        <v>730</v>
      </c>
    </row>
    <row r="9" spans="1:4" s="14" customFormat="1" ht="15" customHeight="1" x14ac:dyDescent="0.25">
      <c r="A9" s="14" t="s">
        <v>711</v>
      </c>
      <c r="B9" s="15">
        <v>-25422</v>
      </c>
      <c r="C9" s="27">
        <v>43433</v>
      </c>
      <c r="D9" s="23">
        <v>43437</v>
      </c>
    </row>
    <row r="10" spans="1:4" s="14" customFormat="1" ht="15" customHeight="1" x14ac:dyDescent="0.25">
      <c r="A10" s="14" t="s">
        <v>712</v>
      </c>
      <c r="B10" s="15">
        <v>-28069</v>
      </c>
      <c r="C10" s="27">
        <v>43433</v>
      </c>
      <c r="D10" s="23">
        <v>43437</v>
      </c>
    </row>
    <row r="11" spans="1:4" s="14" customFormat="1" ht="15" customHeight="1" x14ac:dyDescent="0.25">
      <c r="A11" s="14" t="s">
        <v>713</v>
      </c>
      <c r="B11" s="15">
        <v>-28247</v>
      </c>
      <c r="C11" s="27">
        <v>43433</v>
      </c>
      <c r="D11" s="23">
        <v>43437</v>
      </c>
    </row>
    <row r="12" spans="1:4" s="14" customFormat="1" ht="15" customHeight="1" x14ac:dyDescent="0.25">
      <c r="A12" s="14" t="s">
        <v>714</v>
      </c>
      <c r="B12" s="15">
        <v>-28336</v>
      </c>
      <c r="C12" s="27">
        <v>43433</v>
      </c>
      <c r="D12" s="23">
        <v>43438</v>
      </c>
    </row>
    <row r="13" spans="1:4" s="14" customFormat="1" ht="15" customHeight="1" x14ac:dyDescent="0.25">
      <c r="A13" s="14" t="s">
        <v>715</v>
      </c>
      <c r="B13" s="15">
        <v>-28336</v>
      </c>
      <c r="C13" s="27">
        <v>43433</v>
      </c>
      <c r="D13" s="23">
        <v>43437</v>
      </c>
    </row>
    <row r="14" spans="1:4" s="14" customFormat="1" ht="15" customHeight="1" x14ac:dyDescent="0.25">
      <c r="A14" s="14" t="s">
        <v>716</v>
      </c>
      <c r="B14" s="15">
        <v>-28979</v>
      </c>
      <c r="C14" s="27">
        <v>43433</v>
      </c>
      <c r="D14" s="23">
        <v>43437</v>
      </c>
    </row>
    <row r="15" spans="1:4" s="14" customFormat="1" ht="15" customHeight="1" x14ac:dyDescent="0.25">
      <c r="A15" s="14" t="s">
        <v>717</v>
      </c>
      <c r="B15" s="15">
        <v>-31083</v>
      </c>
      <c r="C15" s="27">
        <v>43433</v>
      </c>
      <c r="D15" s="23">
        <v>43437</v>
      </c>
    </row>
    <row r="16" spans="1:4" s="14" customFormat="1" ht="15" customHeight="1" x14ac:dyDescent="0.25">
      <c r="A16" s="14" t="s">
        <v>718</v>
      </c>
      <c r="B16" s="15">
        <v>-31318</v>
      </c>
      <c r="C16" s="27">
        <v>43433</v>
      </c>
      <c r="D16" s="23">
        <v>43437</v>
      </c>
    </row>
    <row r="17" spans="1:9" s="14" customFormat="1" ht="15" customHeight="1" x14ac:dyDescent="0.25">
      <c r="A17" s="14" t="s">
        <v>719</v>
      </c>
      <c r="B17" s="15">
        <v>-33043</v>
      </c>
      <c r="C17" s="27">
        <v>43433</v>
      </c>
      <c r="D17" s="23">
        <v>43437</v>
      </c>
    </row>
    <row r="18" spans="1:9" s="14" customFormat="1" ht="15" customHeight="1" x14ac:dyDescent="0.25">
      <c r="A18" s="14" t="s">
        <v>720</v>
      </c>
      <c r="B18" s="15">
        <v>-33193</v>
      </c>
      <c r="C18" s="27">
        <v>43433</v>
      </c>
      <c r="D18" s="23">
        <v>43437</v>
      </c>
    </row>
    <row r="19" spans="1:9" s="14" customFormat="1" ht="15" customHeight="1" x14ac:dyDescent="0.25">
      <c r="A19" s="14" t="s">
        <v>721</v>
      </c>
      <c r="B19" s="15">
        <v>-33703</v>
      </c>
      <c r="C19" s="27">
        <v>43433</v>
      </c>
      <c r="D19" s="23">
        <v>43437</v>
      </c>
    </row>
    <row r="20" spans="1:9" s="14" customFormat="1" ht="15" customHeight="1" x14ac:dyDescent="0.25">
      <c r="B20" s="15"/>
      <c r="C20" s="16"/>
      <c r="D20" s="23"/>
    </row>
    <row r="21" spans="1:9" s="14" customFormat="1" ht="15" customHeight="1" x14ac:dyDescent="0.25">
      <c r="B21" s="15">
        <f>SUM(B9:B20)</f>
        <v>-329729</v>
      </c>
      <c r="C21" s="16"/>
      <c r="D21" s="23"/>
    </row>
    <row r="22" spans="1:9" s="14" customFormat="1" ht="15" customHeight="1" x14ac:dyDescent="0.25">
      <c r="A22" s="14" t="s">
        <v>2</v>
      </c>
      <c r="B22" s="15"/>
      <c r="C22" s="26" t="s">
        <v>730</v>
      </c>
      <c r="D22" s="28" t="s">
        <v>729</v>
      </c>
    </row>
    <row r="23" spans="1:9" s="14" customFormat="1" ht="15" customHeight="1" x14ac:dyDescent="0.25">
      <c r="A23" s="14" t="s">
        <v>722</v>
      </c>
      <c r="B23" s="15">
        <v>21659</v>
      </c>
      <c r="C23" s="27">
        <v>43433</v>
      </c>
      <c r="D23" s="23">
        <v>43438</v>
      </c>
    </row>
    <row r="24" spans="1:9" s="14" customFormat="1" ht="15" customHeight="1" x14ac:dyDescent="0.25">
      <c r="A24" s="14" t="s">
        <v>723</v>
      </c>
      <c r="B24" s="15">
        <v>21830</v>
      </c>
      <c r="C24" s="27">
        <v>43433</v>
      </c>
      <c r="D24" s="23">
        <v>43438</v>
      </c>
    </row>
    <row r="25" spans="1:9" s="14" customFormat="1" ht="15" customHeight="1" x14ac:dyDescent="0.25">
      <c r="A25" s="14" t="s">
        <v>724</v>
      </c>
      <c r="B25" s="15">
        <v>22116</v>
      </c>
      <c r="C25" s="27">
        <v>43433</v>
      </c>
      <c r="D25" s="23">
        <v>43438</v>
      </c>
    </row>
    <row r="26" spans="1:9" s="14" customFormat="1" ht="15" customHeight="1" x14ac:dyDescent="0.25">
      <c r="A26" s="14" t="s">
        <v>725</v>
      </c>
      <c r="B26" s="15">
        <v>22374</v>
      </c>
      <c r="C26" s="27">
        <v>43433</v>
      </c>
      <c r="D26" s="23">
        <v>43438</v>
      </c>
    </row>
    <row r="27" spans="1:9" s="14" customFormat="1" ht="15" customHeight="1" x14ac:dyDescent="0.25">
      <c r="A27" s="14" t="s">
        <v>726</v>
      </c>
      <c r="B27" s="15">
        <v>22405</v>
      </c>
      <c r="C27" s="27">
        <v>43433</v>
      </c>
      <c r="D27" s="23">
        <v>43438</v>
      </c>
    </row>
    <row r="28" spans="1:9" s="14" customFormat="1" ht="15" customHeight="1" x14ac:dyDescent="0.25">
      <c r="A28" s="14" t="s">
        <v>727</v>
      </c>
      <c r="B28" s="15">
        <v>23120</v>
      </c>
      <c r="C28" s="27">
        <v>43433</v>
      </c>
      <c r="D28" s="23">
        <v>43438</v>
      </c>
    </row>
    <row r="29" spans="1:9" s="14" customFormat="1" ht="15" customHeight="1" x14ac:dyDescent="0.25">
      <c r="A29" s="14" t="s">
        <v>728</v>
      </c>
      <c r="B29" s="15">
        <v>23292</v>
      </c>
      <c r="C29" s="27">
        <v>43433</v>
      </c>
      <c r="D29" s="23">
        <v>43438</v>
      </c>
    </row>
    <row r="30" spans="1:9" s="16" customFormat="1" ht="15" customHeight="1" x14ac:dyDescent="0.25">
      <c r="A30" s="14"/>
      <c r="B30" s="22"/>
      <c r="C30" s="12"/>
      <c r="D30" s="21"/>
      <c r="E30" s="21"/>
      <c r="F30" s="21"/>
      <c r="G30" s="21"/>
    </row>
    <row r="31" spans="1:9" s="16" customFormat="1" ht="15" customHeight="1" x14ac:dyDescent="0.25">
      <c r="A31" s="14"/>
      <c r="B31" s="15">
        <f>SUM(B23:B30)</f>
        <v>156796</v>
      </c>
      <c r="D31" s="23"/>
      <c r="E31" s="14"/>
      <c r="F31" s="14"/>
      <c r="G31" s="14"/>
      <c r="H31" s="14"/>
      <c r="I31" s="14"/>
    </row>
    <row r="32" spans="1:9" s="16" customFormat="1" ht="15" customHeight="1" x14ac:dyDescent="0.25">
      <c r="A32" s="18" t="s">
        <v>1</v>
      </c>
      <c r="B32" s="19">
        <f>B31+B21</f>
        <v>-172933</v>
      </c>
      <c r="D32" s="23"/>
      <c r="E32" s="14"/>
      <c r="F32" s="14"/>
      <c r="G32" s="14"/>
      <c r="H32" s="14"/>
      <c r="I32" s="14"/>
    </row>
    <row r="33" spans="1:9" s="16" customFormat="1" ht="15" customHeight="1" x14ac:dyDescent="0.25">
      <c r="A33" s="14" t="s">
        <v>0</v>
      </c>
      <c r="B33" s="15">
        <f>B32-B7</f>
        <v>0</v>
      </c>
      <c r="D33" s="23"/>
      <c r="E33" s="14"/>
      <c r="F33" s="14"/>
      <c r="G33" s="14"/>
      <c r="H33" s="14"/>
      <c r="I33" s="14"/>
    </row>
    <row r="34" spans="1:9" s="2" customFormat="1" ht="20.100000000000001" customHeight="1" x14ac:dyDescent="0.3">
      <c r="A34" s="1"/>
      <c r="B34" s="3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 s="1"/>
      <c r="B35" s="3"/>
      <c r="D35" s="29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9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9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28"/>
  <sheetViews>
    <sheetView workbookViewId="0">
      <selection activeCell="C17" sqref="C17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43496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5364424.8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-5417299.7999999998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-5417299.7999999998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-52875</v>
      </c>
      <c r="C7" s="16"/>
      <c r="D7" s="23"/>
    </row>
    <row r="8" spans="1:4" s="14" customFormat="1" ht="15" customHeight="1" x14ac:dyDescent="0.25">
      <c r="A8" s="14" t="s">
        <v>3</v>
      </c>
      <c r="B8" s="15"/>
      <c r="C8" s="26" t="s">
        <v>729</v>
      </c>
      <c r="D8" s="28" t="s">
        <v>730</v>
      </c>
    </row>
    <row r="9" spans="1:4" s="14" customFormat="1" ht="15" customHeight="1" x14ac:dyDescent="0.25">
      <c r="A9" s="14" t="s">
        <v>731</v>
      </c>
      <c r="B9" s="15">
        <v>-34823</v>
      </c>
      <c r="C9" s="27">
        <v>43496</v>
      </c>
      <c r="D9" s="23">
        <v>43502</v>
      </c>
    </row>
    <row r="10" spans="1:4" s="14" customFormat="1" ht="15" customHeight="1" x14ac:dyDescent="0.25">
      <c r="A10" s="14" t="s">
        <v>732</v>
      </c>
      <c r="B10" s="15">
        <v>-40140</v>
      </c>
      <c r="C10" s="27">
        <v>43496</v>
      </c>
      <c r="D10" s="23">
        <v>43502</v>
      </c>
    </row>
    <row r="11" spans="1:4" s="14" customFormat="1" ht="15" customHeight="1" x14ac:dyDescent="0.25">
      <c r="B11" s="15"/>
      <c r="C11" s="27"/>
      <c r="D11" s="23"/>
    </row>
    <row r="12" spans="1:4" s="14" customFormat="1" ht="15" customHeight="1" x14ac:dyDescent="0.25">
      <c r="B12" s="15"/>
      <c r="C12" s="27"/>
      <c r="D12" s="23"/>
    </row>
    <row r="13" spans="1:4" s="14" customFormat="1" ht="15" customHeight="1" x14ac:dyDescent="0.25">
      <c r="B13" s="15"/>
      <c r="C13" s="16"/>
      <c r="D13" s="23"/>
    </row>
    <row r="14" spans="1:4" s="14" customFormat="1" ht="15" customHeight="1" x14ac:dyDescent="0.25">
      <c r="B14" s="15">
        <f>SUM(B9:B13)</f>
        <v>-74963</v>
      </c>
      <c r="C14" s="16"/>
      <c r="D14" s="23"/>
    </row>
    <row r="15" spans="1:4" s="14" customFormat="1" ht="15" customHeight="1" x14ac:dyDescent="0.25">
      <c r="A15" s="14" t="s">
        <v>2</v>
      </c>
      <c r="B15" s="15"/>
      <c r="C15" s="26" t="s">
        <v>730</v>
      </c>
      <c r="D15" s="28" t="s">
        <v>729</v>
      </c>
    </row>
    <row r="16" spans="1:4" s="14" customFormat="1" ht="15" customHeight="1" x14ac:dyDescent="0.25">
      <c r="A16" s="14" t="s">
        <v>733</v>
      </c>
      <c r="B16" s="15">
        <v>22088</v>
      </c>
      <c r="C16" s="27">
        <v>43468</v>
      </c>
      <c r="D16" s="23">
        <v>43500</v>
      </c>
    </row>
    <row r="17" spans="1:9" s="14" customFormat="1" ht="15" customHeight="1" x14ac:dyDescent="0.25">
      <c r="B17" s="15"/>
      <c r="C17" s="27"/>
      <c r="D17" s="23"/>
    </row>
    <row r="18" spans="1:9" s="14" customFormat="1" ht="15" customHeight="1" x14ac:dyDescent="0.25">
      <c r="B18" s="15"/>
      <c r="C18" s="27"/>
      <c r="D18" s="23"/>
    </row>
    <row r="19" spans="1:9" s="16" customFormat="1" ht="15" customHeight="1" x14ac:dyDescent="0.25">
      <c r="A19" s="14"/>
      <c r="B19" s="22"/>
      <c r="C19" s="12"/>
      <c r="D19" s="21"/>
      <c r="E19" s="21"/>
      <c r="F19" s="21"/>
      <c r="G19" s="21"/>
    </row>
    <row r="20" spans="1:9" s="16" customFormat="1" ht="15" customHeight="1" x14ac:dyDescent="0.25">
      <c r="A20" s="14"/>
      <c r="B20" s="15">
        <f>SUM(B16:B19)</f>
        <v>22088</v>
      </c>
      <c r="D20" s="23"/>
      <c r="E20" s="14"/>
      <c r="F20" s="14"/>
      <c r="G20" s="14"/>
      <c r="H20" s="14"/>
      <c r="I20" s="14"/>
    </row>
    <row r="21" spans="1:9" s="16" customFormat="1" ht="15" customHeight="1" x14ac:dyDescent="0.25">
      <c r="A21" s="18" t="s">
        <v>1</v>
      </c>
      <c r="B21" s="19">
        <f>B20+B14</f>
        <v>-52875</v>
      </c>
      <c r="D21" s="23"/>
      <c r="E21" s="14"/>
      <c r="F21" s="14"/>
      <c r="G21" s="14"/>
      <c r="H21" s="14"/>
      <c r="I21" s="14"/>
    </row>
    <row r="22" spans="1:9" s="16" customFormat="1" ht="15" customHeight="1" x14ac:dyDescent="0.25">
      <c r="A22" s="14" t="s">
        <v>0</v>
      </c>
      <c r="B22" s="15">
        <f>B21-B7</f>
        <v>0</v>
      </c>
      <c r="D22" s="23"/>
      <c r="E22" s="14"/>
      <c r="F22" s="14"/>
      <c r="G22" s="14"/>
      <c r="H22" s="14"/>
      <c r="I22" s="14"/>
    </row>
    <row r="23" spans="1:9" s="2" customFormat="1" ht="20.100000000000001" customHeight="1" x14ac:dyDescent="0.3">
      <c r="A23" s="1"/>
      <c r="B23" s="3"/>
      <c r="D23" s="29"/>
      <c r="E23" s="1"/>
      <c r="F23" s="1"/>
      <c r="G23" s="1"/>
      <c r="H23" s="1"/>
      <c r="I23" s="1"/>
    </row>
    <row r="24" spans="1:9" s="2" customFormat="1" ht="20.100000000000001" customHeight="1" x14ac:dyDescent="0.3">
      <c r="A24" s="1"/>
      <c r="B24" s="3"/>
      <c r="D24" s="29"/>
      <c r="E24" s="1"/>
      <c r="F24" s="1"/>
      <c r="G24" s="1"/>
      <c r="H24" s="1"/>
      <c r="I24" s="1"/>
    </row>
    <row r="25" spans="1:9" s="2" customFormat="1" ht="20.100000000000001" customHeight="1" x14ac:dyDescent="0.3">
      <c r="A25"/>
      <c r="B25" s="10"/>
      <c r="D25" s="29"/>
      <c r="E25" s="1"/>
      <c r="F25" s="1"/>
      <c r="G25" s="1"/>
      <c r="H25" s="1"/>
      <c r="I25" s="1"/>
    </row>
    <row r="26" spans="1:9" s="2" customFormat="1" ht="20.100000000000001" customHeight="1" x14ac:dyDescent="0.3">
      <c r="A26"/>
      <c r="B26" s="10"/>
      <c r="D26" s="29"/>
      <c r="E26" s="1"/>
      <c r="F26" s="1"/>
      <c r="G26" s="1"/>
      <c r="H26" s="1"/>
      <c r="I26" s="1"/>
    </row>
    <row r="27" spans="1:9" s="2" customFormat="1" ht="20.100000000000001" customHeight="1" x14ac:dyDescent="0.3">
      <c r="A27"/>
      <c r="B27" s="10"/>
      <c r="D27" s="29"/>
      <c r="E27" s="1"/>
      <c r="F27" s="1"/>
      <c r="G27" s="1"/>
      <c r="H27" s="1"/>
      <c r="I27" s="1"/>
    </row>
    <row r="28" spans="1:9" s="2" customFormat="1" ht="20.100000000000001" customHeight="1" x14ac:dyDescent="0.3">
      <c r="A28"/>
      <c r="B28" s="10"/>
      <c r="D28" s="29"/>
      <c r="E28" s="1"/>
      <c r="F28" s="1"/>
      <c r="G28" s="1"/>
      <c r="H28" s="1"/>
      <c r="I28" s="1"/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37"/>
  <sheetViews>
    <sheetView workbookViewId="0">
      <selection activeCell="D28" sqref="D28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43524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4609177.2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-4186828.7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-4186828.7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422348.5</v>
      </c>
      <c r="C7" s="16"/>
      <c r="D7" s="23"/>
    </row>
    <row r="8" spans="1:4" s="14" customFormat="1" ht="15" customHeight="1" x14ac:dyDescent="0.25">
      <c r="A8" s="14" t="s">
        <v>3</v>
      </c>
      <c r="B8" s="15"/>
      <c r="C8" s="26" t="s">
        <v>729</v>
      </c>
      <c r="D8" s="28" t="s">
        <v>730</v>
      </c>
    </row>
    <row r="9" spans="1:4" s="14" customFormat="1" ht="15" customHeight="1" x14ac:dyDescent="0.25">
      <c r="A9" s="14" t="s">
        <v>734</v>
      </c>
      <c r="B9" s="15">
        <v>-12307.7</v>
      </c>
      <c r="C9" s="27" t="s">
        <v>736</v>
      </c>
      <c r="D9" s="23"/>
    </row>
    <row r="10" spans="1:4" s="14" customFormat="1" ht="15" customHeight="1" x14ac:dyDescent="0.25">
      <c r="B10" s="15"/>
      <c r="C10" s="27"/>
      <c r="D10" s="23"/>
    </row>
    <row r="11" spans="1:4" s="14" customFormat="1" ht="15" customHeight="1" x14ac:dyDescent="0.25">
      <c r="B11" s="15"/>
      <c r="C11" s="27"/>
      <c r="D11" s="23"/>
    </row>
    <row r="12" spans="1:4" s="14" customFormat="1" ht="15" customHeight="1" x14ac:dyDescent="0.25">
      <c r="B12" s="15"/>
      <c r="C12" s="27"/>
      <c r="D12" s="23"/>
    </row>
    <row r="13" spans="1:4" s="14" customFormat="1" ht="15" customHeight="1" x14ac:dyDescent="0.25">
      <c r="B13" s="15"/>
      <c r="C13" s="16"/>
      <c r="D13" s="23"/>
    </row>
    <row r="14" spans="1:4" s="14" customFormat="1" ht="15" customHeight="1" x14ac:dyDescent="0.25">
      <c r="B14" s="15">
        <f>SUM(B9:B13)</f>
        <v>-12307.7</v>
      </c>
      <c r="C14" s="16"/>
      <c r="D14" s="23"/>
    </row>
    <row r="15" spans="1:4" s="14" customFormat="1" ht="15" customHeight="1" x14ac:dyDescent="0.25">
      <c r="A15" s="14" t="s">
        <v>2</v>
      </c>
      <c r="B15" s="15"/>
      <c r="C15" s="26" t="s">
        <v>730</v>
      </c>
      <c r="D15" s="28" t="s">
        <v>729</v>
      </c>
    </row>
    <row r="16" spans="1:4" s="14" customFormat="1" ht="15" customHeight="1" x14ac:dyDescent="0.25">
      <c r="A16" s="14" t="s">
        <v>735</v>
      </c>
      <c r="B16" s="15">
        <v>12307.2</v>
      </c>
      <c r="C16" s="27" t="s">
        <v>737</v>
      </c>
      <c r="D16" s="23"/>
    </row>
    <row r="17" spans="1:9" s="14" customFormat="1" ht="15" customHeight="1" x14ac:dyDescent="0.25">
      <c r="A17" s="14" t="s">
        <v>738</v>
      </c>
      <c r="B17" s="15">
        <v>34420</v>
      </c>
      <c r="C17" s="27">
        <v>43508</v>
      </c>
      <c r="D17" s="23">
        <v>43525</v>
      </c>
    </row>
    <row r="18" spans="1:9" s="14" customFormat="1" ht="15" customHeight="1" x14ac:dyDescent="0.25">
      <c r="A18" s="14" t="s">
        <v>739</v>
      </c>
      <c r="B18" s="15">
        <v>34556</v>
      </c>
      <c r="C18" s="27">
        <v>43508</v>
      </c>
      <c r="D18" s="23">
        <v>43525</v>
      </c>
    </row>
    <row r="19" spans="1:9" s="14" customFormat="1" ht="15" customHeight="1" x14ac:dyDescent="0.25">
      <c r="A19" s="14" t="s">
        <v>740</v>
      </c>
      <c r="B19" s="15">
        <v>36475</v>
      </c>
      <c r="C19" s="27">
        <v>43508</v>
      </c>
      <c r="D19" s="23">
        <v>43528</v>
      </c>
    </row>
    <row r="20" spans="1:9" s="14" customFormat="1" ht="15" customHeight="1" x14ac:dyDescent="0.25">
      <c r="A20" s="14" t="s">
        <v>741</v>
      </c>
      <c r="B20" s="15">
        <v>36733</v>
      </c>
      <c r="C20" s="27">
        <v>43508</v>
      </c>
      <c r="D20" s="23">
        <v>43525</v>
      </c>
    </row>
    <row r="21" spans="1:9" s="14" customFormat="1" ht="15" customHeight="1" x14ac:dyDescent="0.25">
      <c r="A21" s="14" t="s">
        <v>742</v>
      </c>
      <c r="B21" s="15">
        <v>36773</v>
      </c>
      <c r="C21" s="27">
        <v>43508</v>
      </c>
      <c r="D21" s="23">
        <v>43528</v>
      </c>
    </row>
    <row r="22" spans="1:9" s="14" customFormat="1" ht="15" customHeight="1" x14ac:dyDescent="0.25">
      <c r="A22" s="14" t="s">
        <v>743</v>
      </c>
      <c r="B22" s="15">
        <v>39676</v>
      </c>
      <c r="C22" s="27">
        <v>43507</v>
      </c>
      <c r="D22" s="23">
        <v>43525</v>
      </c>
    </row>
    <row r="23" spans="1:9" s="14" customFormat="1" ht="15" customHeight="1" x14ac:dyDescent="0.25">
      <c r="A23" s="14" t="s">
        <v>744</v>
      </c>
      <c r="B23" s="15">
        <v>39800</v>
      </c>
      <c r="C23" s="27">
        <v>43508</v>
      </c>
      <c r="D23" s="23">
        <v>43528</v>
      </c>
    </row>
    <row r="24" spans="1:9" s="14" customFormat="1" ht="15" customHeight="1" x14ac:dyDescent="0.25">
      <c r="A24" s="14" t="s">
        <v>745</v>
      </c>
      <c r="B24" s="15">
        <v>39848</v>
      </c>
      <c r="C24" s="27">
        <v>43507</v>
      </c>
      <c r="D24" s="23">
        <v>43525</v>
      </c>
    </row>
    <row r="25" spans="1:9" s="14" customFormat="1" ht="15" customHeight="1" x14ac:dyDescent="0.25">
      <c r="A25" s="14" t="s">
        <v>746</v>
      </c>
      <c r="B25" s="15">
        <v>39886</v>
      </c>
      <c r="C25" s="27">
        <v>43507</v>
      </c>
      <c r="D25" s="23">
        <v>43528</v>
      </c>
    </row>
    <row r="26" spans="1:9" s="14" customFormat="1" ht="15" customHeight="1" x14ac:dyDescent="0.25">
      <c r="A26" s="14" t="s">
        <v>747</v>
      </c>
      <c r="B26" s="15">
        <v>39934</v>
      </c>
      <c r="C26" s="27">
        <v>43507</v>
      </c>
      <c r="D26" s="23">
        <v>43525</v>
      </c>
    </row>
    <row r="27" spans="1:9" s="14" customFormat="1" ht="15" customHeight="1" x14ac:dyDescent="0.25">
      <c r="A27" s="14" t="s">
        <v>748</v>
      </c>
      <c r="B27" s="15">
        <v>44248</v>
      </c>
      <c r="C27" s="27">
        <v>43508</v>
      </c>
      <c r="D27" s="23">
        <v>43525</v>
      </c>
    </row>
    <row r="28" spans="1:9" s="16" customFormat="1" ht="15" customHeight="1" x14ac:dyDescent="0.25">
      <c r="A28" s="14"/>
      <c r="B28" s="22"/>
      <c r="C28" s="12"/>
      <c r="D28" s="21"/>
      <c r="E28" s="21"/>
      <c r="F28" s="21"/>
      <c r="G28" s="21"/>
    </row>
    <row r="29" spans="1:9" s="16" customFormat="1" ht="15" customHeight="1" x14ac:dyDescent="0.25">
      <c r="A29" s="14"/>
      <c r="B29" s="15">
        <f>SUM(B16:B28)</f>
        <v>434656.2</v>
      </c>
      <c r="D29" s="23"/>
      <c r="E29" s="14"/>
      <c r="F29" s="14"/>
      <c r="G29" s="14"/>
      <c r="H29" s="14"/>
      <c r="I29" s="14"/>
    </row>
    <row r="30" spans="1:9" s="16" customFormat="1" ht="15" customHeight="1" x14ac:dyDescent="0.25">
      <c r="A30" s="18" t="s">
        <v>1</v>
      </c>
      <c r="B30" s="19">
        <f>B29+B14</f>
        <v>422348.5</v>
      </c>
      <c r="D30" s="23"/>
      <c r="E30" s="14"/>
      <c r="F30" s="14"/>
      <c r="G30" s="14"/>
      <c r="H30" s="14"/>
      <c r="I30" s="14"/>
    </row>
    <row r="31" spans="1:9" s="16" customFormat="1" ht="15" customHeight="1" x14ac:dyDescent="0.25">
      <c r="A31" s="14" t="s">
        <v>0</v>
      </c>
      <c r="B31" s="15">
        <f>B30-B7</f>
        <v>0</v>
      </c>
      <c r="D31" s="23"/>
      <c r="E31" s="14"/>
      <c r="F31" s="14"/>
      <c r="G31" s="14"/>
      <c r="H31" s="14"/>
      <c r="I31" s="14"/>
    </row>
    <row r="32" spans="1:9" s="2" customFormat="1" ht="20.100000000000001" customHeight="1" x14ac:dyDescent="0.3">
      <c r="A32" s="1"/>
      <c r="B32" s="3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 s="1"/>
      <c r="B33" s="3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I44"/>
  <sheetViews>
    <sheetView workbookViewId="0">
      <selection activeCell="D22" sqref="D22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43555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4800556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-4962263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-4962263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-161707</v>
      </c>
      <c r="C7" s="16"/>
      <c r="D7" s="23"/>
    </row>
    <row r="8" spans="1:4" s="14" customFormat="1" ht="15" customHeight="1" x14ac:dyDescent="0.25">
      <c r="A8" s="14" t="s">
        <v>3</v>
      </c>
      <c r="B8" s="15"/>
      <c r="C8" s="26" t="s">
        <v>729</v>
      </c>
      <c r="D8" s="28" t="s">
        <v>730</v>
      </c>
    </row>
    <row r="9" spans="1:4" s="14" customFormat="1" ht="15" customHeight="1" x14ac:dyDescent="0.25">
      <c r="A9" s="14" t="s">
        <v>749</v>
      </c>
      <c r="B9" s="15">
        <v>-22534</v>
      </c>
      <c r="C9" s="27">
        <v>43553</v>
      </c>
      <c r="D9" s="23">
        <v>43556</v>
      </c>
    </row>
    <row r="10" spans="1:4" s="14" customFormat="1" ht="15" customHeight="1" x14ac:dyDescent="0.25">
      <c r="A10" s="14" t="s">
        <v>750</v>
      </c>
      <c r="B10" s="15">
        <v>-22706</v>
      </c>
      <c r="C10" s="27">
        <v>43553</v>
      </c>
      <c r="D10" s="23">
        <v>43556</v>
      </c>
    </row>
    <row r="11" spans="1:4" s="14" customFormat="1" ht="15" customHeight="1" x14ac:dyDescent="0.25">
      <c r="A11" s="14" t="s">
        <v>751</v>
      </c>
      <c r="B11" s="15">
        <v>-24942</v>
      </c>
      <c r="C11" s="27">
        <v>43553</v>
      </c>
      <c r="D11" s="23">
        <v>43558</v>
      </c>
    </row>
    <row r="12" spans="1:4" s="14" customFormat="1" ht="15" customHeight="1" x14ac:dyDescent="0.25">
      <c r="A12" s="14" t="s">
        <v>752</v>
      </c>
      <c r="B12" s="15">
        <v>-25190</v>
      </c>
      <c r="C12" s="27">
        <v>43553</v>
      </c>
      <c r="D12" s="23">
        <v>43556</v>
      </c>
    </row>
    <row r="13" spans="1:4" s="14" customFormat="1" ht="15" customHeight="1" x14ac:dyDescent="0.25">
      <c r="A13" s="14" t="s">
        <v>764</v>
      </c>
      <c r="B13" s="15">
        <v>-26028</v>
      </c>
      <c r="C13" s="27">
        <v>43553</v>
      </c>
      <c r="D13" s="23">
        <v>43556</v>
      </c>
    </row>
    <row r="14" spans="1:4" s="14" customFormat="1" ht="15" customHeight="1" x14ac:dyDescent="0.25">
      <c r="A14" s="14" t="s">
        <v>753</v>
      </c>
      <c r="B14" s="15">
        <v>-26529</v>
      </c>
      <c r="C14" s="27">
        <v>43553</v>
      </c>
      <c r="D14" s="23">
        <v>43556</v>
      </c>
    </row>
    <row r="15" spans="1:4" s="14" customFormat="1" ht="15" customHeight="1" x14ac:dyDescent="0.25">
      <c r="A15" s="14" t="s">
        <v>754</v>
      </c>
      <c r="B15" s="15">
        <v>-26615</v>
      </c>
      <c r="C15" s="27">
        <v>43553</v>
      </c>
      <c r="D15" s="23">
        <v>43556</v>
      </c>
    </row>
    <row r="16" spans="1:4" s="14" customFormat="1" ht="15" customHeight="1" x14ac:dyDescent="0.25">
      <c r="A16" s="14" t="s">
        <v>755</v>
      </c>
      <c r="B16" s="15">
        <v>-27162</v>
      </c>
      <c r="C16" s="27">
        <v>43553</v>
      </c>
      <c r="D16" s="23">
        <v>43556</v>
      </c>
    </row>
    <row r="17" spans="1:4" s="14" customFormat="1" ht="15" customHeight="1" x14ac:dyDescent="0.25">
      <c r="A17" s="14" t="s">
        <v>756</v>
      </c>
      <c r="B17" s="15">
        <v>-28386</v>
      </c>
      <c r="C17" s="27">
        <v>43552</v>
      </c>
      <c r="D17" s="23">
        <v>43558</v>
      </c>
    </row>
    <row r="18" spans="1:4" s="14" customFormat="1" ht="15" customHeight="1" x14ac:dyDescent="0.25">
      <c r="A18" s="14" t="s">
        <v>757</v>
      </c>
      <c r="B18" s="15">
        <v>-28649</v>
      </c>
      <c r="C18" s="27">
        <v>43553</v>
      </c>
      <c r="D18" s="23">
        <v>43556</v>
      </c>
    </row>
    <row r="19" spans="1:4" s="14" customFormat="1" ht="15" customHeight="1" x14ac:dyDescent="0.25">
      <c r="A19" s="14" t="s">
        <v>758</v>
      </c>
      <c r="B19" s="15">
        <v>-34706</v>
      </c>
      <c r="C19" s="27">
        <v>43553</v>
      </c>
      <c r="D19" s="23">
        <v>43556</v>
      </c>
    </row>
    <row r="20" spans="1:4" s="14" customFormat="1" ht="15" customHeight="1" x14ac:dyDescent="0.25">
      <c r="B20" s="15"/>
      <c r="C20" s="16"/>
      <c r="D20" s="23"/>
    </row>
    <row r="21" spans="1:4" s="14" customFormat="1" ht="15" customHeight="1" x14ac:dyDescent="0.25">
      <c r="B21" s="15">
        <f>SUM(B9:B20)</f>
        <v>-293447</v>
      </c>
      <c r="C21" s="16"/>
      <c r="D21" s="23"/>
    </row>
    <row r="22" spans="1:4" s="14" customFormat="1" ht="15" customHeight="1" x14ac:dyDescent="0.25">
      <c r="A22" s="14" t="s">
        <v>2</v>
      </c>
      <c r="B22" s="15"/>
      <c r="C22" s="26" t="s">
        <v>730</v>
      </c>
      <c r="D22" s="28" t="s">
        <v>729</v>
      </c>
    </row>
    <row r="23" spans="1:4" s="14" customFormat="1" ht="15" customHeight="1" x14ac:dyDescent="0.25">
      <c r="A23" s="14" t="s">
        <v>762</v>
      </c>
      <c r="B23" s="15">
        <v>26262</v>
      </c>
      <c r="C23" s="27">
        <v>43551</v>
      </c>
      <c r="D23" s="23" t="s">
        <v>765</v>
      </c>
    </row>
    <row r="24" spans="1:4" s="14" customFormat="1" ht="15" customHeight="1" x14ac:dyDescent="0.25">
      <c r="A24" s="14" t="s">
        <v>763</v>
      </c>
      <c r="B24" s="15">
        <v>26262</v>
      </c>
      <c r="C24" s="27">
        <v>43551</v>
      </c>
      <c r="D24" s="23">
        <v>43558</v>
      </c>
    </row>
    <row r="25" spans="1:4" s="14" customFormat="1" ht="15" customHeight="1" x14ac:dyDescent="0.25">
      <c r="A25" s="14" t="s">
        <v>759</v>
      </c>
      <c r="B25" s="15">
        <v>26262</v>
      </c>
      <c r="C25" s="27">
        <v>43551</v>
      </c>
      <c r="D25" s="23" t="s">
        <v>765</v>
      </c>
    </row>
    <row r="26" spans="1:4" s="14" customFormat="1" ht="15" customHeight="1" x14ac:dyDescent="0.25">
      <c r="A26" s="14" t="s">
        <v>760</v>
      </c>
      <c r="B26" s="15">
        <v>26434</v>
      </c>
      <c r="C26" s="27">
        <v>43551</v>
      </c>
      <c r="D26" s="23" t="s">
        <v>765</v>
      </c>
    </row>
    <row r="27" spans="1:4" s="14" customFormat="1" ht="15" customHeight="1" x14ac:dyDescent="0.25">
      <c r="A27" s="14" t="s">
        <v>761</v>
      </c>
      <c r="B27" s="15">
        <v>26520</v>
      </c>
      <c r="C27" s="27">
        <v>43551</v>
      </c>
      <c r="D27" s="23" t="s">
        <v>765</v>
      </c>
    </row>
    <row r="28" spans="1:4" s="14" customFormat="1" ht="15" customHeight="1" x14ac:dyDescent="0.25">
      <c r="B28" s="15"/>
      <c r="C28" s="27"/>
      <c r="D28" s="23"/>
    </row>
    <row r="29" spans="1:4" s="14" customFormat="1" ht="15" customHeight="1" x14ac:dyDescent="0.25">
      <c r="B29" s="15"/>
      <c r="C29" s="27"/>
      <c r="D29" s="23"/>
    </row>
    <row r="30" spans="1:4" s="14" customFormat="1" ht="15" customHeight="1" x14ac:dyDescent="0.25">
      <c r="B30" s="15"/>
      <c r="C30" s="27"/>
      <c r="D30" s="23"/>
    </row>
    <row r="31" spans="1:4" s="14" customFormat="1" ht="15" customHeight="1" x14ac:dyDescent="0.25">
      <c r="B31" s="15"/>
      <c r="C31" s="27"/>
      <c r="D31" s="23"/>
    </row>
    <row r="32" spans="1:4" s="14" customFormat="1" ht="15" customHeight="1" x14ac:dyDescent="0.25">
      <c r="B32" s="15"/>
      <c r="C32" s="27"/>
      <c r="D32" s="23"/>
    </row>
    <row r="33" spans="1:9" s="14" customFormat="1" ht="15" customHeight="1" x14ac:dyDescent="0.25">
      <c r="B33" s="15"/>
      <c r="C33" s="27"/>
      <c r="D33" s="23"/>
    </row>
    <row r="34" spans="1:9" s="14" customFormat="1" ht="15" customHeight="1" x14ac:dyDescent="0.25">
      <c r="B34" s="15"/>
      <c r="C34" s="27"/>
      <c r="D34" s="23"/>
    </row>
    <row r="35" spans="1:9" s="16" customFormat="1" ht="15" customHeight="1" x14ac:dyDescent="0.25">
      <c r="A35" s="14"/>
      <c r="B35" s="22"/>
      <c r="C35" s="12"/>
      <c r="D35" s="21"/>
      <c r="E35" s="21"/>
      <c r="F35" s="21"/>
      <c r="G35" s="21"/>
    </row>
    <row r="36" spans="1:9" s="16" customFormat="1" ht="15" customHeight="1" x14ac:dyDescent="0.25">
      <c r="A36" s="14"/>
      <c r="B36" s="15">
        <f>SUM(B23:B35)</f>
        <v>131740</v>
      </c>
      <c r="D36" s="23"/>
      <c r="E36" s="14"/>
      <c r="F36" s="14"/>
      <c r="G36" s="14"/>
      <c r="H36" s="14"/>
      <c r="I36" s="14"/>
    </row>
    <row r="37" spans="1:9" s="16" customFormat="1" ht="15" customHeight="1" x14ac:dyDescent="0.25">
      <c r="A37" s="18" t="s">
        <v>1</v>
      </c>
      <c r="B37" s="19">
        <f>B36+B21</f>
        <v>-161707</v>
      </c>
      <c r="D37" s="23"/>
      <c r="E37" s="14"/>
      <c r="F37" s="14"/>
      <c r="G37" s="14"/>
      <c r="H37" s="14"/>
      <c r="I37" s="14"/>
    </row>
    <row r="38" spans="1:9" s="16" customFormat="1" ht="15" customHeight="1" x14ac:dyDescent="0.25">
      <c r="A38" s="14" t="s">
        <v>0</v>
      </c>
      <c r="B38" s="15">
        <f>B37-B7</f>
        <v>0</v>
      </c>
      <c r="D38" s="23"/>
      <c r="E38" s="14"/>
      <c r="F38" s="14"/>
      <c r="G38" s="14"/>
      <c r="H38" s="14"/>
      <c r="I38" s="14"/>
    </row>
    <row r="39" spans="1:9" s="2" customFormat="1" ht="20.100000000000001" customHeight="1" x14ac:dyDescent="0.3">
      <c r="A39" s="1"/>
      <c r="B39" s="3"/>
      <c r="D39" s="29"/>
      <c r="E39" s="1"/>
      <c r="F39" s="1"/>
      <c r="G39" s="1"/>
      <c r="H39" s="1"/>
      <c r="I39" s="1"/>
    </row>
    <row r="40" spans="1:9" s="2" customFormat="1" ht="20.100000000000001" customHeight="1" x14ac:dyDescent="0.3">
      <c r="A40" s="1"/>
      <c r="B40" s="3"/>
      <c r="D40" s="29"/>
      <c r="E40" s="1"/>
      <c r="F40" s="1"/>
      <c r="G40" s="1"/>
      <c r="H40" s="1"/>
      <c r="I40" s="1"/>
    </row>
    <row r="41" spans="1:9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  <row r="42" spans="1:9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  <row r="43" spans="1:9" s="2" customFormat="1" ht="20.100000000000001" customHeight="1" x14ac:dyDescent="0.3">
      <c r="A43"/>
      <c r="B43" s="10"/>
      <c r="D43" s="29"/>
      <c r="E43" s="1"/>
      <c r="F43" s="1"/>
      <c r="G43" s="1"/>
      <c r="H43" s="1"/>
      <c r="I43" s="1"/>
    </row>
    <row r="44" spans="1:9" s="2" customFormat="1" ht="20.100000000000001" customHeight="1" x14ac:dyDescent="0.3">
      <c r="A44"/>
      <c r="B44" s="10"/>
      <c r="D44" s="29"/>
      <c r="E44" s="1"/>
      <c r="F44" s="1"/>
      <c r="G44" s="1"/>
      <c r="H44" s="1"/>
      <c r="I44" s="1"/>
    </row>
  </sheetData>
  <pageMargins left="0.7" right="0.7" top="0.75" bottom="0.75" header="0.3" footer="0.3"/>
  <pageSetup scale="98" fitToHeight="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I36"/>
  <sheetViews>
    <sheetView workbookViewId="0">
      <selection activeCell="D14" sqref="D14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7" s="14" customFormat="1" ht="15" customHeight="1" x14ac:dyDescent="0.25">
      <c r="A1" s="14" t="s">
        <v>304</v>
      </c>
      <c r="B1" s="15"/>
      <c r="C1" s="16"/>
      <c r="D1" s="23"/>
    </row>
    <row r="2" spans="1:7" s="14" customFormat="1" ht="15" customHeight="1" x14ac:dyDescent="0.25">
      <c r="A2" s="17">
        <v>43585</v>
      </c>
      <c r="B2" s="15"/>
      <c r="C2" s="16"/>
      <c r="D2" s="23"/>
    </row>
    <row r="3" spans="1:7" s="14" customFormat="1" ht="15" customHeight="1" x14ac:dyDescent="0.25">
      <c r="A3" s="14" t="s">
        <v>389</v>
      </c>
      <c r="B3" s="15">
        <v>5347691</v>
      </c>
      <c r="C3" s="16"/>
      <c r="D3" s="23"/>
    </row>
    <row r="4" spans="1:7" s="14" customFormat="1" ht="15" customHeight="1" x14ac:dyDescent="0.25">
      <c r="A4" s="14" t="s">
        <v>6</v>
      </c>
      <c r="B4" s="15"/>
      <c r="C4" s="16"/>
      <c r="D4" s="23"/>
    </row>
    <row r="5" spans="1:7" s="14" customFormat="1" ht="15" customHeight="1" x14ac:dyDescent="0.25">
      <c r="A5" s="14">
        <v>2100</v>
      </c>
      <c r="B5" s="15">
        <v>-5245063</v>
      </c>
      <c r="C5" s="16"/>
      <c r="D5" s="23"/>
    </row>
    <row r="6" spans="1:7" s="14" customFormat="1" ht="15" customHeight="1" x14ac:dyDescent="0.25">
      <c r="A6" s="14" t="s">
        <v>5</v>
      </c>
      <c r="B6" s="15">
        <f>B5</f>
        <v>-5245063</v>
      </c>
      <c r="C6" s="16"/>
      <c r="D6" s="23"/>
    </row>
    <row r="7" spans="1:7" s="14" customFormat="1" ht="15" customHeight="1" x14ac:dyDescent="0.25">
      <c r="A7" s="18" t="s">
        <v>4</v>
      </c>
      <c r="B7" s="19">
        <f>SUM(B3+B6)</f>
        <v>102628</v>
      </c>
      <c r="C7" s="16"/>
      <c r="D7" s="23"/>
    </row>
    <row r="8" spans="1:7" s="14" customFormat="1" ht="15" customHeight="1" x14ac:dyDescent="0.25">
      <c r="A8" s="14" t="s">
        <v>3</v>
      </c>
      <c r="B8" s="15"/>
      <c r="C8" s="26" t="s">
        <v>729</v>
      </c>
      <c r="D8" s="28" t="s">
        <v>730</v>
      </c>
    </row>
    <row r="9" spans="1:7" s="14" customFormat="1" ht="15" customHeight="1" x14ac:dyDescent="0.25">
      <c r="A9" s="14" t="s">
        <v>766</v>
      </c>
      <c r="B9" s="15">
        <v>-27425</v>
      </c>
      <c r="C9" s="27">
        <v>43585</v>
      </c>
      <c r="D9" s="23">
        <v>43587</v>
      </c>
    </row>
    <row r="10" spans="1:7" s="14" customFormat="1" ht="15" customHeight="1" x14ac:dyDescent="0.25">
      <c r="A10" s="14" t="s">
        <v>772</v>
      </c>
      <c r="B10" s="15">
        <v>-31416</v>
      </c>
      <c r="C10" s="47" t="s">
        <v>776</v>
      </c>
      <c r="D10" s="47"/>
      <c r="E10" s="47"/>
      <c r="F10" s="47"/>
      <c r="G10" s="47"/>
    </row>
    <row r="11" spans="1:7" s="14" customFormat="1" ht="15" customHeight="1" x14ac:dyDescent="0.25">
      <c r="B11" s="15"/>
      <c r="C11" s="47"/>
      <c r="D11" s="47"/>
      <c r="E11" s="47"/>
      <c r="F11" s="47"/>
      <c r="G11" s="47"/>
    </row>
    <row r="12" spans="1:7" s="14" customFormat="1" ht="15" customHeight="1" x14ac:dyDescent="0.25">
      <c r="B12" s="15">
        <f>SUM(B9:B11)</f>
        <v>-58841</v>
      </c>
      <c r="C12" s="16"/>
      <c r="D12" s="23"/>
    </row>
    <row r="13" spans="1:7" s="14" customFormat="1" ht="15" customHeight="1" x14ac:dyDescent="0.25">
      <c r="A13" s="14" t="s">
        <v>2</v>
      </c>
      <c r="B13" s="15"/>
      <c r="C13" s="26" t="s">
        <v>730</v>
      </c>
      <c r="D13" s="28" t="s">
        <v>729</v>
      </c>
    </row>
    <row r="14" spans="1:7" s="14" customFormat="1" ht="15" customHeight="1" x14ac:dyDescent="0.25">
      <c r="A14" s="14" t="s">
        <v>767</v>
      </c>
      <c r="B14" s="15">
        <v>24575</v>
      </c>
      <c r="C14" s="27">
        <v>43577</v>
      </c>
      <c r="D14" s="23" t="s">
        <v>774</v>
      </c>
    </row>
    <row r="15" spans="1:7" s="14" customFormat="1" ht="15" customHeight="1" x14ac:dyDescent="0.25">
      <c r="A15" s="14" t="s">
        <v>768</v>
      </c>
      <c r="B15" s="15">
        <v>26262</v>
      </c>
      <c r="C15" s="27">
        <v>43551</v>
      </c>
      <c r="D15" s="23" t="s">
        <v>774</v>
      </c>
    </row>
    <row r="16" spans="1:7" s="14" customFormat="1" ht="15" customHeight="1" x14ac:dyDescent="0.25">
      <c r="A16" s="14" t="s">
        <v>769</v>
      </c>
      <c r="B16" s="15">
        <v>26262</v>
      </c>
      <c r="C16" s="27">
        <v>43551</v>
      </c>
      <c r="D16" s="23" t="s">
        <v>774</v>
      </c>
    </row>
    <row r="17" spans="1:9" s="14" customFormat="1" ht="15" customHeight="1" x14ac:dyDescent="0.25">
      <c r="A17" s="14" t="s">
        <v>770</v>
      </c>
      <c r="B17" s="15">
        <v>26434</v>
      </c>
      <c r="C17" s="27">
        <v>43551</v>
      </c>
      <c r="D17" s="23" t="s">
        <v>774</v>
      </c>
    </row>
    <row r="18" spans="1:9" s="14" customFormat="1" ht="15" customHeight="1" x14ac:dyDescent="0.25">
      <c r="A18" s="14" t="s">
        <v>771</v>
      </c>
      <c r="B18" s="15">
        <v>26520</v>
      </c>
      <c r="C18" s="27">
        <v>43551</v>
      </c>
      <c r="D18" s="23" t="s">
        <v>774</v>
      </c>
    </row>
    <row r="19" spans="1:9" s="14" customFormat="1" ht="15" customHeight="1" x14ac:dyDescent="0.25">
      <c r="A19" s="14" t="s">
        <v>773</v>
      </c>
      <c r="B19" s="15">
        <v>31416</v>
      </c>
      <c r="C19" s="47" t="s">
        <v>775</v>
      </c>
      <c r="D19" s="47"/>
      <c r="E19" s="47"/>
      <c r="F19" s="47"/>
      <c r="G19" s="47"/>
    </row>
    <row r="20" spans="1:9" s="14" customFormat="1" ht="15" customHeight="1" x14ac:dyDescent="0.25">
      <c r="B20" s="15"/>
      <c r="C20" s="47"/>
      <c r="D20" s="47"/>
      <c r="E20" s="47"/>
      <c r="F20" s="47"/>
      <c r="G20" s="47"/>
    </row>
    <row r="21" spans="1:9" s="14" customFormat="1" ht="15" customHeight="1" x14ac:dyDescent="0.25">
      <c r="B21" s="15"/>
      <c r="C21" s="27"/>
      <c r="D21" s="23"/>
    </row>
    <row r="22" spans="1:9" s="14" customFormat="1" ht="15" customHeight="1" x14ac:dyDescent="0.25">
      <c r="B22" s="15"/>
      <c r="C22" s="27"/>
      <c r="D22" s="23"/>
    </row>
    <row r="23" spans="1:9" s="14" customFormat="1" ht="15" customHeight="1" x14ac:dyDescent="0.25">
      <c r="B23" s="15"/>
      <c r="C23" s="27"/>
      <c r="D23" s="23"/>
    </row>
    <row r="24" spans="1:9" s="14" customFormat="1" ht="15" customHeight="1" x14ac:dyDescent="0.25">
      <c r="B24" s="15"/>
      <c r="C24" s="27"/>
      <c r="D24" s="23"/>
    </row>
    <row r="25" spans="1:9" s="14" customFormat="1" ht="15" customHeight="1" x14ac:dyDescent="0.25">
      <c r="B25" s="22"/>
      <c r="C25" s="12"/>
      <c r="D25" s="23"/>
    </row>
    <row r="26" spans="1:9" s="14" customFormat="1" ht="15" customHeight="1" x14ac:dyDescent="0.25">
      <c r="B26" s="15">
        <f>SUM(B14:B25)</f>
        <v>161469</v>
      </c>
      <c r="C26" s="16"/>
      <c r="D26" s="21"/>
    </row>
    <row r="27" spans="1:9" s="16" customFormat="1" ht="15" customHeight="1" x14ac:dyDescent="0.25">
      <c r="A27" s="18" t="s">
        <v>1</v>
      </c>
      <c r="B27" s="19">
        <f>B26+B12</f>
        <v>102628</v>
      </c>
      <c r="D27" s="23"/>
      <c r="E27" s="21"/>
      <c r="F27" s="21"/>
      <c r="G27" s="21"/>
    </row>
    <row r="28" spans="1:9" s="16" customFormat="1" ht="15" customHeight="1" x14ac:dyDescent="0.25">
      <c r="A28" s="14" t="s">
        <v>0</v>
      </c>
      <c r="B28" s="15">
        <f>B27-B7</f>
        <v>0</v>
      </c>
      <c r="D28" s="23"/>
      <c r="E28" s="14"/>
      <c r="F28" s="14"/>
      <c r="G28" s="14"/>
      <c r="H28" s="14"/>
      <c r="I28" s="14"/>
    </row>
    <row r="29" spans="1:9" s="16" customFormat="1" ht="15" customHeight="1" x14ac:dyDescent="0.3">
      <c r="A29" s="1"/>
      <c r="B29" s="3"/>
      <c r="C29" s="2"/>
      <c r="D29" s="23"/>
      <c r="E29" s="14"/>
      <c r="F29" s="14"/>
      <c r="G29" s="14"/>
      <c r="H29" s="14"/>
      <c r="I29" s="14"/>
    </row>
    <row r="30" spans="1:9" s="16" customFormat="1" ht="15" customHeight="1" x14ac:dyDescent="0.3">
      <c r="A30" s="1"/>
      <c r="B30" s="3"/>
      <c r="C30" s="2"/>
      <c r="D30" s="29"/>
      <c r="E30" s="14"/>
      <c r="F30" s="14"/>
      <c r="G30" s="14"/>
      <c r="H30" s="14"/>
      <c r="I30" s="14"/>
    </row>
    <row r="31" spans="1:9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9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</sheetData>
  <mergeCells count="2">
    <mergeCell ref="C10:G11"/>
    <mergeCell ref="C19:G20"/>
  </mergeCells>
  <pageMargins left="0.7" right="0.7" top="0.75" bottom="0.75" header="0.3" footer="0.3"/>
  <pageSetup scale="98" fitToHeight="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29"/>
  <sheetViews>
    <sheetView workbookViewId="0">
      <selection activeCell="H36" sqref="H36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7" s="14" customFormat="1" ht="15" customHeight="1" x14ac:dyDescent="0.25">
      <c r="A1" s="14" t="s">
        <v>304</v>
      </c>
      <c r="B1" s="15"/>
      <c r="C1" s="16"/>
      <c r="D1" s="23"/>
    </row>
    <row r="2" spans="1:7" s="14" customFormat="1" ht="15" customHeight="1" x14ac:dyDescent="0.25">
      <c r="A2" s="17">
        <v>43616</v>
      </c>
      <c r="B2" s="15"/>
      <c r="C2" s="16"/>
      <c r="D2" s="23"/>
    </row>
    <row r="3" spans="1:7" s="14" customFormat="1" ht="15" customHeight="1" x14ac:dyDescent="0.25">
      <c r="A3" s="14" t="s">
        <v>389</v>
      </c>
      <c r="B3" s="15">
        <v>5180240.7</v>
      </c>
      <c r="C3" s="16"/>
      <c r="D3" s="23"/>
    </row>
    <row r="4" spans="1:7" s="14" customFormat="1" ht="15" customHeight="1" x14ac:dyDescent="0.25">
      <c r="A4" s="14" t="s">
        <v>6</v>
      </c>
      <c r="B4" s="15"/>
      <c r="C4" s="16"/>
      <c r="D4" s="23"/>
    </row>
    <row r="5" spans="1:7" s="14" customFormat="1" ht="15" customHeight="1" x14ac:dyDescent="0.25">
      <c r="A5" s="14">
        <v>2100</v>
      </c>
      <c r="B5" s="15">
        <v>-5296654.7</v>
      </c>
      <c r="C5" s="16"/>
      <c r="D5" s="23"/>
    </row>
    <row r="6" spans="1:7" s="14" customFormat="1" ht="15" customHeight="1" x14ac:dyDescent="0.25">
      <c r="A6" s="14" t="s">
        <v>5</v>
      </c>
      <c r="B6" s="15">
        <f>B5</f>
        <v>-5296654.7</v>
      </c>
      <c r="C6" s="16"/>
      <c r="D6" s="23"/>
    </row>
    <row r="7" spans="1:7" s="14" customFormat="1" ht="15" customHeight="1" x14ac:dyDescent="0.25">
      <c r="A7" s="18" t="s">
        <v>4</v>
      </c>
      <c r="B7" s="19">
        <f>SUM(B3+B6)</f>
        <v>-116414</v>
      </c>
      <c r="C7" s="16"/>
      <c r="D7" s="23"/>
    </row>
    <row r="8" spans="1:7" s="14" customFormat="1" ht="15" customHeight="1" x14ac:dyDescent="0.25">
      <c r="A8" s="14" t="s">
        <v>3</v>
      </c>
      <c r="B8" s="31"/>
      <c r="C8" s="16" t="s">
        <v>729</v>
      </c>
      <c r="D8" s="23" t="s">
        <v>730</v>
      </c>
    </row>
    <row r="9" spans="1:7" s="14" customFormat="1" ht="15" customHeight="1" x14ac:dyDescent="0.25">
      <c r="A9" s="14" t="s">
        <v>777</v>
      </c>
      <c r="B9" s="31">
        <v>-26021</v>
      </c>
      <c r="C9" s="16">
        <v>43616</v>
      </c>
      <c r="D9" s="17">
        <v>43621</v>
      </c>
    </row>
    <row r="10" spans="1:7" s="14" customFormat="1" ht="15" customHeight="1" x14ac:dyDescent="0.25">
      <c r="A10" s="14" t="s">
        <v>778</v>
      </c>
      <c r="B10" s="31">
        <v>-26107</v>
      </c>
      <c r="C10" s="16">
        <v>43616</v>
      </c>
      <c r="D10" s="17">
        <v>43620</v>
      </c>
    </row>
    <row r="11" spans="1:7" s="14" customFormat="1" ht="15" customHeight="1" x14ac:dyDescent="0.25">
      <c r="A11" s="14" t="s">
        <v>779</v>
      </c>
      <c r="B11" s="31">
        <v>-27173</v>
      </c>
      <c r="C11" s="33">
        <v>43616</v>
      </c>
      <c r="D11" s="34">
        <v>43621</v>
      </c>
      <c r="E11" s="30"/>
      <c r="F11" s="30"/>
      <c r="G11" s="30"/>
    </row>
    <row r="12" spans="1:7" s="14" customFormat="1" ht="15" customHeight="1" x14ac:dyDescent="0.25">
      <c r="A12" s="14" t="s">
        <v>780</v>
      </c>
      <c r="B12" s="31">
        <v>-27218</v>
      </c>
      <c r="C12" s="33">
        <v>43616</v>
      </c>
      <c r="D12" s="34">
        <v>43620</v>
      </c>
      <c r="E12" s="30"/>
      <c r="F12" s="30"/>
      <c r="G12" s="30"/>
    </row>
    <row r="13" spans="1:7" s="14" customFormat="1" ht="15" customHeight="1" x14ac:dyDescent="0.25">
      <c r="A13" s="14" t="s">
        <v>781</v>
      </c>
      <c r="B13" s="31">
        <v>-34470</v>
      </c>
      <c r="C13" s="33">
        <v>43616</v>
      </c>
      <c r="D13" s="34">
        <v>43619</v>
      </c>
      <c r="E13" s="30"/>
      <c r="F13" s="30"/>
      <c r="G13" s="30"/>
    </row>
    <row r="14" spans="1:7" s="14" customFormat="1" ht="15" customHeight="1" x14ac:dyDescent="0.25">
      <c r="B14" s="31"/>
      <c r="C14" s="30"/>
      <c r="D14" s="30"/>
      <c r="E14" s="30"/>
      <c r="F14" s="30"/>
      <c r="G14" s="30"/>
    </row>
    <row r="15" spans="1:7" s="14" customFormat="1" ht="15" customHeight="1" x14ac:dyDescent="0.25">
      <c r="B15" s="31">
        <f>SUM(B9:B14)</f>
        <v>-140989</v>
      </c>
      <c r="C15" s="16"/>
      <c r="D15" s="23"/>
    </row>
    <row r="16" spans="1:7" s="14" customFormat="1" ht="15" customHeight="1" x14ac:dyDescent="0.25">
      <c r="A16" s="14" t="s">
        <v>2</v>
      </c>
      <c r="B16" s="31"/>
      <c r="C16" s="16" t="s">
        <v>730</v>
      </c>
      <c r="D16" s="23" t="s">
        <v>729</v>
      </c>
    </row>
    <row r="17" spans="1:9" s="14" customFormat="1" ht="15" customHeight="1" x14ac:dyDescent="0.25">
      <c r="A17" s="14" t="s">
        <v>782</v>
      </c>
      <c r="B17" s="31">
        <v>24575</v>
      </c>
      <c r="C17" s="16">
        <v>43577</v>
      </c>
      <c r="D17" s="47" t="s">
        <v>783</v>
      </c>
      <c r="E17" s="47"/>
      <c r="F17" s="47"/>
    </row>
    <row r="18" spans="1:9" s="14" customFormat="1" ht="15" customHeight="1" x14ac:dyDescent="0.25">
      <c r="B18" s="32"/>
      <c r="C18" s="12"/>
      <c r="D18" s="47"/>
      <c r="E18" s="47"/>
      <c r="F18" s="47"/>
    </row>
    <row r="19" spans="1:9" s="14" customFormat="1" ht="15" customHeight="1" x14ac:dyDescent="0.25">
      <c r="B19" s="31">
        <f>SUM(B17:B18)</f>
        <v>24575</v>
      </c>
      <c r="C19" s="16"/>
      <c r="D19" s="47"/>
      <c r="E19" s="47"/>
      <c r="F19" s="47"/>
    </row>
    <row r="20" spans="1:9" s="16" customFormat="1" ht="15" customHeight="1" x14ac:dyDescent="0.25">
      <c r="A20" s="18" t="s">
        <v>1</v>
      </c>
      <c r="B20" s="19">
        <f>B19+B15</f>
        <v>-116414</v>
      </c>
      <c r="D20" s="23"/>
      <c r="E20" s="21"/>
      <c r="F20" s="21"/>
      <c r="G20" s="21"/>
    </row>
    <row r="21" spans="1:9" s="16" customFormat="1" ht="15" customHeight="1" x14ac:dyDescent="0.25">
      <c r="A21" s="14" t="s">
        <v>0</v>
      </c>
      <c r="B21" s="15">
        <f>B20-B7</f>
        <v>0</v>
      </c>
      <c r="D21" s="23"/>
      <c r="E21" s="14"/>
      <c r="F21" s="14"/>
      <c r="G21" s="14"/>
      <c r="H21" s="14"/>
      <c r="I21" s="14"/>
    </row>
    <row r="22" spans="1:9" s="16" customFormat="1" ht="15" customHeight="1" x14ac:dyDescent="0.3">
      <c r="A22" s="1"/>
      <c r="B22" s="3"/>
      <c r="C22" s="2"/>
      <c r="D22" s="23"/>
      <c r="E22" s="14"/>
      <c r="F22" s="14"/>
      <c r="G22" s="14"/>
      <c r="H22" s="14"/>
      <c r="I22" s="14"/>
    </row>
    <row r="23" spans="1:9" s="16" customFormat="1" ht="15" customHeight="1" x14ac:dyDescent="0.3">
      <c r="A23" s="1"/>
      <c r="B23" s="3"/>
      <c r="C23" s="2"/>
      <c r="D23" s="29"/>
      <c r="E23" s="14"/>
      <c r="F23" s="14"/>
      <c r="G23" s="14"/>
      <c r="H23" s="14"/>
      <c r="I23" s="14"/>
    </row>
    <row r="24" spans="1:9" s="2" customFormat="1" ht="20.100000000000001" customHeight="1" x14ac:dyDescent="0.3">
      <c r="A24"/>
      <c r="B24" s="10"/>
      <c r="D24" s="29"/>
      <c r="E24" s="1"/>
      <c r="F24" s="1"/>
      <c r="G24" s="1"/>
      <c r="H24" s="1"/>
      <c r="I24" s="1"/>
    </row>
    <row r="25" spans="1:9" s="2" customFormat="1" ht="20.100000000000001" customHeight="1" x14ac:dyDescent="0.3">
      <c r="A25"/>
      <c r="B25" s="10"/>
      <c r="D25" s="29"/>
      <c r="E25" s="1"/>
      <c r="F25" s="1"/>
      <c r="G25" s="1"/>
      <c r="H25" s="1"/>
      <c r="I25" s="1"/>
    </row>
    <row r="26" spans="1:9" s="2" customFormat="1" ht="20.100000000000001" customHeight="1" x14ac:dyDescent="0.3">
      <c r="A26"/>
      <c r="B26" s="10"/>
      <c r="D26" s="29"/>
      <c r="E26" s="1"/>
      <c r="F26" s="1"/>
      <c r="G26" s="1"/>
      <c r="H26" s="1"/>
      <c r="I26" s="1"/>
    </row>
    <row r="27" spans="1:9" s="2" customFormat="1" ht="20.100000000000001" customHeight="1" x14ac:dyDescent="0.3">
      <c r="A27"/>
      <c r="B27" s="10"/>
      <c r="D27" s="29"/>
      <c r="E27" s="1"/>
      <c r="F27" s="1"/>
      <c r="G27" s="1"/>
      <c r="H27" s="1"/>
      <c r="I27" s="1"/>
    </row>
    <row r="28" spans="1:9" s="2" customFormat="1" ht="20.100000000000001" customHeight="1" x14ac:dyDescent="0.3">
      <c r="A28"/>
      <c r="B28" s="10"/>
      <c r="D28" s="29"/>
      <c r="E28" s="1"/>
      <c r="F28" s="1"/>
      <c r="G28" s="1"/>
      <c r="H28" s="1"/>
      <c r="I28" s="1"/>
    </row>
    <row r="29" spans="1:9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</sheetData>
  <mergeCells count="1">
    <mergeCell ref="D17:F19"/>
  </mergeCells>
  <pageMargins left="0.7" right="0.7" top="0.75" bottom="0.75" header="0.3" footer="0.3"/>
  <pageSetup fitToHeight="0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32"/>
  <sheetViews>
    <sheetView workbookViewId="0">
      <selection activeCell="D10" sqref="D10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7" s="14" customFormat="1" ht="15" customHeight="1" x14ac:dyDescent="0.25">
      <c r="A1" s="14" t="s">
        <v>304</v>
      </c>
      <c r="B1" s="15"/>
      <c r="C1" s="16"/>
      <c r="D1" s="23"/>
    </row>
    <row r="2" spans="1:7" s="14" customFormat="1" ht="15" customHeight="1" x14ac:dyDescent="0.25">
      <c r="A2" s="17">
        <v>43646</v>
      </c>
      <c r="B2" s="15"/>
      <c r="C2" s="16"/>
      <c r="D2" s="23"/>
    </row>
    <row r="3" spans="1:7" s="14" customFormat="1" ht="15" customHeight="1" x14ac:dyDescent="0.25">
      <c r="A3" s="14" t="s">
        <v>389</v>
      </c>
      <c r="B3" s="15">
        <v>4476679</v>
      </c>
      <c r="C3" s="16"/>
      <c r="D3" s="23"/>
    </row>
    <row r="4" spans="1:7" s="14" customFormat="1" ht="15" customHeight="1" x14ac:dyDescent="0.25">
      <c r="A4" s="14" t="s">
        <v>6</v>
      </c>
      <c r="B4" s="15"/>
      <c r="C4" s="16"/>
      <c r="D4" s="23"/>
    </row>
    <row r="5" spans="1:7" s="14" customFormat="1" ht="15" customHeight="1" x14ac:dyDescent="0.25">
      <c r="A5" s="14">
        <v>2100</v>
      </c>
      <c r="B5" s="15">
        <v>-4749921</v>
      </c>
      <c r="C5" s="16"/>
      <c r="D5" s="23"/>
    </row>
    <row r="6" spans="1:7" s="14" customFormat="1" ht="15" customHeight="1" x14ac:dyDescent="0.25">
      <c r="A6" s="14" t="s">
        <v>5</v>
      </c>
      <c r="B6" s="15">
        <f>B5</f>
        <v>-4749921</v>
      </c>
      <c r="C6" s="16"/>
      <c r="D6" s="23"/>
    </row>
    <row r="7" spans="1:7" s="14" customFormat="1" ht="15" customHeight="1" x14ac:dyDescent="0.25">
      <c r="A7" s="18" t="s">
        <v>4</v>
      </c>
      <c r="B7" s="19">
        <f>SUM(B3+B6)</f>
        <v>-273242</v>
      </c>
      <c r="C7" s="16"/>
      <c r="D7" s="23"/>
    </row>
    <row r="8" spans="1:7" s="14" customFormat="1" ht="15" customHeight="1" x14ac:dyDescent="0.25">
      <c r="A8" s="14" t="s">
        <v>3</v>
      </c>
      <c r="B8" s="31"/>
      <c r="C8" s="16" t="s">
        <v>729</v>
      </c>
      <c r="D8" s="23" t="s">
        <v>730</v>
      </c>
    </row>
    <row r="9" spans="1:7" s="14" customFormat="1" ht="15" customHeight="1" x14ac:dyDescent="0.25">
      <c r="A9" s="14" t="s">
        <v>784</v>
      </c>
      <c r="B9" s="31">
        <v>-20854</v>
      </c>
      <c r="C9" s="16">
        <v>43645</v>
      </c>
      <c r="D9" s="17">
        <v>43647</v>
      </c>
    </row>
    <row r="10" spans="1:7" s="14" customFormat="1" ht="15" customHeight="1" x14ac:dyDescent="0.25">
      <c r="A10" s="14" t="s">
        <v>785</v>
      </c>
      <c r="B10" s="31">
        <v>-25120</v>
      </c>
      <c r="C10" s="16">
        <v>43645</v>
      </c>
      <c r="D10" s="17">
        <v>43648</v>
      </c>
    </row>
    <row r="11" spans="1:7" s="14" customFormat="1" ht="15" customHeight="1" x14ac:dyDescent="0.25">
      <c r="A11" s="14" t="s">
        <v>786</v>
      </c>
      <c r="B11" s="31">
        <v>-25472</v>
      </c>
      <c r="C11" s="33">
        <v>43645</v>
      </c>
      <c r="D11" s="34">
        <v>43648</v>
      </c>
      <c r="E11" s="30"/>
      <c r="F11" s="30"/>
      <c r="G11" s="30"/>
    </row>
    <row r="12" spans="1:7" s="14" customFormat="1" ht="15" customHeight="1" x14ac:dyDescent="0.25">
      <c r="A12" s="14" t="s">
        <v>787</v>
      </c>
      <c r="B12" s="31">
        <v>-27425</v>
      </c>
      <c r="C12" s="33">
        <v>43645</v>
      </c>
      <c r="D12" s="34">
        <v>43647</v>
      </c>
      <c r="E12" s="30"/>
      <c r="F12" s="30"/>
      <c r="G12" s="30"/>
    </row>
    <row r="13" spans="1:7" s="14" customFormat="1" ht="15" customHeight="1" x14ac:dyDescent="0.25">
      <c r="A13" s="14" t="s">
        <v>788</v>
      </c>
      <c r="B13" s="31">
        <v>-31546</v>
      </c>
      <c r="C13" s="33">
        <v>43645</v>
      </c>
      <c r="D13" s="34">
        <v>43647</v>
      </c>
      <c r="E13" s="30"/>
      <c r="F13" s="30"/>
      <c r="G13" s="30"/>
    </row>
    <row r="14" spans="1:7" s="14" customFormat="1" ht="15" customHeight="1" x14ac:dyDescent="0.25">
      <c r="A14" s="14" t="s">
        <v>793</v>
      </c>
      <c r="B14" s="31">
        <v>-31635</v>
      </c>
      <c r="C14" s="33">
        <v>43645</v>
      </c>
      <c r="D14" s="34">
        <v>43647</v>
      </c>
      <c r="E14" s="30"/>
      <c r="F14" s="30"/>
      <c r="G14" s="30"/>
    </row>
    <row r="15" spans="1:7" s="14" customFormat="1" ht="15" customHeight="1" x14ac:dyDescent="0.25">
      <c r="A15" s="14" t="s">
        <v>789</v>
      </c>
      <c r="B15" s="31">
        <v>-32935</v>
      </c>
      <c r="C15" s="33">
        <v>43645</v>
      </c>
      <c r="D15" s="34">
        <v>43647</v>
      </c>
      <c r="E15" s="30"/>
      <c r="F15" s="30"/>
      <c r="G15" s="30"/>
    </row>
    <row r="16" spans="1:7" s="14" customFormat="1" ht="15" customHeight="1" x14ac:dyDescent="0.25">
      <c r="A16" s="14" t="s">
        <v>790</v>
      </c>
      <c r="B16" s="31">
        <v>-33579</v>
      </c>
      <c r="C16" s="33">
        <v>43645</v>
      </c>
      <c r="D16" s="34">
        <v>43648</v>
      </c>
      <c r="E16" s="30"/>
      <c r="F16" s="30"/>
      <c r="G16" s="30"/>
    </row>
    <row r="17" spans="1:9" s="14" customFormat="1" ht="15" customHeight="1" x14ac:dyDescent="0.25">
      <c r="A17" s="14" t="s">
        <v>791</v>
      </c>
      <c r="B17" s="31">
        <v>-44676</v>
      </c>
      <c r="C17" s="33">
        <v>43645</v>
      </c>
      <c r="D17" s="34">
        <v>43648</v>
      </c>
      <c r="E17" s="30"/>
      <c r="F17" s="30"/>
      <c r="G17" s="30"/>
    </row>
    <row r="18" spans="1:9" s="14" customFormat="1" ht="15" customHeight="1" x14ac:dyDescent="0.25">
      <c r="B18" s="31"/>
      <c r="C18" s="30"/>
      <c r="D18" s="30"/>
      <c r="E18" s="30"/>
      <c r="F18" s="30"/>
      <c r="G18" s="30"/>
    </row>
    <row r="19" spans="1:9" s="14" customFormat="1" ht="15" customHeight="1" x14ac:dyDescent="0.25">
      <c r="B19" s="31">
        <f>SUM(B9:B17)</f>
        <v>-273242</v>
      </c>
      <c r="C19" s="16"/>
      <c r="D19" s="23"/>
    </row>
    <row r="20" spans="1:9" s="14" customFormat="1" ht="15" customHeight="1" x14ac:dyDescent="0.25">
      <c r="A20" s="14" t="s">
        <v>2</v>
      </c>
      <c r="B20" s="31"/>
      <c r="C20" s="16" t="s">
        <v>730</v>
      </c>
      <c r="D20" s="23" t="s">
        <v>792</v>
      </c>
    </row>
    <row r="21" spans="1:9" s="14" customFormat="1" ht="15" customHeight="1" x14ac:dyDescent="0.25">
      <c r="B21" s="32"/>
      <c r="C21" s="12"/>
      <c r="D21" s="21"/>
      <c r="E21" s="21"/>
      <c r="F21" s="21"/>
    </row>
    <row r="22" spans="1:9" s="14" customFormat="1" ht="15" customHeight="1" x14ac:dyDescent="0.25">
      <c r="B22" s="31">
        <f>SUM(B21)</f>
        <v>0</v>
      </c>
      <c r="C22" s="16"/>
      <c r="D22" s="21"/>
      <c r="E22" s="21"/>
      <c r="F22" s="21"/>
    </row>
    <row r="23" spans="1:9" s="16" customFormat="1" ht="15" customHeight="1" x14ac:dyDescent="0.25">
      <c r="A23" s="18" t="s">
        <v>1</v>
      </c>
      <c r="B23" s="19">
        <f>B22+B19</f>
        <v>-273242</v>
      </c>
      <c r="D23" s="23"/>
      <c r="E23" s="21"/>
      <c r="F23" s="21"/>
      <c r="G23" s="21"/>
    </row>
    <row r="24" spans="1:9" s="16" customFormat="1" ht="15" customHeight="1" x14ac:dyDescent="0.25">
      <c r="A24" s="14" t="s">
        <v>0</v>
      </c>
      <c r="B24" s="15">
        <f>B23-B7</f>
        <v>0</v>
      </c>
      <c r="D24" s="23"/>
      <c r="E24" s="14"/>
      <c r="F24" s="14"/>
      <c r="G24" s="14"/>
      <c r="H24" s="14"/>
      <c r="I24" s="14"/>
    </row>
    <row r="25" spans="1:9" s="16" customFormat="1" ht="15" customHeight="1" x14ac:dyDescent="0.3">
      <c r="A25" s="1"/>
      <c r="B25" s="3"/>
      <c r="C25" s="2"/>
      <c r="D25" s="23"/>
      <c r="E25" s="14"/>
      <c r="F25" s="14"/>
      <c r="G25" s="14"/>
      <c r="H25" s="14"/>
      <c r="I25" s="14"/>
    </row>
    <row r="26" spans="1:9" s="16" customFormat="1" ht="15" customHeight="1" x14ac:dyDescent="0.3">
      <c r="A26" s="1"/>
      <c r="B26" s="3"/>
      <c r="C26" s="2"/>
      <c r="D26" s="29"/>
      <c r="E26" s="14"/>
      <c r="F26" s="14"/>
      <c r="G26" s="14"/>
      <c r="H26" s="14"/>
      <c r="I26" s="14"/>
    </row>
    <row r="27" spans="1:9" s="2" customFormat="1" ht="20.100000000000001" customHeight="1" x14ac:dyDescent="0.3">
      <c r="A27"/>
      <c r="B27" s="10"/>
      <c r="D27" s="29"/>
      <c r="E27" s="1"/>
      <c r="F27" s="1"/>
      <c r="G27" s="1"/>
      <c r="H27" s="1"/>
      <c r="I27" s="1"/>
    </row>
    <row r="28" spans="1:9" s="2" customFormat="1" ht="20.100000000000001" customHeight="1" x14ac:dyDescent="0.3">
      <c r="A28"/>
      <c r="B28" s="10"/>
      <c r="D28" s="29"/>
      <c r="E28" s="1"/>
      <c r="F28" s="1"/>
      <c r="G28" s="1"/>
      <c r="H28" s="1"/>
      <c r="I28" s="1"/>
    </row>
    <row r="29" spans="1:9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  <row r="30" spans="1:9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9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9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</sheetData>
  <pageMargins left="0.7" right="0.7" top="0.75" bottom="0.75" header="0.3" footer="0.3"/>
  <pageSetup fitToHeight="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40"/>
  <sheetViews>
    <sheetView workbookViewId="0">
      <selection activeCell="D21" sqref="D21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7" s="14" customFormat="1" ht="15" customHeight="1" x14ac:dyDescent="0.25">
      <c r="A1" s="14" t="s">
        <v>304</v>
      </c>
      <c r="B1" s="15"/>
      <c r="C1" s="16"/>
      <c r="D1" s="23"/>
    </row>
    <row r="2" spans="1:7" s="14" customFormat="1" ht="15" customHeight="1" x14ac:dyDescent="0.25">
      <c r="A2" s="17">
        <v>43677</v>
      </c>
      <c r="B2" s="15"/>
      <c r="C2" s="16"/>
      <c r="D2" s="23"/>
    </row>
    <row r="3" spans="1:7" s="14" customFormat="1" ht="15" customHeight="1" x14ac:dyDescent="0.25">
      <c r="A3" s="14" t="s">
        <v>389</v>
      </c>
      <c r="B3" s="15">
        <v>4428520.5999999996</v>
      </c>
      <c r="C3" s="16"/>
      <c r="D3" s="23"/>
    </row>
    <row r="4" spans="1:7" s="14" customFormat="1" ht="15" customHeight="1" x14ac:dyDescent="0.25">
      <c r="A4" s="14" t="s">
        <v>6</v>
      </c>
      <c r="B4" s="15"/>
      <c r="C4" s="16"/>
      <c r="D4" s="23"/>
    </row>
    <row r="5" spans="1:7" s="14" customFormat="1" ht="15" customHeight="1" x14ac:dyDescent="0.25">
      <c r="A5" s="14">
        <v>2100</v>
      </c>
      <c r="B5" s="15">
        <v>-4775533.5999999996</v>
      </c>
      <c r="C5" s="16"/>
      <c r="D5" s="23"/>
    </row>
    <row r="6" spans="1:7" s="14" customFormat="1" ht="15" customHeight="1" x14ac:dyDescent="0.25">
      <c r="A6" s="14" t="s">
        <v>5</v>
      </c>
      <c r="B6" s="15">
        <f>B5</f>
        <v>-4775533.5999999996</v>
      </c>
      <c r="C6" s="16"/>
      <c r="D6" s="23"/>
    </row>
    <row r="7" spans="1:7" s="14" customFormat="1" ht="15" customHeight="1" x14ac:dyDescent="0.25">
      <c r="A7" s="18" t="s">
        <v>4</v>
      </c>
      <c r="B7" s="19">
        <f>SUM(B3+B6)</f>
        <v>-347013</v>
      </c>
      <c r="C7" s="16"/>
      <c r="D7" s="23"/>
    </row>
    <row r="8" spans="1:7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7" s="14" customFormat="1" ht="15" customHeight="1" x14ac:dyDescent="0.25">
      <c r="A9" s="14" t="s">
        <v>805</v>
      </c>
      <c r="B9" s="31">
        <v>-21120</v>
      </c>
      <c r="C9" s="27">
        <v>43675</v>
      </c>
      <c r="D9" s="17">
        <v>43682</v>
      </c>
    </row>
    <row r="10" spans="1:7" s="14" customFormat="1" ht="15" customHeight="1" x14ac:dyDescent="0.25">
      <c r="A10" s="14" t="s">
        <v>794</v>
      </c>
      <c r="B10" s="31">
        <v>-23144</v>
      </c>
      <c r="C10" s="27">
        <v>43675</v>
      </c>
      <c r="D10" s="17">
        <v>43682</v>
      </c>
    </row>
    <row r="11" spans="1:7" s="14" customFormat="1" ht="15" customHeight="1" x14ac:dyDescent="0.25">
      <c r="A11" s="14" t="s">
        <v>795</v>
      </c>
      <c r="B11" s="31">
        <v>-25018</v>
      </c>
      <c r="C11" s="35">
        <v>43675</v>
      </c>
      <c r="D11" s="34">
        <v>43682</v>
      </c>
      <c r="E11" s="30"/>
      <c r="F11" s="30"/>
      <c r="G11" s="30"/>
    </row>
    <row r="12" spans="1:7" s="14" customFormat="1" ht="15" customHeight="1" x14ac:dyDescent="0.25">
      <c r="A12" s="14" t="s">
        <v>796</v>
      </c>
      <c r="B12" s="31">
        <v>-26361</v>
      </c>
      <c r="C12" s="35">
        <v>43675</v>
      </c>
      <c r="D12" s="34">
        <v>43682</v>
      </c>
      <c r="E12" s="30"/>
      <c r="F12" s="30"/>
      <c r="G12" s="30"/>
    </row>
    <row r="13" spans="1:7" s="14" customFormat="1" ht="15" customHeight="1" x14ac:dyDescent="0.25">
      <c r="A13" s="14" t="s">
        <v>797</v>
      </c>
      <c r="B13" s="31">
        <v>-28119</v>
      </c>
      <c r="C13" s="35">
        <v>43675</v>
      </c>
      <c r="D13" s="34">
        <v>43682</v>
      </c>
      <c r="E13" s="30"/>
      <c r="F13" s="30"/>
      <c r="G13" s="30"/>
    </row>
    <row r="14" spans="1:7" s="14" customFormat="1" ht="15" customHeight="1" x14ac:dyDescent="0.25">
      <c r="A14" s="14" t="s">
        <v>798</v>
      </c>
      <c r="B14" s="31">
        <v>-28297</v>
      </c>
      <c r="C14" s="35">
        <v>43675</v>
      </c>
      <c r="D14" s="34">
        <v>43682</v>
      </c>
      <c r="E14" s="30"/>
      <c r="F14" s="30"/>
      <c r="G14" s="30"/>
    </row>
    <row r="15" spans="1:7" s="14" customFormat="1" ht="15" customHeight="1" x14ac:dyDescent="0.25">
      <c r="A15" s="14" t="s">
        <v>799</v>
      </c>
      <c r="B15" s="31">
        <v>-28774</v>
      </c>
      <c r="C15" s="35">
        <v>43675</v>
      </c>
      <c r="D15" s="34">
        <v>43682</v>
      </c>
      <c r="E15" s="30"/>
      <c r="F15" s="30"/>
      <c r="G15" s="30"/>
    </row>
    <row r="16" spans="1:7" s="14" customFormat="1" ht="15" customHeight="1" x14ac:dyDescent="0.25">
      <c r="A16" s="14" t="s">
        <v>800</v>
      </c>
      <c r="B16" s="31">
        <v>-28774</v>
      </c>
      <c r="C16" s="35">
        <v>43675</v>
      </c>
      <c r="D16" s="34">
        <v>43682</v>
      </c>
      <c r="E16" s="30"/>
      <c r="F16" s="30"/>
      <c r="G16" s="30"/>
    </row>
    <row r="17" spans="1:9" s="14" customFormat="1" ht="15" customHeight="1" x14ac:dyDescent="0.25">
      <c r="A17" s="14" t="s">
        <v>801</v>
      </c>
      <c r="B17" s="31">
        <v>-31368</v>
      </c>
      <c r="C17" s="35">
        <v>43675</v>
      </c>
      <c r="D17" s="34">
        <v>43682</v>
      </c>
      <c r="E17" s="30"/>
      <c r="F17" s="30"/>
      <c r="G17" s="30"/>
    </row>
    <row r="18" spans="1:9" s="14" customFormat="1" ht="15" customHeight="1" x14ac:dyDescent="0.25">
      <c r="A18" s="14" t="s">
        <v>802</v>
      </c>
      <c r="B18" s="31">
        <v>-31898</v>
      </c>
      <c r="C18" s="35">
        <v>43675</v>
      </c>
      <c r="D18" s="34">
        <v>43682</v>
      </c>
      <c r="E18" s="30"/>
      <c r="F18" s="30"/>
      <c r="G18" s="30"/>
    </row>
    <row r="19" spans="1:9" s="14" customFormat="1" ht="15" customHeight="1" x14ac:dyDescent="0.25">
      <c r="A19" s="14" t="s">
        <v>803</v>
      </c>
      <c r="B19" s="31">
        <v>-33950</v>
      </c>
      <c r="C19" s="35">
        <v>43675</v>
      </c>
      <c r="D19" s="34">
        <v>43682</v>
      </c>
      <c r="E19" s="30"/>
      <c r="F19" s="30"/>
      <c r="G19" s="30"/>
    </row>
    <row r="20" spans="1:9" s="14" customFormat="1" ht="15" customHeight="1" x14ac:dyDescent="0.25">
      <c r="A20" s="14" t="s">
        <v>804</v>
      </c>
      <c r="B20" s="31">
        <v>-40190</v>
      </c>
      <c r="C20" s="35">
        <v>43675</v>
      </c>
      <c r="D20" s="34">
        <v>43682</v>
      </c>
      <c r="E20" s="30"/>
      <c r="F20" s="30"/>
      <c r="G20" s="30"/>
    </row>
    <row r="21" spans="1:9" s="14" customFormat="1" ht="15" customHeight="1" x14ac:dyDescent="0.25">
      <c r="B21" s="31"/>
      <c r="C21" s="33"/>
      <c r="D21" s="34"/>
      <c r="E21" s="30"/>
      <c r="F21" s="30"/>
      <c r="G21" s="30"/>
    </row>
    <row r="22" spans="1:9" s="14" customFormat="1" ht="15" customHeight="1" x14ac:dyDescent="0.25">
      <c r="B22" s="31"/>
      <c r="C22" s="33"/>
      <c r="D22" s="34"/>
      <c r="E22" s="30"/>
      <c r="F22" s="30"/>
      <c r="G22" s="30"/>
    </row>
    <row r="23" spans="1:9" s="14" customFormat="1" ht="15" customHeight="1" x14ac:dyDescent="0.25">
      <c r="B23" s="31"/>
      <c r="C23" s="30"/>
      <c r="D23" s="30"/>
      <c r="E23" s="30"/>
      <c r="F23" s="30"/>
      <c r="G23" s="30"/>
    </row>
    <row r="24" spans="1:9" s="14" customFormat="1" ht="15" customHeight="1" x14ac:dyDescent="0.25">
      <c r="B24" s="31">
        <f>SUM(B9:B22)</f>
        <v>-347013</v>
      </c>
      <c r="C24" s="16"/>
      <c r="D24" s="23"/>
    </row>
    <row r="25" spans="1:9" s="14" customFormat="1" ht="15" customHeight="1" x14ac:dyDescent="0.25">
      <c r="A25" s="14" t="s">
        <v>2</v>
      </c>
      <c r="B25" s="31"/>
      <c r="C25" s="16" t="s">
        <v>730</v>
      </c>
      <c r="D25" s="23" t="s">
        <v>792</v>
      </c>
    </row>
    <row r="26" spans="1:9" s="14" customFormat="1" ht="15" customHeight="1" x14ac:dyDescent="0.25">
      <c r="B26" s="31"/>
      <c r="C26" s="16"/>
      <c r="D26" s="23"/>
    </row>
    <row r="27" spans="1:9" s="14" customFormat="1" ht="15" customHeight="1" x14ac:dyDescent="0.25">
      <c r="B27" s="31"/>
      <c r="C27" s="16"/>
      <c r="D27" s="23"/>
    </row>
    <row r="28" spans="1:9" s="14" customFormat="1" ht="15" customHeight="1" x14ac:dyDescent="0.25">
      <c r="B28" s="31"/>
      <c r="C28" s="16"/>
      <c r="D28" s="23"/>
    </row>
    <row r="29" spans="1:9" s="14" customFormat="1" ht="15" customHeight="1" x14ac:dyDescent="0.25">
      <c r="B29" s="32"/>
      <c r="C29" s="12"/>
      <c r="D29" s="21"/>
      <c r="E29" s="21"/>
      <c r="F29" s="21"/>
    </row>
    <row r="30" spans="1:9" s="14" customFormat="1" ht="15" customHeight="1" x14ac:dyDescent="0.25">
      <c r="B30" s="31">
        <f>SUM(B26:B29)</f>
        <v>0</v>
      </c>
      <c r="C30" s="16"/>
      <c r="D30" s="21"/>
      <c r="E30" s="21"/>
      <c r="F30" s="21"/>
    </row>
    <row r="31" spans="1:9" s="16" customFormat="1" ht="15" customHeight="1" x14ac:dyDescent="0.25">
      <c r="A31" s="18" t="s">
        <v>1</v>
      </c>
      <c r="B31" s="19">
        <f>B30+B24</f>
        <v>-347013</v>
      </c>
      <c r="D31" s="23"/>
      <c r="E31" s="21"/>
      <c r="F31" s="21"/>
      <c r="G31" s="21"/>
    </row>
    <row r="32" spans="1:9" s="16" customFormat="1" ht="15" customHeight="1" x14ac:dyDescent="0.25">
      <c r="A32" s="14" t="s">
        <v>0</v>
      </c>
      <c r="B32" s="15">
        <f>B31-B7</f>
        <v>0</v>
      </c>
      <c r="D32" s="23"/>
      <c r="E32" s="14"/>
      <c r="F32" s="14"/>
      <c r="G32" s="14"/>
      <c r="H32" s="14"/>
      <c r="I32" s="14"/>
    </row>
    <row r="33" spans="1:9" s="16" customFormat="1" ht="15" customHeight="1" x14ac:dyDescent="0.3">
      <c r="A33" s="1"/>
      <c r="B33" s="3"/>
      <c r="C33" s="2"/>
      <c r="D33" s="23"/>
      <c r="E33" s="14"/>
      <c r="F33" s="14"/>
      <c r="G33" s="14"/>
      <c r="H33" s="14"/>
      <c r="I33" s="14"/>
    </row>
    <row r="34" spans="1:9" s="16" customFormat="1" ht="15" customHeight="1" x14ac:dyDescent="0.3">
      <c r="A34" s="1"/>
      <c r="B34" s="3"/>
      <c r="C34" s="2"/>
      <c r="D34" s="29"/>
      <c r="E34" s="14"/>
      <c r="F34" s="14"/>
      <c r="G34" s="14"/>
      <c r="H34" s="14"/>
      <c r="I34" s="14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9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9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9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</sheetData>
  <pageMargins left="0.7" right="0.7" top="0.75" bottom="0.75" header="0.3" footer="0.3"/>
  <pageSetup fitToHeight="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44"/>
  <sheetViews>
    <sheetView workbookViewId="0">
      <selection activeCell="D22" sqref="D22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7" s="14" customFormat="1" ht="15" customHeight="1" x14ac:dyDescent="0.25">
      <c r="A1" s="14" t="s">
        <v>304</v>
      </c>
      <c r="B1" s="15"/>
      <c r="C1" s="16"/>
      <c r="D1" s="23"/>
    </row>
    <row r="2" spans="1:7" s="14" customFormat="1" ht="15" customHeight="1" x14ac:dyDescent="0.25">
      <c r="A2" s="17">
        <v>43708</v>
      </c>
      <c r="B2" s="15"/>
      <c r="C2" s="16"/>
      <c r="D2" s="23"/>
    </row>
    <row r="3" spans="1:7" s="14" customFormat="1" ht="15" customHeight="1" x14ac:dyDescent="0.25">
      <c r="A3" s="14" t="s">
        <v>389</v>
      </c>
      <c r="B3" s="15">
        <v>4356870</v>
      </c>
      <c r="C3" s="16"/>
      <c r="D3" s="23"/>
    </row>
    <row r="4" spans="1:7" s="14" customFormat="1" ht="15" customHeight="1" x14ac:dyDescent="0.25">
      <c r="A4" s="14" t="s">
        <v>6</v>
      </c>
      <c r="B4" s="15"/>
      <c r="C4" s="16"/>
      <c r="D4" s="23"/>
    </row>
    <row r="5" spans="1:7" s="14" customFormat="1" ht="15" customHeight="1" x14ac:dyDescent="0.25">
      <c r="A5" s="14">
        <v>2100</v>
      </c>
      <c r="B5" s="15">
        <v>-4726031</v>
      </c>
      <c r="C5" s="16"/>
      <c r="D5" s="23"/>
    </row>
    <row r="6" spans="1:7" s="14" customFormat="1" ht="15" customHeight="1" x14ac:dyDescent="0.25">
      <c r="A6" s="14" t="s">
        <v>5</v>
      </c>
      <c r="B6" s="15">
        <f>B5</f>
        <v>-4726031</v>
      </c>
      <c r="C6" s="16"/>
      <c r="D6" s="23"/>
    </row>
    <row r="7" spans="1:7" s="14" customFormat="1" ht="15" customHeight="1" x14ac:dyDescent="0.25">
      <c r="A7" s="18" t="s">
        <v>4</v>
      </c>
      <c r="B7" s="19">
        <f>SUM(B3+B6)</f>
        <v>-369161</v>
      </c>
      <c r="C7" s="16"/>
      <c r="D7" s="23"/>
    </row>
    <row r="8" spans="1:7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7" s="14" customFormat="1" ht="15" customHeight="1" x14ac:dyDescent="0.25">
      <c r="A9" s="14" t="s">
        <v>806</v>
      </c>
      <c r="B9" s="31">
        <v>-21381</v>
      </c>
      <c r="C9" s="27">
        <v>43707</v>
      </c>
      <c r="D9" s="17">
        <v>43712</v>
      </c>
    </row>
    <row r="10" spans="1:7" s="14" customFormat="1" ht="15" customHeight="1" x14ac:dyDescent="0.25">
      <c r="A10" s="14" t="s">
        <v>807</v>
      </c>
      <c r="B10" s="31">
        <v>-23514</v>
      </c>
      <c r="C10" s="27">
        <v>43707</v>
      </c>
      <c r="D10" s="17">
        <v>43711</v>
      </c>
    </row>
    <row r="11" spans="1:7" s="14" customFormat="1" ht="15" customHeight="1" x14ac:dyDescent="0.25">
      <c r="A11" s="14" t="s">
        <v>808</v>
      </c>
      <c r="B11" s="31">
        <v>-23940</v>
      </c>
      <c r="C11" s="35">
        <v>43704</v>
      </c>
      <c r="D11" s="34">
        <v>43711</v>
      </c>
      <c r="E11" s="30"/>
      <c r="F11" s="30"/>
      <c r="G11" s="30"/>
    </row>
    <row r="12" spans="1:7" s="14" customFormat="1" ht="15" customHeight="1" x14ac:dyDescent="0.25">
      <c r="A12" s="14" t="s">
        <v>809</v>
      </c>
      <c r="B12" s="31">
        <v>-27525</v>
      </c>
      <c r="C12" s="35">
        <v>43707</v>
      </c>
      <c r="D12" s="34">
        <v>43712</v>
      </c>
      <c r="E12" s="30"/>
      <c r="F12" s="30"/>
      <c r="G12" s="30"/>
    </row>
    <row r="13" spans="1:7" s="14" customFormat="1" ht="15" customHeight="1" x14ac:dyDescent="0.25">
      <c r="A13" s="14" t="s">
        <v>810</v>
      </c>
      <c r="B13" s="31">
        <v>-28119</v>
      </c>
      <c r="C13" s="35">
        <v>43704</v>
      </c>
      <c r="D13" s="34">
        <v>43711</v>
      </c>
      <c r="E13" s="30"/>
      <c r="F13" s="30"/>
      <c r="G13" s="30"/>
    </row>
    <row r="14" spans="1:7" s="14" customFormat="1" ht="15" customHeight="1" x14ac:dyDescent="0.25">
      <c r="A14" s="14" t="s">
        <v>811</v>
      </c>
      <c r="B14" s="31">
        <v>-28219</v>
      </c>
      <c r="C14" s="35">
        <v>43707</v>
      </c>
      <c r="D14" s="34">
        <v>43712</v>
      </c>
      <c r="E14" s="30"/>
      <c r="F14" s="30"/>
      <c r="G14" s="30"/>
    </row>
    <row r="15" spans="1:7" s="14" customFormat="1" ht="15" customHeight="1" x14ac:dyDescent="0.25">
      <c r="A15" s="14" t="s">
        <v>812</v>
      </c>
      <c r="B15" s="31">
        <v>-28297</v>
      </c>
      <c r="C15" s="35">
        <v>43707</v>
      </c>
      <c r="D15" s="34">
        <v>43711</v>
      </c>
      <c r="E15" s="30"/>
      <c r="F15" s="30"/>
      <c r="G15" s="30"/>
    </row>
    <row r="16" spans="1:7" s="14" customFormat="1" ht="15" customHeight="1" x14ac:dyDescent="0.25">
      <c r="A16" s="14" t="s">
        <v>813</v>
      </c>
      <c r="B16" s="31">
        <v>-28386</v>
      </c>
      <c r="C16" s="27">
        <v>43707</v>
      </c>
      <c r="D16" s="34">
        <v>43711</v>
      </c>
      <c r="E16" s="30"/>
      <c r="F16" s="30"/>
      <c r="G16" s="30"/>
    </row>
    <row r="17" spans="1:7" s="14" customFormat="1" ht="15" customHeight="1" x14ac:dyDescent="0.25">
      <c r="A17" s="14" t="s">
        <v>814</v>
      </c>
      <c r="B17" s="31">
        <v>-28784</v>
      </c>
      <c r="C17" s="35">
        <v>43704</v>
      </c>
      <c r="D17" s="34">
        <v>43711</v>
      </c>
      <c r="E17" s="30"/>
      <c r="F17" s="30"/>
      <c r="G17" s="30"/>
    </row>
    <row r="18" spans="1:7" s="14" customFormat="1" ht="15" customHeight="1" x14ac:dyDescent="0.25">
      <c r="A18" s="14" t="s">
        <v>815</v>
      </c>
      <c r="B18" s="31">
        <v>-29033</v>
      </c>
      <c r="C18" s="35">
        <v>43704</v>
      </c>
      <c r="D18" s="34">
        <v>43711</v>
      </c>
      <c r="E18" s="30"/>
      <c r="F18" s="30"/>
      <c r="G18" s="30"/>
    </row>
    <row r="19" spans="1:7" s="14" customFormat="1" ht="15" customHeight="1" x14ac:dyDescent="0.25">
      <c r="A19" s="14" t="s">
        <v>818</v>
      </c>
      <c r="B19" s="31">
        <v>-30832</v>
      </c>
      <c r="C19" s="35">
        <v>43707</v>
      </c>
      <c r="D19" s="34">
        <v>43712</v>
      </c>
      <c r="E19" s="30"/>
      <c r="F19" s="30"/>
      <c r="G19" s="30"/>
    </row>
    <row r="20" spans="1:7" s="14" customFormat="1" ht="15" customHeight="1" x14ac:dyDescent="0.25">
      <c r="A20" s="14" t="s">
        <v>816</v>
      </c>
      <c r="B20" s="31">
        <v>-34606</v>
      </c>
      <c r="C20" s="35">
        <v>43704</v>
      </c>
      <c r="D20" s="34">
        <v>43711</v>
      </c>
      <c r="E20" s="30"/>
      <c r="F20" s="30"/>
      <c r="G20" s="30"/>
    </row>
    <row r="21" spans="1:7" s="14" customFormat="1" ht="15" customHeight="1" x14ac:dyDescent="0.25">
      <c r="A21" s="14" t="s">
        <v>817</v>
      </c>
      <c r="B21" s="31">
        <v>-36525</v>
      </c>
      <c r="C21" s="35">
        <v>43707</v>
      </c>
      <c r="D21" s="34">
        <v>43711</v>
      </c>
      <c r="E21" s="30"/>
      <c r="F21" s="30"/>
      <c r="G21" s="30"/>
    </row>
    <row r="22" spans="1:7" s="14" customFormat="1" ht="15" customHeight="1" x14ac:dyDescent="0.25">
      <c r="B22" s="31"/>
      <c r="C22" s="35"/>
      <c r="D22" s="34"/>
      <c r="E22" s="30"/>
      <c r="F22" s="30"/>
      <c r="G22" s="30"/>
    </row>
    <row r="23" spans="1:7" s="14" customFormat="1" ht="15" customHeight="1" x14ac:dyDescent="0.25">
      <c r="B23" s="31"/>
      <c r="C23" s="35"/>
      <c r="D23" s="34"/>
      <c r="E23" s="30"/>
      <c r="F23" s="30"/>
      <c r="G23" s="30"/>
    </row>
    <row r="24" spans="1:7" s="14" customFormat="1" ht="15" customHeight="1" x14ac:dyDescent="0.25">
      <c r="B24" s="31"/>
      <c r="C24" s="35"/>
      <c r="D24" s="34"/>
      <c r="E24" s="30"/>
      <c r="F24" s="30"/>
      <c r="G24" s="30"/>
    </row>
    <row r="25" spans="1:7" s="14" customFormat="1" ht="15" customHeight="1" x14ac:dyDescent="0.25">
      <c r="B25" s="31"/>
      <c r="C25" s="33"/>
      <c r="D25" s="34"/>
      <c r="E25" s="30"/>
      <c r="F25" s="30"/>
      <c r="G25" s="30"/>
    </row>
    <row r="26" spans="1:7" s="14" customFormat="1" ht="15" customHeight="1" x14ac:dyDescent="0.25">
      <c r="B26" s="31"/>
      <c r="C26" s="33"/>
      <c r="D26" s="34"/>
      <c r="E26" s="30"/>
      <c r="F26" s="30"/>
      <c r="G26" s="30"/>
    </row>
    <row r="27" spans="1:7" s="14" customFormat="1" ht="15" customHeight="1" x14ac:dyDescent="0.25">
      <c r="B27" s="31"/>
      <c r="C27" s="30"/>
      <c r="D27" s="30"/>
      <c r="E27" s="30"/>
      <c r="F27" s="30"/>
      <c r="G27" s="30"/>
    </row>
    <row r="28" spans="1:7" s="14" customFormat="1" ht="15" customHeight="1" x14ac:dyDescent="0.25">
      <c r="B28" s="31">
        <f>SUM(B9:B26)</f>
        <v>-369161</v>
      </c>
      <c r="C28" s="16"/>
      <c r="D28" s="23"/>
    </row>
    <row r="29" spans="1:7" s="14" customFormat="1" ht="15" customHeight="1" x14ac:dyDescent="0.25">
      <c r="A29" s="14" t="s">
        <v>2</v>
      </c>
      <c r="B29" s="31"/>
      <c r="C29" s="16" t="s">
        <v>730</v>
      </c>
      <c r="D29" s="23" t="s">
        <v>792</v>
      </c>
    </row>
    <row r="30" spans="1:7" s="14" customFormat="1" ht="15" customHeight="1" x14ac:dyDescent="0.25">
      <c r="B30" s="31"/>
      <c r="C30" s="16"/>
      <c r="D30" s="23"/>
    </row>
    <row r="31" spans="1:7" s="14" customFormat="1" ht="15" customHeight="1" x14ac:dyDescent="0.25">
      <c r="B31" s="31"/>
      <c r="C31" s="16"/>
      <c r="D31" s="23"/>
    </row>
    <row r="32" spans="1:7" s="14" customFormat="1" ht="15" customHeight="1" x14ac:dyDescent="0.25">
      <c r="B32" s="31"/>
      <c r="C32" s="16"/>
      <c r="D32" s="23"/>
    </row>
    <row r="33" spans="1:9" s="14" customFormat="1" ht="15" customHeight="1" x14ac:dyDescent="0.25">
      <c r="B33" s="32"/>
      <c r="C33" s="12"/>
      <c r="D33" s="21"/>
      <c r="E33" s="21"/>
      <c r="F33" s="21"/>
    </row>
    <row r="34" spans="1:9" s="14" customFormat="1" ht="15" customHeight="1" x14ac:dyDescent="0.25">
      <c r="B34" s="31">
        <f>SUM(B30:B33)</f>
        <v>0</v>
      </c>
      <c r="C34" s="16"/>
      <c r="D34" s="21"/>
      <c r="E34" s="21"/>
      <c r="F34" s="21"/>
    </row>
    <row r="35" spans="1:9" s="16" customFormat="1" ht="15" customHeight="1" x14ac:dyDescent="0.25">
      <c r="A35" s="18" t="s">
        <v>1</v>
      </c>
      <c r="B35" s="19">
        <f>B34+B28</f>
        <v>-369161</v>
      </c>
      <c r="D35" s="23"/>
      <c r="E35" s="21"/>
      <c r="F35" s="21"/>
      <c r="G35" s="21"/>
    </row>
    <row r="36" spans="1:9" s="16" customFormat="1" ht="15" customHeight="1" x14ac:dyDescent="0.25">
      <c r="A36" s="14" t="s">
        <v>0</v>
      </c>
      <c r="B36" s="15">
        <f>B35-B7</f>
        <v>0</v>
      </c>
      <c r="D36" s="23"/>
      <c r="E36" s="14"/>
      <c r="F36" s="14"/>
      <c r="G36" s="14"/>
      <c r="H36" s="14"/>
      <c r="I36" s="14"/>
    </row>
    <row r="37" spans="1:9" s="16" customFormat="1" ht="15" customHeight="1" x14ac:dyDescent="0.3">
      <c r="A37" s="1"/>
      <c r="B37" s="3"/>
      <c r="C37" s="2"/>
      <c r="D37" s="23"/>
      <c r="E37" s="14"/>
      <c r="F37" s="14"/>
      <c r="G37" s="14"/>
      <c r="H37" s="14"/>
      <c r="I37" s="14"/>
    </row>
    <row r="38" spans="1:9" s="16" customFormat="1" ht="15" customHeight="1" x14ac:dyDescent="0.3">
      <c r="A38" s="1"/>
      <c r="B38" s="3"/>
      <c r="C38" s="2"/>
      <c r="D38" s="29"/>
      <c r="E38" s="14"/>
      <c r="F38" s="14"/>
      <c r="G38" s="14"/>
      <c r="H38" s="14"/>
      <c r="I38" s="14"/>
    </row>
    <row r="39" spans="1:9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9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  <row r="41" spans="1:9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  <row r="42" spans="1:9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  <row r="43" spans="1:9" s="2" customFormat="1" ht="20.100000000000001" customHeight="1" x14ac:dyDescent="0.3">
      <c r="A43"/>
      <c r="B43" s="10"/>
      <c r="D43" s="29"/>
      <c r="E43" s="1"/>
      <c r="F43" s="1"/>
      <c r="G43" s="1"/>
      <c r="H43" s="1"/>
      <c r="I43" s="1"/>
    </row>
    <row r="44" spans="1:9" s="2" customFormat="1" ht="20.100000000000001" customHeight="1" x14ac:dyDescent="0.3">
      <c r="A44"/>
      <c r="B44" s="10"/>
      <c r="D44" s="29"/>
      <c r="E44" s="1"/>
      <c r="F44" s="1"/>
      <c r="G44" s="1"/>
      <c r="H44" s="1"/>
      <c r="I44" s="1"/>
    </row>
  </sheetData>
  <pageMargins left="0.7" right="0.7" top="0.75" bottom="0.75" header="0.3" footer="0.3"/>
  <pageSetup fitToHeight="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44"/>
  <sheetViews>
    <sheetView workbookViewId="0">
      <selection activeCell="D11" sqref="D11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7" s="14" customFormat="1" ht="15" customHeight="1" x14ac:dyDescent="0.25">
      <c r="A1" s="14" t="s">
        <v>304</v>
      </c>
      <c r="B1" s="15"/>
      <c r="C1" s="16"/>
      <c r="D1" s="23"/>
    </row>
    <row r="2" spans="1:7" s="14" customFormat="1" ht="15" customHeight="1" x14ac:dyDescent="0.25">
      <c r="A2" s="17">
        <v>43738</v>
      </c>
      <c r="B2" s="15"/>
      <c r="C2" s="16"/>
      <c r="D2" s="23"/>
    </row>
    <row r="3" spans="1:7" s="14" customFormat="1" ht="15" customHeight="1" x14ac:dyDescent="0.25">
      <c r="A3" s="14" t="s">
        <v>389</v>
      </c>
      <c r="B3" s="15">
        <v>4502777.3</v>
      </c>
      <c r="C3" s="16"/>
      <c r="D3" s="23"/>
    </row>
    <row r="4" spans="1:7" s="14" customFormat="1" ht="15" customHeight="1" x14ac:dyDescent="0.25">
      <c r="A4" s="14" t="s">
        <v>6</v>
      </c>
      <c r="B4" s="15"/>
      <c r="C4" s="16"/>
      <c r="D4" s="23"/>
    </row>
    <row r="5" spans="1:7" s="14" customFormat="1" ht="15" customHeight="1" x14ac:dyDescent="0.25">
      <c r="A5" s="14">
        <v>2100</v>
      </c>
      <c r="B5" s="15">
        <v>-4560494.3</v>
      </c>
      <c r="C5" s="16"/>
      <c r="D5" s="23"/>
    </row>
    <row r="6" spans="1:7" s="14" customFormat="1" ht="15" customHeight="1" x14ac:dyDescent="0.25">
      <c r="A6" s="14" t="s">
        <v>5</v>
      </c>
      <c r="B6" s="15">
        <f>B5</f>
        <v>-4560494.3</v>
      </c>
      <c r="C6" s="16"/>
      <c r="D6" s="23"/>
    </row>
    <row r="7" spans="1:7" s="14" customFormat="1" ht="15" customHeight="1" x14ac:dyDescent="0.25">
      <c r="A7" s="18" t="s">
        <v>4</v>
      </c>
      <c r="B7" s="19">
        <f>SUM(B3+B6)</f>
        <v>-57717</v>
      </c>
      <c r="C7" s="16"/>
      <c r="D7" s="23"/>
    </row>
    <row r="8" spans="1:7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7" s="14" customFormat="1" ht="15" customHeight="1" x14ac:dyDescent="0.25">
      <c r="A9" s="14" t="s">
        <v>819</v>
      </c>
      <c r="B9" s="31">
        <v>-24126</v>
      </c>
      <c r="C9" s="27">
        <v>43735</v>
      </c>
      <c r="D9" s="17">
        <v>43739</v>
      </c>
    </row>
    <row r="10" spans="1:7" s="14" customFormat="1" ht="15" customHeight="1" x14ac:dyDescent="0.25">
      <c r="A10" s="14" t="s">
        <v>820</v>
      </c>
      <c r="B10" s="31">
        <v>-33591</v>
      </c>
      <c r="C10" s="27">
        <v>43735</v>
      </c>
      <c r="D10" s="17">
        <v>43739</v>
      </c>
    </row>
    <row r="11" spans="1:7" s="14" customFormat="1" ht="15" customHeight="1" x14ac:dyDescent="0.25">
      <c r="B11" s="31"/>
      <c r="C11" s="35"/>
      <c r="D11" s="34"/>
      <c r="E11" s="30"/>
      <c r="F11" s="30"/>
      <c r="G11" s="30"/>
    </row>
    <row r="12" spans="1:7" s="14" customFormat="1" ht="15" customHeight="1" x14ac:dyDescent="0.25">
      <c r="B12" s="31"/>
      <c r="C12" s="35"/>
      <c r="D12" s="34"/>
      <c r="E12" s="30"/>
      <c r="F12" s="30"/>
      <c r="G12" s="30"/>
    </row>
    <row r="13" spans="1:7" s="14" customFormat="1" ht="15" customHeight="1" x14ac:dyDescent="0.25">
      <c r="B13" s="31"/>
      <c r="C13" s="35"/>
      <c r="D13" s="34"/>
      <c r="E13" s="30"/>
      <c r="F13" s="30"/>
      <c r="G13" s="30"/>
    </row>
    <row r="14" spans="1:7" s="14" customFormat="1" ht="15" customHeight="1" x14ac:dyDescent="0.25">
      <c r="B14" s="31"/>
      <c r="C14" s="35"/>
      <c r="D14" s="34"/>
      <c r="E14" s="30"/>
      <c r="F14" s="30"/>
      <c r="G14" s="30"/>
    </row>
    <row r="15" spans="1:7" s="14" customFormat="1" ht="15" customHeight="1" x14ac:dyDescent="0.25">
      <c r="B15" s="31"/>
      <c r="C15" s="35"/>
      <c r="D15" s="34"/>
      <c r="E15" s="30"/>
      <c r="F15" s="30"/>
      <c r="G15" s="30"/>
    </row>
    <row r="16" spans="1:7" s="14" customFormat="1" ht="15" customHeight="1" x14ac:dyDescent="0.25">
      <c r="B16" s="31"/>
      <c r="C16" s="27"/>
      <c r="D16" s="34"/>
      <c r="E16" s="30"/>
      <c r="F16" s="30"/>
      <c r="G16" s="30"/>
    </row>
    <row r="17" spans="1:7" s="14" customFormat="1" ht="15" customHeight="1" x14ac:dyDescent="0.25">
      <c r="B17" s="31"/>
      <c r="C17" s="35"/>
      <c r="D17" s="34"/>
      <c r="E17" s="30"/>
      <c r="F17" s="30"/>
      <c r="G17" s="30"/>
    </row>
    <row r="18" spans="1:7" s="14" customFormat="1" ht="15" customHeight="1" x14ac:dyDescent="0.25">
      <c r="B18" s="31"/>
      <c r="C18" s="35"/>
      <c r="D18" s="34"/>
      <c r="E18" s="30"/>
      <c r="F18" s="30"/>
      <c r="G18" s="30"/>
    </row>
    <row r="19" spans="1:7" s="14" customFormat="1" ht="15" customHeight="1" x14ac:dyDescent="0.25">
      <c r="B19" s="31"/>
      <c r="C19" s="35"/>
      <c r="D19" s="34"/>
      <c r="E19" s="30"/>
      <c r="F19" s="30"/>
      <c r="G19" s="30"/>
    </row>
    <row r="20" spans="1:7" s="14" customFormat="1" ht="15" customHeight="1" x14ac:dyDescent="0.25">
      <c r="B20" s="31"/>
      <c r="C20" s="35"/>
      <c r="D20" s="34"/>
      <c r="E20" s="30"/>
      <c r="F20" s="30"/>
      <c r="G20" s="30"/>
    </row>
    <row r="21" spans="1:7" s="14" customFormat="1" ht="15" customHeight="1" x14ac:dyDescent="0.25">
      <c r="B21" s="31"/>
      <c r="C21" s="35"/>
      <c r="D21" s="34"/>
      <c r="E21" s="30"/>
      <c r="F21" s="30"/>
      <c r="G21" s="30"/>
    </row>
    <row r="22" spans="1:7" s="14" customFormat="1" ht="15" customHeight="1" x14ac:dyDescent="0.25">
      <c r="B22" s="31"/>
      <c r="C22" s="35"/>
      <c r="D22" s="34"/>
      <c r="E22" s="30"/>
      <c r="F22" s="30"/>
      <c r="G22" s="30"/>
    </row>
    <row r="23" spans="1:7" s="14" customFormat="1" ht="15" customHeight="1" x14ac:dyDescent="0.25">
      <c r="B23" s="31"/>
      <c r="C23" s="35"/>
      <c r="D23" s="34"/>
      <c r="E23" s="30"/>
      <c r="F23" s="30"/>
      <c r="G23" s="30"/>
    </row>
    <row r="24" spans="1:7" s="14" customFormat="1" ht="15" customHeight="1" x14ac:dyDescent="0.25">
      <c r="B24" s="31"/>
      <c r="C24" s="35"/>
      <c r="D24" s="34"/>
      <c r="E24" s="30"/>
      <c r="F24" s="30"/>
      <c r="G24" s="30"/>
    </row>
    <row r="25" spans="1:7" s="14" customFormat="1" ht="15" customHeight="1" x14ac:dyDescent="0.25">
      <c r="B25" s="31"/>
      <c r="C25" s="33"/>
      <c r="D25" s="34"/>
      <c r="E25" s="30"/>
      <c r="F25" s="30"/>
      <c r="G25" s="30"/>
    </row>
    <row r="26" spans="1:7" s="14" customFormat="1" ht="15" customHeight="1" x14ac:dyDescent="0.25">
      <c r="B26" s="31"/>
      <c r="C26" s="33"/>
      <c r="D26" s="34"/>
      <c r="E26" s="30"/>
      <c r="F26" s="30"/>
      <c r="G26" s="30"/>
    </row>
    <row r="27" spans="1:7" s="14" customFormat="1" ht="15" customHeight="1" x14ac:dyDescent="0.25">
      <c r="B27" s="31"/>
      <c r="C27" s="30"/>
      <c r="D27" s="30"/>
      <c r="E27" s="30"/>
      <c r="F27" s="30"/>
      <c r="G27" s="30"/>
    </row>
    <row r="28" spans="1:7" s="14" customFormat="1" ht="15" customHeight="1" x14ac:dyDescent="0.25">
      <c r="B28" s="31">
        <f>SUM(B9:B26)</f>
        <v>-57717</v>
      </c>
      <c r="C28" s="16"/>
      <c r="D28" s="23"/>
    </row>
    <row r="29" spans="1:7" s="14" customFormat="1" ht="15" customHeight="1" x14ac:dyDescent="0.25">
      <c r="A29" s="14" t="s">
        <v>2</v>
      </c>
      <c r="B29" s="31"/>
      <c r="C29" s="16" t="s">
        <v>730</v>
      </c>
      <c r="D29" s="23" t="s">
        <v>792</v>
      </c>
    </row>
    <row r="30" spans="1:7" s="14" customFormat="1" ht="15" customHeight="1" x14ac:dyDescent="0.25">
      <c r="B30" s="31"/>
      <c r="C30" s="16"/>
      <c r="D30" s="23"/>
    </row>
    <row r="31" spans="1:7" s="14" customFormat="1" ht="15" customHeight="1" x14ac:dyDescent="0.25">
      <c r="B31" s="31"/>
      <c r="C31" s="16"/>
      <c r="D31" s="23"/>
    </row>
    <row r="32" spans="1:7" s="14" customFormat="1" ht="15" customHeight="1" x14ac:dyDescent="0.25">
      <c r="B32" s="31"/>
      <c r="C32" s="16"/>
      <c r="D32" s="23"/>
    </row>
    <row r="33" spans="1:9" s="14" customFormat="1" ht="15" customHeight="1" x14ac:dyDescent="0.25">
      <c r="B33" s="32"/>
      <c r="C33" s="12"/>
      <c r="D33" s="21"/>
      <c r="E33" s="21"/>
      <c r="F33" s="21"/>
    </row>
    <row r="34" spans="1:9" s="14" customFormat="1" ht="15" customHeight="1" x14ac:dyDescent="0.25">
      <c r="B34" s="31">
        <f>SUM(B30:B33)</f>
        <v>0</v>
      </c>
      <c r="C34" s="16"/>
      <c r="D34" s="21"/>
      <c r="E34" s="21"/>
      <c r="F34" s="21"/>
    </row>
    <row r="35" spans="1:9" s="16" customFormat="1" ht="15" customHeight="1" x14ac:dyDescent="0.25">
      <c r="A35" s="18" t="s">
        <v>1</v>
      </c>
      <c r="B35" s="19">
        <f>B34+B28</f>
        <v>-57717</v>
      </c>
      <c r="D35" s="23"/>
      <c r="E35" s="21"/>
      <c r="F35" s="21"/>
      <c r="G35" s="21"/>
    </row>
    <row r="36" spans="1:9" s="16" customFormat="1" ht="15" customHeight="1" x14ac:dyDescent="0.25">
      <c r="A36" s="14" t="s">
        <v>0</v>
      </c>
      <c r="B36" s="15">
        <f>B35-B7</f>
        <v>0</v>
      </c>
      <c r="D36" s="23"/>
      <c r="E36" s="14"/>
      <c r="F36" s="14"/>
      <c r="G36" s="14"/>
      <c r="H36" s="14"/>
      <c r="I36" s="14"/>
    </row>
    <row r="37" spans="1:9" s="16" customFormat="1" ht="15" customHeight="1" x14ac:dyDescent="0.3">
      <c r="A37" s="1"/>
      <c r="B37" s="3"/>
      <c r="C37" s="2"/>
      <c r="D37" s="23"/>
      <c r="E37" s="14"/>
      <c r="F37" s="14"/>
      <c r="G37" s="14"/>
      <c r="H37" s="14"/>
      <c r="I37" s="14"/>
    </row>
    <row r="38" spans="1:9" s="16" customFormat="1" ht="15" customHeight="1" x14ac:dyDescent="0.3">
      <c r="A38" s="1"/>
      <c r="B38" s="3"/>
      <c r="C38" s="2"/>
      <c r="D38" s="29"/>
      <c r="E38" s="14"/>
      <c r="F38" s="14"/>
      <c r="G38" s="14"/>
      <c r="H38" s="14"/>
      <c r="I38" s="14"/>
    </row>
    <row r="39" spans="1:9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9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  <row r="41" spans="1:9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  <row r="42" spans="1:9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  <row r="43" spans="1:9" s="2" customFormat="1" ht="20.100000000000001" customHeight="1" x14ac:dyDescent="0.3">
      <c r="A43"/>
      <c r="B43" s="10"/>
      <c r="D43" s="29"/>
      <c r="E43" s="1"/>
      <c r="F43" s="1"/>
      <c r="G43" s="1"/>
      <c r="H43" s="1"/>
      <c r="I43" s="1"/>
    </row>
    <row r="44" spans="1:9" s="2" customFormat="1" ht="20.100000000000001" customHeight="1" x14ac:dyDescent="0.3">
      <c r="A44"/>
      <c r="B44" s="10"/>
      <c r="D44" s="29"/>
      <c r="E44" s="1"/>
      <c r="F44" s="1"/>
      <c r="G44" s="1"/>
      <c r="H44" s="1"/>
      <c r="I44" s="1"/>
    </row>
  </sheetData>
  <pageMargins left="0.7" right="0.7" top="0.75" bottom="0.75" header="0.3" footer="0.3"/>
  <pageSetup fitToHeight="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I43"/>
  <sheetViews>
    <sheetView workbookViewId="0">
      <selection activeCell="A26" sqref="A26:G26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7" s="14" customFormat="1" ht="15" customHeight="1" x14ac:dyDescent="0.25">
      <c r="A1" s="14" t="s">
        <v>304</v>
      </c>
      <c r="B1" s="15"/>
      <c r="C1" s="16"/>
      <c r="D1" s="23"/>
    </row>
    <row r="2" spans="1:7" s="14" customFormat="1" ht="15" customHeight="1" x14ac:dyDescent="0.25">
      <c r="A2" s="17">
        <v>43769</v>
      </c>
      <c r="B2" s="15"/>
      <c r="C2" s="16"/>
      <c r="D2" s="23"/>
    </row>
    <row r="3" spans="1:7" s="14" customFormat="1" ht="15" customHeight="1" x14ac:dyDescent="0.25">
      <c r="A3" s="14" t="s">
        <v>389</v>
      </c>
      <c r="B3" s="15">
        <v>4335091.3</v>
      </c>
      <c r="C3" s="16"/>
      <c r="D3" s="23"/>
    </row>
    <row r="4" spans="1:7" s="14" customFormat="1" ht="15" customHeight="1" x14ac:dyDescent="0.25">
      <c r="A4" s="14" t="s">
        <v>6</v>
      </c>
      <c r="B4" s="15"/>
      <c r="C4" s="16"/>
      <c r="D4" s="23"/>
    </row>
    <row r="5" spans="1:7" s="14" customFormat="1" ht="15" customHeight="1" x14ac:dyDescent="0.25">
      <c r="A5" s="14">
        <v>2100</v>
      </c>
      <c r="B5" s="15">
        <v>-4041758.3</v>
      </c>
      <c r="C5" s="16"/>
      <c r="D5" s="23"/>
    </row>
    <row r="6" spans="1:7" s="14" customFormat="1" ht="15" customHeight="1" x14ac:dyDescent="0.25">
      <c r="A6" s="14" t="s">
        <v>5</v>
      </c>
      <c r="B6" s="15">
        <f>B5</f>
        <v>-4041758.3</v>
      </c>
      <c r="C6" s="16"/>
      <c r="D6" s="23"/>
    </row>
    <row r="7" spans="1:7" s="14" customFormat="1" ht="15" customHeight="1" x14ac:dyDescent="0.25">
      <c r="A7" s="18" t="s">
        <v>4</v>
      </c>
      <c r="B7" s="19">
        <f>SUM(B3+B6)</f>
        <v>293333</v>
      </c>
      <c r="C7" s="16"/>
      <c r="D7" s="23"/>
    </row>
    <row r="8" spans="1:7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7" s="14" customFormat="1" ht="15" customHeight="1" x14ac:dyDescent="0.25">
      <c r="B9" s="31"/>
      <c r="C9" s="27"/>
      <c r="D9" s="17"/>
    </row>
    <row r="10" spans="1:7" s="14" customFormat="1" ht="15" customHeight="1" x14ac:dyDescent="0.25">
      <c r="B10" s="31"/>
      <c r="C10" s="27"/>
      <c r="D10" s="17"/>
    </row>
    <row r="11" spans="1:7" s="14" customFormat="1" ht="15" customHeight="1" x14ac:dyDescent="0.25">
      <c r="B11" s="31"/>
      <c r="C11" s="35"/>
      <c r="D11" s="34"/>
      <c r="E11" s="30"/>
      <c r="F11" s="30"/>
      <c r="G11" s="30"/>
    </row>
    <row r="12" spans="1:7" s="14" customFormat="1" ht="15" customHeight="1" x14ac:dyDescent="0.25">
      <c r="B12" s="31"/>
      <c r="C12" s="35"/>
      <c r="D12" s="34"/>
      <c r="E12" s="30"/>
      <c r="F12" s="30"/>
      <c r="G12" s="30"/>
    </row>
    <row r="13" spans="1:7" s="14" customFormat="1" ht="15" customHeight="1" x14ac:dyDescent="0.25">
      <c r="B13" s="31"/>
      <c r="C13" s="33"/>
      <c r="D13" s="34"/>
      <c r="E13" s="30"/>
      <c r="F13" s="30"/>
      <c r="G13" s="30"/>
    </row>
    <row r="14" spans="1:7" s="14" customFormat="1" ht="15" customHeight="1" x14ac:dyDescent="0.25">
      <c r="B14" s="31"/>
      <c r="C14" s="30"/>
      <c r="D14" s="30"/>
      <c r="E14" s="30"/>
      <c r="F14" s="30"/>
      <c r="G14" s="30"/>
    </row>
    <row r="15" spans="1:7" s="14" customFormat="1" ht="15" customHeight="1" x14ac:dyDescent="0.25">
      <c r="B15" s="31">
        <f>SUM(B9:B13)</f>
        <v>0</v>
      </c>
      <c r="C15" s="16"/>
      <c r="D15" s="23"/>
    </row>
    <row r="16" spans="1:7" s="14" customFormat="1" ht="15" customHeight="1" x14ac:dyDescent="0.25">
      <c r="A16" s="14" t="s">
        <v>2</v>
      </c>
      <c r="B16" s="31"/>
      <c r="C16" s="26" t="s">
        <v>730</v>
      </c>
      <c r="D16" s="28" t="s">
        <v>829</v>
      </c>
    </row>
    <row r="17" spans="1:7" s="14" customFormat="1" ht="15" customHeight="1" x14ac:dyDescent="0.25">
      <c r="A17" s="14" t="s">
        <v>822</v>
      </c>
      <c r="B17" s="31">
        <v>20854</v>
      </c>
      <c r="C17" s="27">
        <v>43759</v>
      </c>
      <c r="D17" s="23">
        <v>43775</v>
      </c>
    </row>
    <row r="18" spans="1:7" s="14" customFormat="1" ht="15" customHeight="1" x14ac:dyDescent="0.25">
      <c r="A18" s="14" t="s">
        <v>823</v>
      </c>
      <c r="B18" s="31">
        <v>21031</v>
      </c>
      <c r="C18" s="27">
        <v>43768</v>
      </c>
      <c r="D18" s="23">
        <v>43770</v>
      </c>
    </row>
    <row r="19" spans="1:7" s="14" customFormat="1" ht="15" customHeight="1" x14ac:dyDescent="0.25">
      <c r="A19" s="14" t="s">
        <v>824</v>
      </c>
      <c r="B19" s="31">
        <v>21120</v>
      </c>
      <c r="C19" s="27">
        <v>43759</v>
      </c>
      <c r="D19" s="23">
        <v>43775</v>
      </c>
    </row>
    <row r="20" spans="1:7" s="14" customFormat="1" ht="15" customHeight="1" x14ac:dyDescent="0.25">
      <c r="A20" s="14" t="s">
        <v>830</v>
      </c>
      <c r="B20" s="31">
        <v>26895</v>
      </c>
      <c r="C20" s="27">
        <v>43767</v>
      </c>
      <c r="D20" s="23">
        <v>43777</v>
      </c>
    </row>
    <row r="21" spans="1:7" s="14" customFormat="1" ht="15" customHeight="1" x14ac:dyDescent="0.25">
      <c r="A21" s="14" t="s">
        <v>825</v>
      </c>
      <c r="B21" s="31">
        <v>28119</v>
      </c>
      <c r="C21" s="27">
        <v>43759</v>
      </c>
      <c r="D21" s="23">
        <v>43775</v>
      </c>
    </row>
    <row r="22" spans="1:7" s="14" customFormat="1" ht="15" customHeight="1" x14ac:dyDescent="0.25">
      <c r="A22" s="14" t="s">
        <v>831</v>
      </c>
      <c r="B22" s="31">
        <v>28297</v>
      </c>
      <c r="C22" s="27">
        <v>43759</v>
      </c>
      <c r="D22" s="23">
        <v>43777</v>
      </c>
    </row>
    <row r="23" spans="1:7" s="14" customFormat="1" ht="15" customHeight="1" x14ac:dyDescent="0.25">
      <c r="A23" s="14" t="s">
        <v>826</v>
      </c>
      <c r="B23" s="31">
        <v>28297</v>
      </c>
      <c r="C23" s="27">
        <v>43769</v>
      </c>
      <c r="D23" s="23">
        <v>43770</v>
      </c>
    </row>
    <row r="24" spans="1:7" s="14" customFormat="1" ht="15" customHeight="1" x14ac:dyDescent="0.25">
      <c r="A24" s="14" t="s">
        <v>827</v>
      </c>
      <c r="B24" s="31">
        <v>28386</v>
      </c>
      <c r="C24" s="27">
        <v>43759</v>
      </c>
      <c r="D24" s="23">
        <v>43775</v>
      </c>
    </row>
    <row r="25" spans="1:7" s="14" customFormat="1" ht="15" customHeight="1" x14ac:dyDescent="0.25">
      <c r="A25" s="14" t="s">
        <v>828</v>
      </c>
      <c r="B25" s="31">
        <v>28486</v>
      </c>
      <c r="C25" s="27">
        <v>43760</v>
      </c>
      <c r="D25" s="23">
        <v>43774</v>
      </c>
    </row>
    <row r="26" spans="1:7" s="14" customFormat="1" ht="27.75" customHeight="1" x14ac:dyDescent="0.25">
      <c r="A26" s="37" t="s">
        <v>821</v>
      </c>
      <c r="B26" s="38">
        <v>29922</v>
      </c>
      <c r="C26" s="39">
        <v>43767</v>
      </c>
      <c r="D26" s="48" t="s">
        <v>833</v>
      </c>
      <c r="E26" s="49"/>
      <c r="F26" s="49"/>
      <c r="G26" s="50"/>
    </row>
    <row r="27" spans="1:7" s="14" customFormat="1" ht="15" customHeight="1" x14ac:dyDescent="0.25">
      <c r="A27" s="14" t="s">
        <v>832</v>
      </c>
      <c r="B27" s="31">
        <v>31926</v>
      </c>
      <c r="C27" s="27">
        <v>43767</v>
      </c>
      <c r="D27" s="23">
        <v>43770</v>
      </c>
    </row>
    <row r="28" spans="1:7" s="14" customFormat="1" ht="15" customHeight="1" x14ac:dyDescent="0.25">
      <c r="B28" s="31"/>
      <c r="C28" s="27"/>
      <c r="D28" s="23"/>
    </row>
    <row r="29" spans="1:7" s="14" customFormat="1" ht="15" customHeight="1" x14ac:dyDescent="0.25">
      <c r="B29" s="31"/>
      <c r="C29" s="27"/>
      <c r="D29" s="23"/>
    </row>
    <row r="30" spans="1:7" s="14" customFormat="1" ht="15" customHeight="1" x14ac:dyDescent="0.25">
      <c r="B30" s="31"/>
      <c r="C30" s="27"/>
      <c r="D30" s="23"/>
    </row>
    <row r="31" spans="1:7" s="14" customFormat="1" ht="15" customHeight="1" x14ac:dyDescent="0.25">
      <c r="B31" s="31"/>
      <c r="C31" s="27"/>
      <c r="D31" s="23"/>
    </row>
    <row r="32" spans="1:7" s="14" customFormat="1" ht="15" customHeight="1" x14ac:dyDescent="0.25">
      <c r="B32" s="32"/>
      <c r="C32" s="36"/>
      <c r="D32" s="21"/>
      <c r="E32" s="21"/>
      <c r="F32" s="21"/>
    </row>
    <row r="33" spans="1:9" s="14" customFormat="1" ht="15" customHeight="1" x14ac:dyDescent="0.25">
      <c r="B33" s="31">
        <f>SUM(B17:B32)</f>
        <v>293333</v>
      </c>
      <c r="C33" s="16"/>
      <c r="D33" s="21"/>
      <c r="E33" s="21"/>
      <c r="F33" s="21"/>
    </row>
    <row r="34" spans="1:9" s="16" customFormat="1" ht="15" customHeight="1" x14ac:dyDescent="0.25">
      <c r="A34" s="18" t="s">
        <v>1</v>
      </c>
      <c r="B34" s="19">
        <f>B33+B15</f>
        <v>293333</v>
      </c>
      <c r="D34" s="23"/>
      <c r="E34" s="21"/>
      <c r="F34" s="21"/>
      <c r="G34" s="21"/>
    </row>
    <row r="35" spans="1:9" s="16" customFormat="1" ht="15" customHeight="1" x14ac:dyDescent="0.25">
      <c r="A35" s="14" t="s">
        <v>0</v>
      </c>
      <c r="B35" s="15">
        <f>B34-B7</f>
        <v>0</v>
      </c>
      <c r="D35" s="23"/>
      <c r="E35" s="14"/>
      <c r="F35" s="14"/>
      <c r="G35" s="14"/>
      <c r="H35" s="14"/>
      <c r="I35" s="14"/>
    </row>
    <row r="36" spans="1:9" s="16" customFormat="1" ht="15" customHeight="1" x14ac:dyDescent="0.3">
      <c r="A36" s="1"/>
      <c r="B36" s="3"/>
      <c r="C36" s="2"/>
      <c r="D36" s="23"/>
      <c r="E36" s="14"/>
      <c r="F36" s="14"/>
      <c r="G36" s="14"/>
      <c r="H36" s="14"/>
      <c r="I36" s="14"/>
    </row>
    <row r="37" spans="1:9" s="16" customFormat="1" ht="15" customHeight="1" x14ac:dyDescent="0.3">
      <c r="A37" s="1"/>
      <c r="B37" s="3"/>
      <c r="C37" s="2"/>
      <c r="D37" s="29"/>
      <c r="E37" s="14"/>
      <c r="F37" s="14"/>
      <c r="G37" s="14"/>
      <c r="H37" s="14"/>
      <c r="I37" s="14"/>
    </row>
    <row r="38" spans="1:9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9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9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  <row r="41" spans="1:9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  <row r="42" spans="1:9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  <row r="43" spans="1:9" s="2" customFormat="1" ht="20.100000000000001" customHeight="1" x14ac:dyDescent="0.3">
      <c r="A43"/>
      <c r="B43" s="10"/>
      <c r="D43" s="29"/>
      <c r="E43" s="1"/>
      <c r="F43" s="1"/>
      <c r="G43" s="1"/>
      <c r="H43" s="1"/>
      <c r="I43" s="1"/>
    </row>
  </sheetData>
  <mergeCells count="1">
    <mergeCell ref="D26:G26"/>
  </mergeCells>
  <pageMargins left="0.7" right="0.7" top="0.75" bottom="0.75" header="0.3" footer="0.3"/>
  <pageSetup scale="98" fitToHeight="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42"/>
  <sheetViews>
    <sheetView workbookViewId="0">
      <selection activeCell="A20" sqref="A20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7" s="14" customFormat="1" ht="15" customHeight="1" x14ac:dyDescent="0.25">
      <c r="A1" s="14" t="s">
        <v>304</v>
      </c>
      <c r="B1" s="15"/>
      <c r="C1" s="16"/>
      <c r="D1" s="23"/>
    </row>
    <row r="2" spans="1:7" s="14" customFormat="1" ht="15" customHeight="1" x14ac:dyDescent="0.25">
      <c r="A2" s="17">
        <v>43799</v>
      </c>
      <c r="B2" s="15"/>
      <c r="C2" s="16"/>
      <c r="D2" s="23"/>
    </row>
    <row r="3" spans="1:7" s="14" customFormat="1" ht="15" customHeight="1" x14ac:dyDescent="0.25">
      <c r="A3" s="14" t="s">
        <v>389</v>
      </c>
      <c r="B3" s="15">
        <v>4198450</v>
      </c>
      <c r="C3" s="16"/>
      <c r="D3" s="23"/>
    </row>
    <row r="4" spans="1:7" s="14" customFormat="1" ht="15" customHeight="1" x14ac:dyDescent="0.25">
      <c r="A4" s="14" t="s">
        <v>6</v>
      </c>
      <c r="B4" s="15"/>
      <c r="C4" s="16"/>
      <c r="D4" s="23"/>
    </row>
    <row r="5" spans="1:7" s="14" customFormat="1" ht="15" customHeight="1" x14ac:dyDescent="0.25">
      <c r="A5" s="14">
        <v>2100</v>
      </c>
      <c r="B5" s="15">
        <v>-4122808</v>
      </c>
      <c r="C5" s="16"/>
      <c r="D5" s="23"/>
    </row>
    <row r="6" spans="1:7" s="14" customFormat="1" ht="15" customHeight="1" x14ac:dyDescent="0.25">
      <c r="A6" s="14" t="s">
        <v>5</v>
      </c>
      <c r="B6" s="15">
        <f>B5</f>
        <v>-4122808</v>
      </c>
      <c r="C6" s="16"/>
      <c r="D6" s="23"/>
    </row>
    <row r="7" spans="1:7" s="14" customFormat="1" ht="15" customHeight="1" x14ac:dyDescent="0.25">
      <c r="A7" s="18" t="s">
        <v>4</v>
      </c>
      <c r="B7" s="19">
        <f>SUM(B3+B6)</f>
        <v>75642</v>
      </c>
      <c r="C7" s="16"/>
      <c r="D7" s="23"/>
    </row>
    <row r="8" spans="1:7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7" s="14" customFormat="1" ht="15" customHeight="1" x14ac:dyDescent="0.25">
      <c r="B9" s="31"/>
      <c r="C9" s="27"/>
      <c r="D9" s="17"/>
    </row>
    <row r="10" spans="1:7" s="14" customFormat="1" ht="15" customHeight="1" x14ac:dyDescent="0.25">
      <c r="B10" s="31"/>
      <c r="C10" s="27"/>
      <c r="D10" s="17"/>
    </row>
    <row r="11" spans="1:7" s="14" customFormat="1" ht="15" customHeight="1" x14ac:dyDescent="0.25">
      <c r="B11" s="31"/>
      <c r="C11" s="35"/>
      <c r="D11" s="34"/>
      <c r="E11" s="30"/>
      <c r="F11" s="30"/>
      <c r="G11" s="30"/>
    </row>
    <row r="12" spans="1:7" s="14" customFormat="1" ht="15" customHeight="1" x14ac:dyDescent="0.25">
      <c r="B12" s="31"/>
      <c r="C12" s="35"/>
      <c r="D12" s="34"/>
      <c r="E12" s="30"/>
      <c r="F12" s="30"/>
      <c r="G12" s="30"/>
    </row>
    <row r="13" spans="1:7" s="14" customFormat="1" ht="15" customHeight="1" x14ac:dyDescent="0.25">
      <c r="B13" s="31"/>
      <c r="C13" s="33"/>
      <c r="D13" s="34"/>
      <c r="E13" s="30"/>
      <c r="F13" s="30"/>
      <c r="G13" s="30"/>
    </row>
    <row r="14" spans="1:7" s="14" customFormat="1" ht="15" customHeight="1" x14ac:dyDescent="0.25">
      <c r="B14" s="31"/>
      <c r="C14" s="30"/>
      <c r="D14" s="30"/>
      <c r="E14" s="30"/>
      <c r="F14" s="30"/>
      <c r="G14" s="30"/>
    </row>
    <row r="15" spans="1:7" s="14" customFormat="1" ht="15" customHeight="1" x14ac:dyDescent="0.25">
      <c r="B15" s="31">
        <f>SUM(B9:B13)</f>
        <v>0</v>
      </c>
      <c r="C15" s="16"/>
      <c r="D15" s="23"/>
    </row>
    <row r="16" spans="1:7" s="14" customFormat="1" ht="15" customHeight="1" x14ac:dyDescent="0.25">
      <c r="A16" s="14" t="s">
        <v>2</v>
      </c>
      <c r="B16" s="31"/>
      <c r="C16" s="26" t="s">
        <v>730</v>
      </c>
      <c r="D16" s="28" t="s">
        <v>829</v>
      </c>
    </row>
    <row r="17" spans="1:6" s="14" customFormat="1" ht="15" customHeight="1" x14ac:dyDescent="0.25">
      <c r="A17" s="14" t="s">
        <v>834</v>
      </c>
      <c r="B17" s="31">
        <v>21485</v>
      </c>
      <c r="C17" s="27">
        <v>43798</v>
      </c>
      <c r="D17" s="23">
        <v>43801</v>
      </c>
    </row>
    <row r="18" spans="1:6" s="14" customFormat="1" ht="15" customHeight="1" x14ac:dyDescent="0.25">
      <c r="A18" s="14" t="s">
        <v>835</v>
      </c>
      <c r="B18" s="31">
        <v>24235</v>
      </c>
      <c r="C18" s="27">
        <v>43798</v>
      </c>
      <c r="D18" s="23">
        <v>43801</v>
      </c>
    </row>
    <row r="19" spans="1:6" s="14" customFormat="1" ht="15" customHeight="1" x14ac:dyDescent="0.25">
      <c r="A19" s="14" t="s">
        <v>836</v>
      </c>
      <c r="B19" s="31">
        <v>29922</v>
      </c>
      <c r="C19" s="27">
        <v>43767</v>
      </c>
      <c r="D19" s="23">
        <v>43815</v>
      </c>
    </row>
    <row r="20" spans="1:6" s="14" customFormat="1" ht="15" customHeight="1" x14ac:dyDescent="0.25">
      <c r="B20" s="31"/>
      <c r="C20" s="27"/>
      <c r="D20" s="23"/>
    </row>
    <row r="21" spans="1:6" s="14" customFormat="1" ht="15" customHeight="1" x14ac:dyDescent="0.25">
      <c r="B21" s="31"/>
      <c r="C21" s="27"/>
      <c r="D21" s="23"/>
    </row>
    <row r="22" spans="1:6" s="14" customFormat="1" ht="15" customHeight="1" x14ac:dyDescent="0.25">
      <c r="B22" s="31"/>
      <c r="C22" s="27"/>
      <c r="D22" s="23"/>
    </row>
    <row r="23" spans="1:6" s="14" customFormat="1" ht="15" customHeight="1" x14ac:dyDescent="0.25">
      <c r="B23" s="31"/>
      <c r="C23" s="27"/>
      <c r="D23" s="23"/>
    </row>
    <row r="24" spans="1:6" s="14" customFormat="1" ht="15" customHeight="1" x14ac:dyDescent="0.25">
      <c r="B24" s="31"/>
      <c r="C24" s="27"/>
      <c r="D24" s="23"/>
    </row>
    <row r="25" spans="1:6" s="14" customFormat="1" ht="15" customHeight="1" x14ac:dyDescent="0.25">
      <c r="B25" s="31"/>
      <c r="C25" s="27"/>
      <c r="D25" s="23"/>
    </row>
    <row r="26" spans="1:6" s="14" customFormat="1" ht="15" customHeight="1" x14ac:dyDescent="0.25">
      <c r="B26" s="31"/>
      <c r="C26" s="27"/>
      <c r="D26" s="23"/>
    </row>
    <row r="27" spans="1:6" s="14" customFormat="1" ht="15" customHeight="1" x14ac:dyDescent="0.25">
      <c r="B27" s="31"/>
      <c r="C27" s="27"/>
      <c r="D27" s="23"/>
    </row>
    <row r="28" spans="1:6" s="14" customFormat="1" ht="15" customHeight="1" x14ac:dyDescent="0.25">
      <c r="B28" s="31"/>
      <c r="C28" s="27"/>
      <c r="D28" s="23"/>
    </row>
    <row r="29" spans="1:6" s="14" customFormat="1" ht="15" customHeight="1" x14ac:dyDescent="0.25">
      <c r="B29" s="31"/>
      <c r="C29" s="27"/>
      <c r="D29" s="23"/>
    </row>
    <row r="30" spans="1:6" s="14" customFormat="1" ht="15" customHeight="1" x14ac:dyDescent="0.25">
      <c r="B30" s="31"/>
      <c r="C30" s="27"/>
      <c r="D30" s="23"/>
    </row>
    <row r="31" spans="1:6" s="14" customFormat="1" ht="15" customHeight="1" x14ac:dyDescent="0.25">
      <c r="B31" s="32"/>
      <c r="C31" s="36"/>
      <c r="D31" s="21"/>
      <c r="E31" s="21"/>
      <c r="F31" s="21"/>
    </row>
    <row r="32" spans="1:6" s="14" customFormat="1" ht="15" customHeight="1" x14ac:dyDescent="0.25">
      <c r="B32" s="31">
        <f>SUM(B17:B31)</f>
        <v>75642</v>
      </c>
      <c r="C32" s="16"/>
      <c r="D32" s="21"/>
      <c r="E32" s="21"/>
      <c r="F32" s="21"/>
    </row>
    <row r="33" spans="1:9" s="16" customFormat="1" ht="15" customHeight="1" x14ac:dyDescent="0.25">
      <c r="A33" s="18" t="s">
        <v>1</v>
      </c>
      <c r="B33" s="19">
        <f>B32+B15</f>
        <v>75642</v>
      </c>
      <c r="D33" s="23"/>
      <c r="E33" s="21"/>
      <c r="F33" s="21"/>
      <c r="G33" s="21"/>
    </row>
    <row r="34" spans="1:9" s="16" customFormat="1" ht="15" customHeight="1" x14ac:dyDescent="0.25">
      <c r="A34" s="14" t="s">
        <v>0</v>
      </c>
      <c r="B34" s="15">
        <f>B33-B7</f>
        <v>0</v>
      </c>
      <c r="D34" s="23"/>
      <c r="E34" s="14"/>
      <c r="F34" s="14"/>
      <c r="G34" s="14"/>
      <c r="H34" s="14"/>
      <c r="I34" s="14"/>
    </row>
    <row r="35" spans="1:9" s="16" customFormat="1" ht="15" customHeight="1" x14ac:dyDescent="0.3">
      <c r="A35" s="1"/>
      <c r="B35" s="3"/>
      <c r="C35" s="2"/>
      <c r="D35" s="23"/>
      <c r="E35" s="14"/>
      <c r="F35" s="14"/>
      <c r="G35" s="14"/>
      <c r="H35" s="14"/>
      <c r="I35" s="14"/>
    </row>
    <row r="36" spans="1:9" s="16" customFormat="1" ht="15" customHeight="1" x14ac:dyDescent="0.3">
      <c r="A36" s="1"/>
      <c r="B36" s="3"/>
      <c r="C36" s="2"/>
      <c r="D36" s="29"/>
      <c r="E36" s="14"/>
      <c r="F36" s="14"/>
      <c r="G36" s="14"/>
      <c r="H36" s="14"/>
      <c r="I36" s="14"/>
    </row>
    <row r="37" spans="1:9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9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9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9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  <row r="41" spans="1:9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  <row r="42" spans="1:9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</sheetData>
  <pageMargins left="0.7" right="0.7" top="0.75" bottom="0.75" header="0.3" footer="0.3"/>
  <pageSetup fitToHeight="0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I54"/>
  <sheetViews>
    <sheetView topLeftCell="A7" workbookViewId="0">
      <selection activeCell="D32" sqref="D32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7" s="14" customFormat="1" ht="15" customHeight="1" x14ac:dyDescent="0.25">
      <c r="A1" s="14" t="s">
        <v>304</v>
      </c>
      <c r="B1" s="15"/>
      <c r="C1" s="16"/>
      <c r="D1" s="23"/>
    </row>
    <row r="2" spans="1:7" s="14" customFormat="1" ht="15" customHeight="1" x14ac:dyDescent="0.25">
      <c r="A2" s="17">
        <v>43830</v>
      </c>
      <c r="B2" s="15"/>
      <c r="C2" s="16"/>
      <c r="D2" s="23"/>
    </row>
    <row r="3" spans="1:7" s="14" customFormat="1" ht="15" customHeight="1" x14ac:dyDescent="0.25">
      <c r="A3" s="14" t="s">
        <v>389</v>
      </c>
      <c r="B3" s="15">
        <v>4095838</v>
      </c>
      <c r="C3" s="16"/>
      <c r="D3" s="23"/>
    </row>
    <row r="4" spans="1:7" s="14" customFormat="1" ht="15" customHeight="1" x14ac:dyDescent="0.25">
      <c r="A4" s="14" t="s">
        <v>6</v>
      </c>
      <c r="B4" s="15"/>
      <c r="C4" s="16"/>
      <c r="D4" s="23"/>
    </row>
    <row r="5" spans="1:7" s="14" customFormat="1" ht="15" customHeight="1" x14ac:dyDescent="0.25">
      <c r="A5" s="14">
        <v>2100</v>
      </c>
      <c r="B5" s="15">
        <v>-3821341</v>
      </c>
      <c r="C5" s="16"/>
      <c r="D5" s="23"/>
    </row>
    <row r="6" spans="1:7" s="14" customFormat="1" ht="15" customHeight="1" x14ac:dyDescent="0.25">
      <c r="A6" s="14" t="s">
        <v>5</v>
      </c>
      <c r="B6" s="15">
        <f>B5</f>
        <v>-3821341</v>
      </c>
      <c r="C6" s="16"/>
      <c r="D6" s="23"/>
    </row>
    <row r="7" spans="1:7" s="14" customFormat="1" ht="15" customHeight="1" x14ac:dyDescent="0.25">
      <c r="A7" s="18" t="s">
        <v>4</v>
      </c>
      <c r="B7" s="19">
        <f>SUM(B3+B6)</f>
        <v>274497</v>
      </c>
      <c r="C7" s="16"/>
      <c r="D7" s="23"/>
    </row>
    <row r="8" spans="1:7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7" s="14" customFormat="1" ht="15" customHeight="1" x14ac:dyDescent="0.25">
      <c r="A9" s="14" t="s">
        <v>837</v>
      </c>
      <c r="B9" s="31">
        <v>-23963</v>
      </c>
      <c r="C9" s="27">
        <v>43830</v>
      </c>
      <c r="D9" s="17">
        <v>43837</v>
      </c>
    </row>
    <row r="10" spans="1:7" s="14" customFormat="1" ht="15" customHeight="1" x14ac:dyDescent="0.25">
      <c r="A10" s="14" t="s">
        <v>838</v>
      </c>
      <c r="B10" s="31">
        <v>-25666</v>
      </c>
      <c r="C10" s="27">
        <v>43830</v>
      </c>
      <c r="D10" s="17">
        <v>43837</v>
      </c>
    </row>
    <row r="11" spans="1:7" s="14" customFormat="1" ht="15" customHeight="1" x14ac:dyDescent="0.25">
      <c r="A11" s="14" t="s">
        <v>839</v>
      </c>
      <c r="B11" s="31">
        <v>-27183</v>
      </c>
      <c r="C11" s="27">
        <v>43830</v>
      </c>
      <c r="D11" s="34">
        <v>43837</v>
      </c>
      <c r="E11" s="30"/>
      <c r="F11" s="30"/>
      <c r="G11" s="30"/>
    </row>
    <row r="12" spans="1:7" s="14" customFormat="1" ht="15" customHeight="1" x14ac:dyDescent="0.25">
      <c r="A12" s="14" t="s">
        <v>840</v>
      </c>
      <c r="B12" s="31">
        <v>-28963</v>
      </c>
      <c r="C12" s="27">
        <v>43830</v>
      </c>
      <c r="D12" s="34">
        <v>43837</v>
      </c>
      <c r="E12" s="30"/>
      <c r="F12" s="30"/>
      <c r="G12" s="30"/>
    </row>
    <row r="13" spans="1:7" s="14" customFormat="1" ht="15" customHeight="1" x14ac:dyDescent="0.25">
      <c r="A13" s="14" t="s">
        <v>841</v>
      </c>
      <c r="B13" s="31">
        <v>-29136</v>
      </c>
      <c r="C13" s="27">
        <v>43830</v>
      </c>
      <c r="D13" s="34">
        <v>43837</v>
      </c>
      <c r="E13" s="30"/>
      <c r="F13" s="30"/>
      <c r="G13" s="30"/>
    </row>
    <row r="14" spans="1:7" s="14" customFormat="1" ht="15" customHeight="1" x14ac:dyDescent="0.25">
      <c r="A14" s="14" t="s">
        <v>842</v>
      </c>
      <c r="B14" s="31">
        <v>-29222</v>
      </c>
      <c r="C14" s="27">
        <v>43830</v>
      </c>
      <c r="D14" s="34">
        <v>43837</v>
      </c>
      <c r="E14" s="30"/>
      <c r="F14" s="30"/>
      <c r="G14" s="30"/>
    </row>
    <row r="15" spans="1:7" s="14" customFormat="1" ht="15" customHeight="1" x14ac:dyDescent="0.25">
      <c r="A15" s="14" t="s">
        <v>843</v>
      </c>
      <c r="B15" s="31">
        <v>-30259</v>
      </c>
      <c r="C15" s="27">
        <v>43830</v>
      </c>
      <c r="D15" s="34">
        <v>43837</v>
      </c>
      <c r="E15" s="30"/>
      <c r="F15" s="30"/>
      <c r="G15" s="30"/>
    </row>
    <row r="16" spans="1:7" s="14" customFormat="1" ht="15" customHeight="1" x14ac:dyDescent="0.25">
      <c r="A16" s="14" t="s">
        <v>844</v>
      </c>
      <c r="B16" s="31">
        <v>-34714</v>
      </c>
      <c r="C16" s="27">
        <v>43830</v>
      </c>
      <c r="D16" s="34">
        <v>43837</v>
      </c>
      <c r="E16" s="30"/>
      <c r="F16" s="30"/>
      <c r="G16" s="30"/>
    </row>
    <row r="17" spans="1:7" s="14" customFormat="1" ht="15" customHeight="1" x14ac:dyDescent="0.25">
      <c r="B17" s="31"/>
      <c r="C17" s="33"/>
      <c r="D17" s="34"/>
      <c r="E17" s="30"/>
      <c r="F17" s="30"/>
      <c r="G17" s="30"/>
    </row>
    <row r="18" spans="1:7" s="14" customFormat="1" ht="15" customHeight="1" x14ac:dyDescent="0.25">
      <c r="B18" s="31"/>
      <c r="C18" s="33"/>
      <c r="D18" s="34"/>
      <c r="E18" s="30"/>
      <c r="F18" s="30"/>
      <c r="G18" s="30"/>
    </row>
    <row r="19" spans="1:7" s="14" customFormat="1" ht="15" customHeight="1" x14ac:dyDescent="0.25">
      <c r="B19" s="31"/>
      <c r="C19" s="33"/>
      <c r="D19" s="34"/>
      <c r="E19" s="30"/>
      <c r="F19" s="30"/>
      <c r="G19" s="30"/>
    </row>
    <row r="20" spans="1:7" s="14" customFormat="1" ht="15" customHeight="1" x14ac:dyDescent="0.25">
      <c r="B20" s="31"/>
      <c r="C20" s="30"/>
      <c r="D20" s="30"/>
      <c r="E20" s="30"/>
      <c r="F20" s="30"/>
      <c r="G20" s="30"/>
    </row>
    <row r="21" spans="1:7" s="14" customFormat="1" ht="15" customHeight="1" x14ac:dyDescent="0.25">
      <c r="B21" s="31">
        <f>SUM(B9:B19)</f>
        <v>-229106</v>
      </c>
      <c r="C21" s="16"/>
      <c r="D21" s="23"/>
    </row>
    <row r="22" spans="1:7" s="14" customFormat="1" ht="15" customHeight="1" x14ac:dyDescent="0.25">
      <c r="A22" s="14" t="s">
        <v>2</v>
      </c>
      <c r="B22" s="31"/>
      <c r="C22" s="26" t="s">
        <v>730</v>
      </c>
      <c r="D22" s="28" t="s">
        <v>829</v>
      </c>
    </row>
    <row r="23" spans="1:7" s="14" customFormat="1" ht="15" customHeight="1" x14ac:dyDescent="0.25">
      <c r="A23" s="14" t="s">
        <v>845</v>
      </c>
      <c r="B23" s="31">
        <v>22320</v>
      </c>
      <c r="C23" s="27">
        <v>43830</v>
      </c>
      <c r="D23" s="23">
        <v>43833</v>
      </c>
    </row>
    <row r="24" spans="1:7" s="14" customFormat="1" ht="15" customHeight="1" x14ac:dyDescent="0.25">
      <c r="A24" s="14" t="s">
        <v>846</v>
      </c>
      <c r="B24" s="31">
        <v>23704</v>
      </c>
      <c r="C24" s="27">
        <v>43823</v>
      </c>
      <c r="D24" s="23">
        <v>43832</v>
      </c>
    </row>
    <row r="25" spans="1:7" s="14" customFormat="1" ht="15" customHeight="1" x14ac:dyDescent="0.25">
      <c r="A25" s="14" t="s">
        <v>847</v>
      </c>
      <c r="B25" s="31">
        <v>23843</v>
      </c>
      <c r="C25" s="27">
        <v>43823</v>
      </c>
      <c r="D25" s="23">
        <v>43832</v>
      </c>
    </row>
    <row r="26" spans="1:7" s="14" customFormat="1" ht="15" customHeight="1" x14ac:dyDescent="0.25">
      <c r="A26" s="14" t="s">
        <v>848</v>
      </c>
      <c r="B26" s="31">
        <v>24438</v>
      </c>
      <c r="C26" s="27">
        <v>43830</v>
      </c>
      <c r="D26" s="23">
        <v>43833</v>
      </c>
    </row>
    <row r="27" spans="1:7" s="14" customFormat="1" ht="15" customHeight="1" x14ac:dyDescent="0.25">
      <c r="A27" s="14" t="s">
        <v>863</v>
      </c>
      <c r="B27" s="31">
        <v>24527</v>
      </c>
      <c r="C27" s="27">
        <v>43823</v>
      </c>
      <c r="D27" s="23">
        <v>43846</v>
      </c>
    </row>
    <row r="28" spans="1:7" s="14" customFormat="1" ht="15" customHeight="1" x14ac:dyDescent="0.25">
      <c r="A28" s="14" t="s">
        <v>849</v>
      </c>
      <c r="B28" s="31">
        <v>24527</v>
      </c>
      <c r="C28" s="27">
        <v>43826</v>
      </c>
      <c r="D28" s="23">
        <v>43832</v>
      </c>
    </row>
    <row r="29" spans="1:7" s="14" customFormat="1" ht="15" customHeight="1" x14ac:dyDescent="0.25">
      <c r="A29" s="14" t="s">
        <v>850</v>
      </c>
      <c r="B29" s="31">
        <v>24788</v>
      </c>
      <c r="C29" s="27">
        <v>43830</v>
      </c>
      <c r="D29" s="23">
        <v>43833</v>
      </c>
    </row>
    <row r="30" spans="1:7" s="14" customFormat="1" ht="15" customHeight="1" x14ac:dyDescent="0.25">
      <c r="A30" s="14" t="s">
        <v>851</v>
      </c>
      <c r="B30" s="31">
        <v>25666</v>
      </c>
      <c r="C30" s="27">
        <v>43830</v>
      </c>
      <c r="D30" s="23">
        <v>43832</v>
      </c>
    </row>
    <row r="31" spans="1:7" s="14" customFormat="1" ht="15" customHeight="1" x14ac:dyDescent="0.25">
      <c r="A31" s="14" t="s">
        <v>852</v>
      </c>
      <c r="B31" s="31">
        <v>25844</v>
      </c>
      <c r="C31" s="27">
        <v>43830</v>
      </c>
      <c r="D31" s="23">
        <v>43836</v>
      </c>
    </row>
    <row r="32" spans="1:7" s="14" customFormat="1" ht="15" customHeight="1" x14ac:dyDescent="0.25">
      <c r="A32" s="14" t="s">
        <v>853</v>
      </c>
      <c r="B32" s="31">
        <v>26297</v>
      </c>
      <c r="C32" s="27">
        <v>43829</v>
      </c>
      <c r="D32" s="23">
        <v>43836</v>
      </c>
    </row>
    <row r="33" spans="1:9" s="14" customFormat="1" ht="15" customHeight="1" x14ac:dyDescent="0.25">
      <c r="A33" s="14" t="s">
        <v>854</v>
      </c>
      <c r="B33" s="31">
        <v>26297</v>
      </c>
      <c r="C33" s="27">
        <v>43823</v>
      </c>
      <c r="D33" s="23">
        <v>43832</v>
      </c>
    </row>
    <row r="34" spans="1:9" s="14" customFormat="1" ht="15" customHeight="1" x14ac:dyDescent="0.25">
      <c r="A34" s="14" t="s">
        <v>855</v>
      </c>
      <c r="B34" s="31">
        <v>27005</v>
      </c>
      <c r="C34" s="27">
        <v>43823</v>
      </c>
      <c r="D34" s="23">
        <v>43832</v>
      </c>
    </row>
    <row r="35" spans="1:9" s="14" customFormat="1" ht="15" customHeight="1" x14ac:dyDescent="0.25">
      <c r="A35" s="14" t="s">
        <v>856</v>
      </c>
      <c r="B35" s="31">
        <v>27005</v>
      </c>
      <c r="C35" s="27">
        <v>43830</v>
      </c>
      <c r="D35" s="23">
        <v>43836</v>
      </c>
    </row>
    <row r="36" spans="1:9" s="14" customFormat="1" ht="15" customHeight="1" x14ac:dyDescent="0.25">
      <c r="A36" s="14" t="s">
        <v>857</v>
      </c>
      <c r="B36" s="31">
        <v>27272</v>
      </c>
      <c r="C36" s="27">
        <v>43823</v>
      </c>
      <c r="D36" s="23">
        <v>43832</v>
      </c>
    </row>
    <row r="37" spans="1:9" s="14" customFormat="1" ht="15" customHeight="1" x14ac:dyDescent="0.25">
      <c r="A37" s="14" t="s">
        <v>858</v>
      </c>
      <c r="B37" s="31">
        <v>28407</v>
      </c>
      <c r="C37" s="27">
        <v>43830</v>
      </c>
      <c r="D37" s="23">
        <v>43836</v>
      </c>
    </row>
    <row r="38" spans="1:9" s="14" customFormat="1" ht="15" customHeight="1" x14ac:dyDescent="0.25">
      <c r="A38" s="14" t="s">
        <v>859</v>
      </c>
      <c r="B38" s="31">
        <v>28496</v>
      </c>
      <c r="C38" s="27">
        <v>43830</v>
      </c>
      <c r="D38" s="23">
        <v>43836</v>
      </c>
    </row>
    <row r="39" spans="1:9" s="14" customFormat="1" ht="15" customHeight="1" x14ac:dyDescent="0.25">
      <c r="A39" s="14" t="s">
        <v>860</v>
      </c>
      <c r="B39" s="31">
        <v>28699</v>
      </c>
      <c r="C39" s="27">
        <v>43830</v>
      </c>
      <c r="D39" s="23">
        <v>43833</v>
      </c>
    </row>
    <row r="40" spans="1:9" s="14" customFormat="1" ht="15" customHeight="1" x14ac:dyDescent="0.25">
      <c r="A40" s="14" t="s">
        <v>861</v>
      </c>
      <c r="B40" s="31">
        <v>29476</v>
      </c>
      <c r="C40" s="27">
        <v>43823</v>
      </c>
      <c r="D40" s="23">
        <v>43832</v>
      </c>
    </row>
    <row r="41" spans="1:9" s="14" customFormat="1" ht="15" customHeight="1" x14ac:dyDescent="0.25">
      <c r="A41" s="14" t="s">
        <v>862</v>
      </c>
      <c r="B41" s="31">
        <v>34992</v>
      </c>
      <c r="C41" s="27">
        <v>43825</v>
      </c>
      <c r="D41" s="23">
        <v>43832</v>
      </c>
    </row>
    <row r="42" spans="1:9" s="14" customFormat="1" ht="15" customHeight="1" x14ac:dyDescent="0.25">
      <c r="B42" s="31"/>
      <c r="C42" s="27"/>
      <c r="D42" s="23"/>
    </row>
    <row r="43" spans="1:9" s="14" customFormat="1" ht="15" customHeight="1" x14ac:dyDescent="0.25">
      <c r="B43" s="32"/>
      <c r="C43" s="36"/>
      <c r="D43" s="21"/>
      <c r="E43" s="21"/>
      <c r="F43" s="21"/>
    </row>
    <row r="44" spans="1:9" s="14" customFormat="1" ht="15" customHeight="1" x14ac:dyDescent="0.25">
      <c r="B44" s="31">
        <f>SUM(B23:B43)</f>
        <v>503603</v>
      </c>
      <c r="C44" s="16"/>
      <c r="D44" s="21"/>
      <c r="E44" s="21"/>
      <c r="F44" s="21"/>
    </row>
    <row r="45" spans="1:9" s="16" customFormat="1" ht="15" customHeight="1" x14ac:dyDescent="0.25">
      <c r="A45" s="18" t="s">
        <v>1</v>
      </c>
      <c r="B45" s="19">
        <f>B44+B21</f>
        <v>274497</v>
      </c>
      <c r="D45" s="23"/>
      <c r="E45" s="21"/>
      <c r="F45" s="21"/>
      <c r="G45" s="21"/>
    </row>
    <row r="46" spans="1:9" s="16" customFormat="1" ht="15" customHeight="1" x14ac:dyDescent="0.25">
      <c r="A46" s="14" t="s">
        <v>0</v>
      </c>
      <c r="B46" s="15">
        <f>B45-B7</f>
        <v>0</v>
      </c>
      <c r="D46" s="23"/>
      <c r="E46" s="14"/>
      <c r="F46" s="14"/>
      <c r="G46" s="14"/>
      <c r="H46" s="14"/>
      <c r="I46" s="14"/>
    </row>
    <row r="47" spans="1:9" s="16" customFormat="1" ht="15" customHeight="1" x14ac:dyDescent="0.3">
      <c r="A47" s="1"/>
      <c r="B47" s="3"/>
      <c r="C47" s="2"/>
      <c r="D47" s="23"/>
      <c r="E47" s="14"/>
      <c r="F47" s="14"/>
      <c r="G47" s="14"/>
      <c r="H47" s="14"/>
      <c r="I47" s="14"/>
    </row>
    <row r="48" spans="1:9" s="16" customFormat="1" ht="15" customHeight="1" x14ac:dyDescent="0.3">
      <c r="A48" s="1"/>
      <c r="B48" s="3"/>
      <c r="C48" s="2"/>
      <c r="D48" s="29"/>
      <c r="E48" s="14"/>
      <c r="F48" s="14"/>
      <c r="G48" s="14"/>
      <c r="H48" s="14"/>
      <c r="I48" s="14"/>
    </row>
    <row r="49" spans="1:9" s="2" customFormat="1" ht="20.100000000000001" customHeight="1" x14ac:dyDescent="0.3">
      <c r="A49"/>
      <c r="B49" s="10"/>
      <c r="D49" s="29"/>
      <c r="E49" s="1"/>
      <c r="F49" s="1"/>
      <c r="G49" s="1"/>
      <c r="H49" s="1"/>
      <c r="I49" s="1"/>
    </row>
    <row r="50" spans="1:9" s="2" customFormat="1" ht="20.100000000000001" customHeight="1" x14ac:dyDescent="0.3">
      <c r="A50"/>
      <c r="B50" s="10"/>
      <c r="D50" s="29"/>
      <c r="E50" s="1"/>
      <c r="F50" s="1"/>
      <c r="G50" s="1"/>
      <c r="H50" s="1"/>
      <c r="I50" s="1"/>
    </row>
    <row r="51" spans="1:9" s="2" customFormat="1" ht="20.100000000000001" customHeight="1" x14ac:dyDescent="0.3">
      <c r="A51"/>
      <c r="B51" s="10"/>
      <c r="D51" s="29"/>
      <c r="E51" s="1"/>
      <c r="F51" s="1"/>
      <c r="G51" s="1"/>
      <c r="H51" s="1"/>
      <c r="I51" s="1"/>
    </row>
    <row r="52" spans="1:9" s="2" customFormat="1" ht="20.100000000000001" customHeight="1" x14ac:dyDescent="0.3">
      <c r="A52"/>
      <c r="B52" s="10"/>
      <c r="D52" s="29"/>
      <c r="E52" s="1"/>
      <c r="F52" s="1"/>
      <c r="G52" s="1"/>
      <c r="H52" s="1"/>
      <c r="I52" s="1"/>
    </row>
    <row r="53" spans="1:9" s="2" customFormat="1" ht="20.100000000000001" customHeight="1" x14ac:dyDescent="0.3">
      <c r="A53"/>
      <c r="B53" s="10"/>
      <c r="D53" s="29"/>
      <c r="E53" s="1"/>
      <c r="F53" s="1"/>
      <c r="G53" s="1"/>
      <c r="H53" s="1"/>
      <c r="I53" s="1"/>
    </row>
    <row r="54" spans="1:9" s="2" customFormat="1" ht="20.100000000000001" customHeight="1" x14ac:dyDescent="0.3">
      <c r="A54"/>
      <c r="B54" s="10"/>
      <c r="D54" s="29"/>
      <c r="E54" s="1"/>
      <c r="F54" s="1"/>
      <c r="G54" s="1"/>
      <c r="H54" s="1"/>
      <c r="I54" s="1"/>
    </row>
  </sheetData>
  <pageMargins left="0.7" right="0.7" top="0.75" bottom="0.75" header="0.3" footer="0.3"/>
  <pageSetup fitToHeight="0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I34"/>
  <sheetViews>
    <sheetView workbookViewId="0">
      <selection activeCell="D22" sqref="D22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7" s="14" customFormat="1" ht="15" customHeight="1" x14ac:dyDescent="0.25">
      <c r="A1" s="14" t="s">
        <v>304</v>
      </c>
      <c r="B1" s="15"/>
      <c r="C1" s="16"/>
      <c r="D1" s="23"/>
    </row>
    <row r="2" spans="1:7" s="14" customFormat="1" ht="15" customHeight="1" x14ac:dyDescent="0.25">
      <c r="A2" s="17">
        <v>43861</v>
      </c>
      <c r="B2" s="15"/>
      <c r="C2" s="16"/>
      <c r="D2" s="23"/>
    </row>
    <row r="3" spans="1:7" s="14" customFormat="1" ht="15" customHeight="1" x14ac:dyDescent="0.25">
      <c r="A3" s="14" t="s">
        <v>389</v>
      </c>
      <c r="B3" s="15">
        <v>5731904</v>
      </c>
      <c r="C3" s="16"/>
      <c r="D3" s="23"/>
    </row>
    <row r="4" spans="1:7" s="14" customFormat="1" ht="15" customHeight="1" x14ac:dyDescent="0.25">
      <c r="A4" s="14" t="s">
        <v>6</v>
      </c>
      <c r="B4" s="15"/>
      <c r="C4" s="16"/>
      <c r="D4" s="23"/>
    </row>
    <row r="5" spans="1:7" s="14" customFormat="1" ht="15" customHeight="1" x14ac:dyDescent="0.25">
      <c r="A5" s="14">
        <v>2100</v>
      </c>
      <c r="B5" s="15">
        <v>-5548856</v>
      </c>
      <c r="C5" s="16"/>
      <c r="D5" s="23"/>
    </row>
    <row r="6" spans="1:7" s="14" customFormat="1" ht="15" customHeight="1" x14ac:dyDescent="0.25">
      <c r="A6" s="14" t="s">
        <v>5</v>
      </c>
      <c r="B6" s="15">
        <f>B5</f>
        <v>-5548856</v>
      </c>
      <c r="C6" s="16"/>
      <c r="D6" s="23"/>
    </row>
    <row r="7" spans="1:7" s="14" customFormat="1" ht="15" customHeight="1" x14ac:dyDescent="0.25">
      <c r="A7" s="18" t="s">
        <v>4</v>
      </c>
      <c r="B7" s="19">
        <f>SUM(B3+B6)</f>
        <v>183048</v>
      </c>
      <c r="C7" s="16"/>
      <c r="D7" s="23"/>
    </row>
    <row r="8" spans="1:7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7" s="14" customFormat="1" ht="15" customHeight="1" x14ac:dyDescent="0.25">
      <c r="B9" s="31"/>
      <c r="C9" s="27"/>
      <c r="D9" s="17"/>
    </row>
    <row r="10" spans="1:7" s="14" customFormat="1" ht="15" customHeight="1" x14ac:dyDescent="0.25">
      <c r="B10" s="31"/>
      <c r="C10" s="27"/>
      <c r="D10" s="17"/>
    </row>
    <row r="11" spans="1:7" s="14" customFormat="1" ht="15" customHeight="1" x14ac:dyDescent="0.25">
      <c r="B11" s="31"/>
      <c r="C11" s="27"/>
      <c r="D11" s="34"/>
      <c r="E11" s="30"/>
      <c r="F11" s="30"/>
      <c r="G11" s="30"/>
    </row>
    <row r="12" spans="1:7" s="14" customFormat="1" ht="15" customHeight="1" x14ac:dyDescent="0.25">
      <c r="B12" s="31"/>
      <c r="C12" s="27"/>
      <c r="D12" s="34"/>
      <c r="E12" s="30"/>
      <c r="F12" s="30"/>
      <c r="G12" s="30"/>
    </row>
    <row r="13" spans="1:7" s="14" customFormat="1" ht="15" customHeight="1" x14ac:dyDescent="0.25">
      <c r="B13" s="31"/>
      <c r="C13" s="27"/>
      <c r="D13" s="34"/>
      <c r="E13" s="30"/>
      <c r="F13" s="30"/>
      <c r="G13" s="30"/>
    </row>
    <row r="14" spans="1:7" s="14" customFormat="1" ht="15" customHeight="1" x14ac:dyDescent="0.25">
      <c r="B14" s="31">
        <f>SUM(B9:B13)</f>
        <v>0</v>
      </c>
      <c r="C14" s="16"/>
      <c r="D14" s="23"/>
    </row>
    <row r="15" spans="1:7" s="14" customFormat="1" ht="15" customHeight="1" x14ac:dyDescent="0.25">
      <c r="A15" s="14" t="s">
        <v>2</v>
      </c>
      <c r="B15" s="31"/>
      <c r="C15" s="26" t="s">
        <v>730</v>
      </c>
      <c r="D15" s="28" t="s">
        <v>829</v>
      </c>
    </row>
    <row r="16" spans="1:7" s="14" customFormat="1" ht="15" customHeight="1" x14ac:dyDescent="0.25">
      <c r="A16" s="14" t="s">
        <v>864</v>
      </c>
      <c r="B16" s="31">
        <v>21095</v>
      </c>
      <c r="C16" s="27">
        <v>43860</v>
      </c>
      <c r="D16" s="23">
        <v>43864</v>
      </c>
    </row>
    <row r="17" spans="1:9" s="14" customFormat="1" ht="15" customHeight="1" x14ac:dyDescent="0.25">
      <c r="A17" s="14" t="s">
        <v>865</v>
      </c>
      <c r="B17" s="31">
        <v>21095</v>
      </c>
      <c r="C17" s="27">
        <v>43860</v>
      </c>
      <c r="D17" s="23">
        <v>43864</v>
      </c>
    </row>
    <row r="18" spans="1:9" s="14" customFormat="1" ht="15" customHeight="1" x14ac:dyDescent="0.25">
      <c r="A18" s="14" t="s">
        <v>866</v>
      </c>
      <c r="B18" s="31">
        <v>27005</v>
      </c>
      <c r="C18" s="27">
        <v>43860</v>
      </c>
      <c r="D18" s="23">
        <v>43864</v>
      </c>
    </row>
    <row r="19" spans="1:9" s="14" customFormat="1" ht="15" customHeight="1" x14ac:dyDescent="0.25">
      <c r="A19" s="14" t="s">
        <v>867</v>
      </c>
      <c r="B19" s="31">
        <v>36798</v>
      </c>
      <c r="C19" s="27">
        <v>43860</v>
      </c>
      <c r="D19" s="23">
        <v>43864</v>
      </c>
    </row>
    <row r="20" spans="1:9" s="14" customFormat="1" ht="15" customHeight="1" x14ac:dyDescent="0.25">
      <c r="A20" s="14" t="s">
        <v>868</v>
      </c>
      <c r="B20" s="31">
        <v>36798</v>
      </c>
      <c r="C20" s="27">
        <v>43860</v>
      </c>
      <c r="D20" s="23">
        <v>43866</v>
      </c>
    </row>
    <row r="21" spans="1:9" s="14" customFormat="1" ht="15" customHeight="1" x14ac:dyDescent="0.25">
      <c r="A21" s="14" t="s">
        <v>869</v>
      </c>
      <c r="B21" s="31">
        <v>40257</v>
      </c>
      <c r="C21" s="27">
        <v>43860</v>
      </c>
      <c r="D21" s="23">
        <v>43864</v>
      </c>
    </row>
    <row r="22" spans="1:9" s="14" customFormat="1" ht="15" customHeight="1" x14ac:dyDescent="0.25">
      <c r="B22" s="31"/>
      <c r="C22" s="27"/>
      <c r="D22" s="23"/>
    </row>
    <row r="23" spans="1:9" s="14" customFormat="1" ht="15" customHeight="1" x14ac:dyDescent="0.25">
      <c r="B23" s="31"/>
      <c r="C23" s="27"/>
      <c r="D23" s="23"/>
    </row>
    <row r="24" spans="1:9" s="14" customFormat="1" ht="15" customHeight="1" x14ac:dyDescent="0.25">
      <c r="B24" s="31">
        <f>SUM(B16:B23)</f>
        <v>183048</v>
      </c>
      <c r="C24" s="16"/>
      <c r="D24" s="21"/>
      <c r="E24" s="21"/>
      <c r="F24" s="21"/>
    </row>
    <row r="25" spans="1:9" s="16" customFormat="1" ht="15" customHeight="1" x14ac:dyDescent="0.25">
      <c r="A25" s="18" t="s">
        <v>1</v>
      </c>
      <c r="B25" s="19">
        <f>B24+B14</f>
        <v>183048</v>
      </c>
      <c r="D25" s="23"/>
      <c r="E25" s="21"/>
      <c r="F25" s="21"/>
      <c r="G25" s="21"/>
    </row>
    <row r="26" spans="1:9" s="16" customFormat="1" ht="15" customHeight="1" x14ac:dyDescent="0.25">
      <c r="A26" s="14" t="s">
        <v>0</v>
      </c>
      <c r="B26" s="15">
        <f>B25-B7</f>
        <v>0</v>
      </c>
      <c r="D26" s="23"/>
      <c r="E26" s="14"/>
      <c r="F26" s="14"/>
      <c r="G26" s="14"/>
      <c r="H26" s="14"/>
      <c r="I26" s="14"/>
    </row>
    <row r="27" spans="1:9" s="16" customFormat="1" ht="15" customHeight="1" x14ac:dyDescent="0.3">
      <c r="A27" s="1"/>
      <c r="B27" s="3"/>
      <c r="C27" s="2"/>
      <c r="D27" s="23"/>
      <c r="E27" s="14"/>
      <c r="F27" s="14"/>
      <c r="G27" s="14"/>
      <c r="H27" s="14"/>
      <c r="I27" s="14"/>
    </row>
    <row r="28" spans="1:9" s="16" customFormat="1" ht="15" customHeight="1" x14ac:dyDescent="0.3">
      <c r="A28" s="1"/>
      <c r="B28" s="3"/>
      <c r="C28" s="2"/>
      <c r="D28" s="29"/>
      <c r="E28" s="14"/>
      <c r="F28" s="14"/>
      <c r="G28" s="14"/>
      <c r="H28" s="14"/>
      <c r="I28" s="14"/>
    </row>
    <row r="29" spans="1:9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  <row r="30" spans="1:9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9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9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</sheetData>
  <pageMargins left="0.7" right="0.7" top="0.75" bottom="0.75" header="0.3" footer="0.3"/>
  <pageSetup fitToHeight="0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34"/>
  <sheetViews>
    <sheetView workbookViewId="0">
      <selection activeCell="C19" sqref="C19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7" s="14" customFormat="1" ht="15" customHeight="1" x14ac:dyDescent="0.25">
      <c r="A1" s="14" t="s">
        <v>304</v>
      </c>
      <c r="B1" s="15"/>
      <c r="C1" s="16"/>
      <c r="D1" s="23"/>
    </row>
    <row r="2" spans="1:7" s="14" customFormat="1" ht="15" customHeight="1" x14ac:dyDescent="0.25">
      <c r="A2" s="17">
        <v>43890</v>
      </c>
      <c r="B2" s="15"/>
      <c r="C2" s="16"/>
      <c r="D2" s="23"/>
    </row>
    <row r="3" spans="1:7" s="14" customFormat="1" ht="15" customHeight="1" x14ac:dyDescent="0.25">
      <c r="A3" s="14" t="s">
        <v>389</v>
      </c>
      <c r="B3" s="15">
        <v>5520956</v>
      </c>
      <c r="C3" s="16"/>
      <c r="D3" s="23"/>
    </row>
    <row r="4" spans="1:7" s="14" customFormat="1" ht="15" customHeight="1" x14ac:dyDescent="0.25">
      <c r="A4" s="14" t="s">
        <v>6</v>
      </c>
      <c r="B4" s="15"/>
      <c r="C4" s="16"/>
      <c r="D4" s="23"/>
    </row>
    <row r="5" spans="1:7" s="14" customFormat="1" ht="15" customHeight="1" x14ac:dyDescent="0.25">
      <c r="A5" s="14">
        <v>2100</v>
      </c>
      <c r="B5" s="15">
        <v>-5433083</v>
      </c>
      <c r="C5" s="16"/>
      <c r="D5" s="23"/>
    </row>
    <row r="6" spans="1:7" s="14" customFormat="1" ht="15" customHeight="1" x14ac:dyDescent="0.25">
      <c r="A6" s="14" t="s">
        <v>5</v>
      </c>
      <c r="B6" s="15">
        <f>B5</f>
        <v>-5433083</v>
      </c>
      <c r="C6" s="16"/>
      <c r="D6" s="23"/>
    </row>
    <row r="7" spans="1:7" s="14" customFormat="1" ht="15" customHeight="1" x14ac:dyDescent="0.25">
      <c r="A7" s="18" t="s">
        <v>4</v>
      </c>
      <c r="B7" s="19">
        <f>SUM(B3+B6)</f>
        <v>87873</v>
      </c>
      <c r="C7" s="16"/>
      <c r="D7" s="23"/>
    </row>
    <row r="8" spans="1:7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7" s="14" customFormat="1" ht="15" customHeight="1" x14ac:dyDescent="0.25">
      <c r="B9" s="31"/>
      <c r="C9" s="27"/>
      <c r="D9" s="17"/>
    </row>
    <row r="10" spans="1:7" s="14" customFormat="1" ht="15" customHeight="1" x14ac:dyDescent="0.25">
      <c r="B10" s="31"/>
      <c r="C10" s="27"/>
      <c r="D10" s="17"/>
    </row>
    <row r="11" spans="1:7" s="14" customFormat="1" ht="15" customHeight="1" x14ac:dyDescent="0.25">
      <c r="B11" s="31"/>
      <c r="C11" s="27"/>
      <c r="D11" s="34"/>
      <c r="E11" s="30"/>
      <c r="F11" s="30"/>
      <c r="G11" s="30"/>
    </row>
    <row r="12" spans="1:7" s="14" customFormat="1" ht="15" customHeight="1" x14ac:dyDescent="0.25">
      <c r="B12" s="31"/>
      <c r="C12" s="27"/>
      <c r="D12" s="34"/>
      <c r="E12" s="30"/>
      <c r="F12" s="30"/>
      <c r="G12" s="30"/>
    </row>
    <row r="13" spans="1:7" s="14" customFormat="1" ht="15" customHeight="1" x14ac:dyDescent="0.25">
      <c r="B13" s="31"/>
      <c r="C13" s="27"/>
      <c r="D13" s="34"/>
      <c r="E13" s="30"/>
      <c r="F13" s="30"/>
      <c r="G13" s="30"/>
    </row>
    <row r="14" spans="1:7" s="14" customFormat="1" ht="15" customHeight="1" x14ac:dyDescent="0.25">
      <c r="B14" s="31">
        <f>SUM(B9:B13)</f>
        <v>0</v>
      </c>
      <c r="C14" s="16"/>
      <c r="D14" s="23"/>
    </row>
    <row r="15" spans="1:7" s="14" customFormat="1" ht="15" customHeight="1" x14ac:dyDescent="0.25">
      <c r="A15" s="14" t="s">
        <v>2</v>
      </c>
      <c r="B15" s="31"/>
      <c r="C15" s="26" t="s">
        <v>730</v>
      </c>
      <c r="D15" s="28" t="s">
        <v>829</v>
      </c>
    </row>
    <row r="16" spans="1:7" s="14" customFormat="1" ht="15" customHeight="1" x14ac:dyDescent="0.25">
      <c r="A16" s="14" t="s">
        <v>870</v>
      </c>
      <c r="B16" s="31">
        <v>25819</v>
      </c>
      <c r="C16" s="27">
        <v>43888</v>
      </c>
      <c r="D16" s="23">
        <v>43892</v>
      </c>
    </row>
    <row r="17" spans="1:9" s="14" customFormat="1" ht="15" customHeight="1" x14ac:dyDescent="0.25">
      <c r="A17" s="14" t="s">
        <v>871</v>
      </c>
      <c r="B17" s="31">
        <v>27755</v>
      </c>
      <c r="C17" s="27">
        <v>43889</v>
      </c>
      <c r="D17" s="23">
        <v>43892</v>
      </c>
    </row>
    <row r="18" spans="1:9" s="14" customFormat="1" ht="15" customHeight="1" x14ac:dyDescent="0.25">
      <c r="A18" s="14" t="s">
        <v>872</v>
      </c>
      <c r="B18" s="31">
        <v>34299</v>
      </c>
      <c r="C18" s="27">
        <v>43889</v>
      </c>
      <c r="D18" s="23">
        <v>43892</v>
      </c>
    </row>
    <row r="19" spans="1:9" s="14" customFormat="1" ht="15" customHeight="1" x14ac:dyDescent="0.25">
      <c r="B19" s="31"/>
      <c r="C19" s="27"/>
      <c r="D19" s="23"/>
    </row>
    <row r="20" spans="1:9" s="14" customFormat="1" ht="15" customHeight="1" x14ac:dyDescent="0.25">
      <c r="B20" s="31"/>
      <c r="C20" s="27"/>
      <c r="D20" s="23"/>
    </row>
    <row r="21" spans="1:9" s="14" customFormat="1" ht="15" customHeight="1" x14ac:dyDescent="0.25">
      <c r="B21" s="31"/>
      <c r="C21" s="27"/>
      <c r="D21" s="23"/>
    </row>
    <row r="22" spans="1:9" s="14" customFormat="1" ht="15" customHeight="1" x14ac:dyDescent="0.25">
      <c r="B22" s="31"/>
      <c r="C22" s="27"/>
      <c r="D22" s="23"/>
    </row>
    <row r="23" spans="1:9" s="14" customFormat="1" ht="15" customHeight="1" x14ac:dyDescent="0.25">
      <c r="B23" s="31"/>
      <c r="C23" s="27"/>
      <c r="D23" s="23"/>
    </row>
    <row r="24" spans="1:9" s="14" customFormat="1" ht="15" customHeight="1" x14ac:dyDescent="0.25">
      <c r="B24" s="31">
        <f>SUM(B16:B23)</f>
        <v>87873</v>
      </c>
      <c r="C24" s="16"/>
      <c r="D24" s="21"/>
      <c r="E24" s="21"/>
      <c r="F24" s="21"/>
    </row>
    <row r="25" spans="1:9" s="16" customFormat="1" ht="15" customHeight="1" x14ac:dyDescent="0.25">
      <c r="A25" s="18" t="s">
        <v>1</v>
      </c>
      <c r="B25" s="19">
        <f>B24+B14</f>
        <v>87873</v>
      </c>
      <c r="D25" s="23"/>
      <c r="E25" s="21"/>
      <c r="F25" s="21"/>
      <c r="G25" s="21"/>
    </row>
    <row r="26" spans="1:9" s="16" customFormat="1" ht="15" customHeight="1" x14ac:dyDescent="0.25">
      <c r="A26" s="14" t="s">
        <v>0</v>
      </c>
      <c r="B26" s="15">
        <f>B25-B7</f>
        <v>0</v>
      </c>
      <c r="D26" s="23"/>
      <c r="E26" s="14"/>
      <c r="F26" s="14"/>
      <c r="G26" s="14"/>
      <c r="H26" s="14"/>
      <c r="I26" s="14"/>
    </row>
    <row r="27" spans="1:9" s="16" customFormat="1" ht="15" customHeight="1" x14ac:dyDescent="0.3">
      <c r="A27" s="1"/>
      <c r="B27" s="3"/>
      <c r="C27" s="2"/>
      <c r="D27" s="23"/>
      <c r="E27" s="14"/>
      <c r="F27" s="14"/>
      <c r="G27" s="14"/>
      <c r="H27" s="14"/>
      <c r="I27" s="14"/>
    </row>
    <row r="28" spans="1:9" s="16" customFormat="1" ht="15" customHeight="1" x14ac:dyDescent="0.3">
      <c r="A28" s="1"/>
      <c r="B28" s="3"/>
      <c r="C28" s="2"/>
      <c r="D28" s="29"/>
      <c r="E28" s="14"/>
      <c r="F28" s="14"/>
      <c r="G28" s="14"/>
      <c r="H28" s="14"/>
      <c r="I28" s="14"/>
    </row>
    <row r="29" spans="1:9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  <row r="30" spans="1:9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9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9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</sheetData>
  <pageMargins left="0.7" right="0.7" top="0.75" bottom="0.75" header="0.3" footer="0.3"/>
  <pageSetup fitToHeight="0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I71"/>
  <sheetViews>
    <sheetView topLeftCell="A4" workbookViewId="0">
      <selection activeCell="C14" sqref="C14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43921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8930793.1999999993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-7563983.2000000002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-7563983.2000000002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1366809.9999999991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873</v>
      </c>
      <c r="B9" s="31">
        <v>-21095</v>
      </c>
      <c r="C9" s="27" t="s">
        <v>921</v>
      </c>
      <c r="D9" s="17"/>
    </row>
    <row r="10" spans="1:4" s="14" customFormat="1" ht="15" customHeight="1" x14ac:dyDescent="0.25">
      <c r="B10" s="31"/>
      <c r="C10" s="27"/>
      <c r="D10" s="17"/>
    </row>
    <row r="11" spans="1:4" s="14" customFormat="1" ht="15" customHeight="1" x14ac:dyDescent="0.25">
      <c r="B11" s="31">
        <f>SUM(B9:B10)</f>
        <v>-21095</v>
      </c>
      <c r="C11" s="16"/>
      <c r="D11" s="23"/>
    </row>
    <row r="12" spans="1:4" s="14" customFormat="1" ht="15" customHeight="1" x14ac:dyDescent="0.25">
      <c r="A12" s="14" t="s">
        <v>2</v>
      </c>
      <c r="B12" s="31"/>
      <c r="C12" s="26" t="s">
        <v>730</v>
      </c>
      <c r="D12" s="28" t="s">
        <v>829</v>
      </c>
    </row>
    <row r="13" spans="1:4" s="14" customFormat="1" ht="15" customHeight="1" x14ac:dyDescent="0.25">
      <c r="A13" s="14" t="s">
        <v>884</v>
      </c>
      <c r="B13" s="31">
        <v>21150</v>
      </c>
      <c r="C13" s="27" t="s">
        <v>921</v>
      </c>
      <c r="D13" s="23"/>
    </row>
    <row r="14" spans="1:4" s="14" customFormat="1" ht="15" customHeight="1" x14ac:dyDescent="0.25">
      <c r="A14" s="14" t="s">
        <v>874</v>
      </c>
      <c r="B14" s="31">
        <v>21150</v>
      </c>
      <c r="C14" s="27">
        <v>43921</v>
      </c>
      <c r="D14" s="23" t="s">
        <v>920</v>
      </c>
    </row>
    <row r="15" spans="1:4" s="14" customFormat="1" ht="15" customHeight="1" x14ac:dyDescent="0.25">
      <c r="A15" s="14" t="s">
        <v>875</v>
      </c>
      <c r="B15" s="31">
        <v>21327</v>
      </c>
      <c r="C15" s="27">
        <v>43917</v>
      </c>
      <c r="D15" s="23" t="s">
        <v>920</v>
      </c>
    </row>
    <row r="16" spans="1:4" s="14" customFormat="1" ht="15" customHeight="1" x14ac:dyDescent="0.25">
      <c r="A16" s="14" t="s">
        <v>876</v>
      </c>
      <c r="B16" s="31">
        <v>22375</v>
      </c>
      <c r="C16" s="27">
        <v>43920</v>
      </c>
      <c r="D16" s="23" t="s">
        <v>920</v>
      </c>
    </row>
    <row r="17" spans="1:4" s="14" customFormat="1" ht="15" customHeight="1" x14ac:dyDescent="0.25">
      <c r="A17" s="14" t="s">
        <v>877</v>
      </c>
      <c r="B17" s="31">
        <v>22375</v>
      </c>
      <c r="C17" s="27">
        <v>43916</v>
      </c>
      <c r="D17" s="23" t="s">
        <v>920</v>
      </c>
    </row>
    <row r="18" spans="1:4" s="14" customFormat="1" ht="15" customHeight="1" x14ac:dyDescent="0.25">
      <c r="A18" s="14" t="s">
        <v>878</v>
      </c>
      <c r="B18" s="31">
        <v>23168</v>
      </c>
      <c r="C18" s="27">
        <v>43921</v>
      </c>
      <c r="D18" s="23" t="s">
        <v>920</v>
      </c>
    </row>
    <row r="19" spans="1:4" s="14" customFormat="1" ht="15" customHeight="1" x14ac:dyDescent="0.25">
      <c r="A19" s="14" t="s">
        <v>879</v>
      </c>
      <c r="B19" s="31">
        <v>24316</v>
      </c>
      <c r="C19" s="27">
        <v>43916</v>
      </c>
      <c r="D19" s="23" t="s">
        <v>920</v>
      </c>
    </row>
    <row r="20" spans="1:4" s="14" customFormat="1" ht="15" customHeight="1" x14ac:dyDescent="0.25">
      <c r="A20" s="14" t="s">
        <v>880</v>
      </c>
      <c r="B20" s="31">
        <v>24316</v>
      </c>
      <c r="C20" s="27">
        <v>43920</v>
      </c>
      <c r="D20" s="23" t="s">
        <v>920</v>
      </c>
    </row>
    <row r="21" spans="1:4" s="14" customFormat="1" ht="15" customHeight="1" x14ac:dyDescent="0.25">
      <c r="A21" s="14" t="s">
        <v>881</v>
      </c>
      <c r="B21" s="31">
        <v>24346</v>
      </c>
      <c r="C21" s="27">
        <v>43915</v>
      </c>
      <c r="D21" s="23" t="s">
        <v>920</v>
      </c>
    </row>
    <row r="22" spans="1:4" s="14" customFormat="1" ht="15" customHeight="1" x14ac:dyDescent="0.25">
      <c r="A22" s="14" t="s">
        <v>882</v>
      </c>
      <c r="B22" s="31">
        <v>24493</v>
      </c>
      <c r="C22" s="27">
        <v>43916</v>
      </c>
      <c r="D22" s="23" t="s">
        <v>920</v>
      </c>
    </row>
    <row r="23" spans="1:4" s="14" customFormat="1" ht="15" customHeight="1" x14ac:dyDescent="0.25">
      <c r="A23" s="14" t="s">
        <v>883</v>
      </c>
      <c r="B23" s="31">
        <v>24582</v>
      </c>
      <c r="C23" s="27">
        <v>43920</v>
      </c>
      <c r="D23" s="23" t="s">
        <v>920</v>
      </c>
    </row>
    <row r="24" spans="1:4" s="14" customFormat="1" ht="15" customHeight="1" x14ac:dyDescent="0.25">
      <c r="A24" s="14" t="s">
        <v>886</v>
      </c>
      <c r="B24" s="31">
        <v>27157</v>
      </c>
      <c r="C24" s="27">
        <v>43920</v>
      </c>
      <c r="D24" s="23" t="s">
        <v>920</v>
      </c>
    </row>
    <row r="25" spans="1:4" s="14" customFormat="1" ht="15" customHeight="1" x14ac:dyDescent="0.25">
      <c r="A25" s="14" t="s">
        <v>885</v>
      </c>
      <c r="B25" s="31">
        <v>27157</v>
      </c>
      <c r="C25" s="27">
        <v>43917</v>
      </c>
      <c r="D25" s="23" t="s">
        <v>920</v>
      </c>
    </row>
    <row r="26" spans="1:4" s="14" customFormat="1" ht="15" customHeight="1" x14ac:dyDescent="0.25">
      <c r="A26" s="14" t="s">
        <v>887</v>
      </c>
      <c r="B26" s="31">
        <v>27243</v>
      </c>
      <c r="C26" s="27">
        <v>43921</v>
      </c>
      <c r="D26" s="23" t="s">
        <v>920</v>
      </c>
    </row>
    <row r="27" spans="1:4" s="14" customFormat="1" ht="15" customHeight="1" x14ac:dyDescent="0.25">
      <c r="A27" s="14" t="s">
        <v>888</v>
      </c>
      <c r="B27" s="31">
        <v>27335</v>
      </c>
      <c r="C27" s="27">
        <v>43917</v>
      </c>
      <c r="D27" s="23" t="s">
        <v>920</v>
      </c>
    </row>
    <row r="28" spans="1:4" s="14" customFormat="1" ht="15" customHeight="1" x14ac:dyDescent="0.25">
      <c r="A28" s="14" t="s">
        <v>889</v>
      </c>
      <c r="B28" s="31">
        <v>27424</v>
      </c>
      <c r="C28" s="27">
        <v>43916</v>
      </c>
      <c r="D28" s="23" t="s">
        <v>920</v>
      </c>
    </row>
    <row r="29" spans="1:4" s="14" customFormat="1" ht="15" customHeight="1" x14ac:dyDescent="0.25">
      <c r="A29" s="14" t="s">
        <v>890</v>
      </c>
      <c r="B29" s="31">
        <v>27501</v>
      </c>
      <c r="C29" s="27">
        <v>43917</v>
      </c>
      <c r="D29" s="23" t="s">
        <v>920</v>
      </c>
    </row>
    <row r="30" spans="1:4" s="14" customFormat="1" ht="15" customHeight="1" x14ac:dyDescent="0.25">
      <c r="A30" s="14" t="s">
        <v>891</v>
      </c>
      <c r="B30" s="31">
        <v>27755</v>
      </c>
      <c r="C30" s="27">
        <v>43921</v>
      </c>
      <c r="D30" s="23" t="s">
        <v>920</v>
      </c>
    </row>
    <row r="31" spans="1:4" s="14" customFormat="1" ht="15" customHeight="1" x14ac:dyDescent="0.25">
      <c r="A31" s="14" t="s">
        <v>893</v>
      </c>
      <c r="B31" s="31">
        <v>28381</v>
      </c>
      <c r="C31" s="27">
        <v>43916</v>
      </c>
      <c r="D31" s="23" t="s">
        <v>920</v>
      </c>
    </row>
    <row r="32" spans="1:4" s="14" customFormat="1" ht="15" customHeight="1" x14ac:dyDescent="0.25">
      <c r="A32" s="14" t="s">
        <v>892</v>
      </c>
      <c r="B32" s="31">
        <v>28381</v>
      </c>
      <c r="C32" s="27">
        <v>43916</v>
      </c>
      <c r="D32" s="23" t="s">
        <v>920</v>
      </c>
    </row>
    <row r="33" spans="1:6" s="14" customFormat="1" ht="15" customHeight="1" x14ac:dyDescent="0.25">
      <c r="A33" s="14" t="s">
        <v>894</v>
      </c>
      <c r="B33" s="31">
        <v>28559</v>
      </c>
      <c r="C33" s="27">
        <v>43916</v>
      </c>
      <c r="D33" s="23" t="s">
        <v>920</v>
      </c>
    </row>
    <row r="34" spans="1:6" s="14" customFormat="1" ht="15" customHeight="1" x14ac:dyDescent="0.25">
      <c r="A34" s="14" t="s">
        <v>895</v>
      </c>
      <c r="B34" s="31">
        <v>28581</v>
      </c>
      <c r="C34" s="27">
        <v>43915</v>
      </c>
      <c r="D34" s="23" t="s">
        <v>920</v>
      </c>
    </row>
    <row r="35" spans="1:6" s="14" customFormat="1" ht="15" customHeight="1" x14ac:dyDescent="0.25">
      <c r="A35" s="14" t="s">
        <v>896</v>
      </c>
      <c r="B35" s="31">
        <v>28754</v>
      </c>
      <c r="C35" s="27">
        <v>43920</v>
      </c>
      <c r="D35" s="23" t="s">
        <v>920</v>
      </c>
    </row>
    <row r="36" spans="1:6" s="14" customFormat="1" ht="15" customHeight="1" x14ac:dyDescent="0.25">
      <c r="A36" s="14" t="s">
        <v>897</v>
      </c>
      <c r="B36" s="31">
        <v>28911</v>
      </c>
      <c r="C36" s="27">
        <v>43916</v>
      </c>
      <c r="D36" s="23" t="s">
        <v>920</v>
      </c>
    </row>
    <row r="37" spans="1:6" s="14" customFormat="1" ht="15" customHeight="1" x14ac:dyDescent="0.25">
      <c r="A37" s="14" t="s">
        <v>898</v>
      </c>
      <c r="B37" s="31">
        <v>28911</v>
      </c>
      <c r="C37" s="27">
        <v>43917</v>
      </c>
      <c r="D37" s="23" t="s">
        <v>920</v>
      </c>
    </row>
    <row r="38" spans="1:6" s="14" customFormat="1" ht="15" customHeight="1" x14ac:dyDescent="0.25">
      <c r="A38" s="14" t="s">
        <v>899</v>
      </c>
      <c r="B38" s="31">
        <v>28911</v>
      </c>
      <c r="C38" s="27">
        <v>43917</v>
      </c>
      <c r="D38" s="23" t="s">
        <v>920</v>
      </c>
    </row>
    <row r="39" spans="1:6" s="14" customFormat="1" ht="15" customHeight="1" x14ac:dyDescent="0.25">
      <c r="A39" s="14" t="s">
        <v>900</v>
      </c>
      <c r="B39" s="31">
        <v>29015</v>
      </c>
      <c r="C39" s="27">
        <v>43920</v>
      </c>
      <c r="D39" s="23" t="s">
        <v>920</v>
      </c>
      <c r="F39" s="40"/>
    </row>
    <row r="40" spans="1:6" s="14" customFormat="1" ht="15" customHeight="1" x14ac:dyDescent="0.25">
      <c r="A40" s="14" t="s">
        <v>901</v>
      </c>
      <c r="B40" s="31">
        <v>29918</v>
      </c>
      <c r="C40" s="27">
        <v>43917</v>
      </c>
      <c r="D40" s="23" t="s">
        <v>920</v>
      </c>
    </row>
    <row r="41" spans="1:6" s="14" customFormat="1" ht="15" customHeight="1" x14ac:dyDescent="0.25">
      <c r="A41" s="14" t="s">
        <v>902</v>
      </c>
      <c r="B41" s="31">
        <v>30233</v>
      </c>
      <c r="C41" s="27">
        <v>43921</v>
      </c>
      <c r="D41" s="23" t="s">
        <v>920</v>
      </c>
    </row>
    <row r="42" spans="1:6" s="14" customFormat="1" ht="15" customHeight="1" x14ac:dyDescent="0.25">
      <c r="A42" s="14" t="s">
        <v>903</v>
      </c>
      <c r="B42" s="31">
        <v>30233</v>
      </c>
      <c r="C42" s="27">
        <v>43916</v>
      </c>
      <c r="D42" s="23" t="s">
        <v>920</v>
      </c>
    </row>
    <row r="43" spans="1:6" s="14" customFormat="1" ht="15" customHeight="1" x14ac:dyDescent="0.25">
      <c r="A43" s="14" t="s">
        <v>904</v>
      </c>
      <c r="B43" s="31">
        <v>30374</v>
      </c>
      <c r="C43" s="27">
        <v>43920</v>
      </c>
      <c r="D43" s="23" t="s">
        <v>920</v>
      </c>
    </row>
    <row r="44" spans="1:6" s="14" customFormat="1" ht="15" customHeight="1" x14ac:dyDescent="0.25">
      <c r="A44" s="14" t="s">
        <v>905</v>
      </c>
      <c r="B44" s="31">
        <v>30763</v>
      </c>
      <c r="C44" s="27">
        <v>43921</v>
      </c>
      <c r="D44" s="23" t="s">
        <v>920</v>
      </c>
    </row>
    <row r="45" spans="1:6" s="14" customFormat="1" ht="15" customHeight="1" x14ac:dyDescent="0.25">
      <c r="A45" s="14" t="s">
        <v>906</v>
      </c>
      <c r="B45" s="31">
        <v>30763</v>
      </c>
      <c r="C45" s="27">
        <v>43921</v>
      </c>
      <c r="D45" s="23" t="s">
        <v>920</v>
      </c>
    </row>
    <row r="46" spans="1:6" s="14" customFormat="1" ht="15" customHeight="1" x14ac:dyDescent="0.25">
      <c r="A46" s="14" t="s">
        <v>907</v>
      </c>
      <c r="B46" s="31">
        <v>30763</v>
      </c>
      <c r="C46" s="27">
        <v>43917</v>
      </c>
      <c r="D46" s="23" t="s">
        <v>920</v>
      </c>
    </row>
    <row r="47" spans="1:6" s="14" customFormat="1" ht="15" customHeight="1" x14ac:dyDescent="0.25">
      <c r="A47" s="14" t="s">
        <v>908</v>
      </c>
      <c r="B47" s="31">
        <v>31679</v>
      </c>
      <c r="C47" s="27">
        <v>43916</v>
      </c>
      <c r="D47" s="23" t="s">
        <v>920</v>
      </c>
    </row>
    <row r="48" spans="1:6" s="14" customFormat="1" ht="15" customHeight="1" x14ac:dyDescent="0.25">
      <c r="A48" s="14" t="s">
        <v>909</v>
      </c>
      <c r="B48" s="31">
        <v>32209</v>
      </c>
      <c r="C48" s="27">
        <v>43916</v>
      </c>
      <c r="D48" s="23" t="s">
        <v>920</v>
      </c>
    </row>
    <row r="49" spans="1:9" s="14" customFormat="1" ht="15" customHeight="1" x14ac:dyDescent="0.25">
      <c r="A49" s="14" t="s">
        <v>910</v>
      </c>
      <c r="B49" s="31">
        <v>34978</v>
      </c>
      <c r="C49" s="27">
        <v>43917</v>
      </c>
      <c r="D49" s="23" t="s">
        <v>920</v>
      </c>
    </row>
    <row r="50" spans="1:9" s="14" customFormat="1" ht="15" customHeight="1" x14ac:dyDescent="0.25">
      <c r="A50" s="14" t="s">
        <v>911</v>
      </c>
      <c r="B50" s="31">
        <v>36808</v>
      </c>
      <c r="C50" s="27">
        <v>43921</v>
      </c>
      <c r="D50" s="23" t="s">
        <v>920</v>
      </c>
    </row>
    <row r="51" spans="1:9" s="14" customFormat="1" ht="15" customHeight="1" x14ac:dyDescent="0.25">
      <c r="A51" s="14" t="s">
        <v>912</v>
      </c>
      <c r="B51" s="31">
        <v>36808</v>
      </c>
      <c r="C51" s="27">
        <v>43917</v>
      </c>
      <c r="D51" s="23" t="s">
        <v>920</v>
      </c>
    </row>
    <row r="52" spans="1:9" s="14" customFormat="1" ht="15" customHeight="1" x14ac:dyDescent="0.25">
      <c r="A52" s="14" t="s">
        <v>913</v>
      </c>
      <c r="B52" s="31">
        <v>40578</v>
      </c>
      <c r="C52" s="27">
        <v>43921</v>
      </c>
      <c r="D52" s="23" t="s">
        <v>920</v>
      </c>
    </row>
    <row r="53" spans="1:9" s="14" customFormat="1" ht="15" customHeight="1" x14ac:dyDescent="0.25">
      <c r="A53" s="14" t="s">
        <v>914</v>
      </c>
      <c r="B53" s="31">
        <v>40918</v>
      </c>
      <c r="C53" s="27">
        <v>43920</v>
      </c>
      <c r="D53" s="23" t="s">
        <v>920</v>
      </c>
    </row>
    <row r="54" spans="1:9" s="14" customFormat="1" ht="15" customHeight="1" x14ac:dyDescent="0.25">
      <c r="A54" s="14" t="s">
        <v>915</v>
      </c>
      <c r="B54" s="31">
        <v>42376</v>
      </c>
      <c r="C54" s="27">
        <v>43920</v>
      </c>
      <c r="D54" s="23" t="s">
        <v>920</v>
      </c>
    </row>
    <row r="55" spans="1:9" s="14" customFormat="1" ht="15" customHeight="1" x14ac:dyDescent="0.25">
      <c r="A55" s="14" t="s">
        <v>916</v>
      </c>
      <c r="B55" s="31">
        <v>42462</v>
      </c>
      <c r="C55" s="27">
        <v>43921</v>
      </c>
      <c r="D55" s="23" t="s">
        <v>920</v>
      </c>
    </row>
    <row r="56" spans="1:9" s="14" customFormat="1" ht="15" customHeight="1" x14ac:dyDescent="0.25">
      <c r="A56" s="14" t="s">
        <v>917</v>
      </c>
      <c r="B56" s="31">
        <v>42664</v>
      </c>
      <c r="C56" s="27">
        <v>43920</v>
      </c>
      <c r="D56" s="23" t="s">
        <v>920</v>
      </c>
    </row>
    <row r="57" spans="1:9" s="14" customFormat="1" ht="15" customHeight="1" x14ac:dyDescent="0.25">
      <c r="A57" s="14" t="s">
        <v>918</v>
      </c>
      <c r="B57" s="31">
        <v>44816</v>
      </c>
      <c r="C57" s="27">
        <v>43917</v>
      </c>
      <c r="D57" s="23" t="s">
        <v>920</v>
      </c>
    </row>
    <row r="58" spans="1:9" s="14" customFormat="1" ht="15" customHeight="1" x14ac:dyDescent="0.25">
      <c r="A58" s="14" t="s">
        <v>919</v>
      </c>
      <c r="B58" s="31">
        <v>44988</v>
      </c>
      <c r="C58" s="27">
        <v>43916</v>
      </c>
      <c r="D58" s="23" t="s">
        <v>920</v>
      </c>
    </row>
    <row r="59" spans="1:9" s="14" customFormat="1" ht="15" customHeight="1" x14ac:dyDescent="0.25">
      <c r="B59" s="31"/>
      <c r="C59" s="27"/>
      <c r="D59" s="23"/>
    </row>
    <row r="60" spans="1:9" s="14" customFormat="1" ht="15" customHeight="1" x14ac:dyDescent="0.25">
      <c r="B60" s="31"/>
      <c r="C60" s="27"/>
      <c r="D60" s="23"/>
    </row>
    <row r="61" spans="1:9" s="14" customFormat="1" ht="15" customHeight="1" x14ac:dyDescent="0.25">
      <c r="B61" s="31">
        <f>SUM(B13:B60)</f>
        <v>1387905</v>
      </c>
      <c r="C61" s="16"/>
      <c r="D61" s="21"/>
      <c r="E61" s="21"/>
      <c r="F61" s="21"/>
    </row>
    <row r="62" spans="1:9" s="16" customFormat="1" ht="15" customHeight="1" x14ac:dyDescent="0.25">
      <c r="A62" s="18" t="s">
        <v>1</v>
      </c>
      <c r="B62" s="19">
        <f>B61+B11</f>
        <v>1366810</v>
      </c>
      <c r="D62" s="23"/>
      <c r="E62" s="21"/>
      <c r="F62" s="21"/>
      <c r="G62" s="21"/>
    </row>
    <row r="63" spans="1:9" s="16" customFormat="1" ht="15" customHeight="1" x14ac:dyDescent="0.25">
      <c r="A63" s="14" t="s">
        <v>0</v>
      </c>
      <c r="B63" s="15">
        <f>B62-B7</f>
        <v>0</v>
      </c>
      <c r="D63" s="23"/>
      <c r="E63" s="14"/>
      <c r="F63" s="14"/>
      <c r="G63" s="14"/>
      <c r="H63" s="14"/>
      <c r="I63" s="14"/>
    </row>
    <row r="64" spans="1:9" s="16" customFormat="1" ht="15" customHeight="1" x14ac:dyDescent="0.3">
      <c r="A64" s="1"/>
      <c r="B64" s="3"/>
      <c r="C64" s="2"/>
      <c r="D64" s="23"/>
      <c r="E64" s="14"/>
      <c r="F64" s="14"/>
      <c r="G64" s="14"/>
      <c r="H64" s="14"/>
      <c r="I64" s="14"/>
    </row>
    <row r="65" spans="1:9" s="16" customFormat="1" ht="15" customHeight="1" x14ac:dyDescent="0.3">
      <c r="A65" s="1"/>
      <c r="B65" s="3"/>
      <c r="C65" s="2"/>
      <c r="D65" s="29"/>
      <c r="E65" s="14"/>
      <c r="F65" s="14"/>
      <c r="G65" s="14"/>
      <c r="H65" s="14"/>
      <c r="I65" s="14"/>
    </row>
    <row r="66" spans="1:9" s="2" customFormat="1" ht="20.100000000000001" customHeight="1" x14ac:dyDescent="0.3">
      <c r="A66"/>
      <c r="B66" s="10"/>
      <c r="D66" s="29"/>
      <c r="E66" s="1"/>
      <c r="F66" s="1"/>
      <c r="G66" s="1"/>
      <c r="H66" s="1"/>
      <c r="I66" s="1"/>
    </row>
    <row r="67" spans="1:9" s="2" customFormat="1" ht="20.100000000000001" customHeight="1" x14ac:dyDescent="0.3">
      <c r="A67"/>
      <c r="B67" s="10"/>
      <c r="D67" s="29"/>
      <c r="E67" s="1"/>
      <c r="F67" s="1"/>
      <c r="G67" s="1"/>
      <c r="H67" s="1"/>
      <c r="I67" s="1"/>
    </row>
    <row r="68" spans="1:9" s="2" customFormat="1" ht="20.100000000000001" customHeight="1" x14ac:dyDescent="0.3">
      <c r="A68"/>
      <c r="B68" s="10"/>
      <c r="D68" s="29"/>
      <c r="E68" s="1"/>
      <c r="F68" s="1"/>
      <c r="G68" s="1"/>
      <c r="H68" s="1"/>
      <c r="I68" s="1"/>
    </row>
    <row r="69" spans="1:9" s="2" customFormat="1" ht="20.100000000000001" customHeight="1" x14ac:dyDescent="0.3">
      <c r="A69"/>
      <c r="B69" s="10"/>
      <c r="D69" s="29"/>
      <c r="E69" s="1"/>
      <c r="F69" s="1"/>
      <c r="G69" s="1"/>
      <c r="H69" s="1"/>
      <c r="I69" s="1"/>
    </row>
    <row r="70" spans="1:9" s="2" customFormat="1" ht="20.100000000000001" customHeight="1" x14ac:dyDescent="0.3">
      <c r="A70"/>
      <c r="B70" s="10"/>
      <c r="D70" s="29"/>
      <c r="E70" s="1"/>
      <c r="F70" s="1"/>
      <c r="G70" s="1"/>
      <c r="H70" s="1"/>
      <c r="I70" s="1"/>
    </row>
    <row r="71" spans="1:9" s="2" customFormat="1" ht="20.100000000000001" customHeight="1" x14ac:dyDescent="0.3">
      <c r="A71"/>
      <c r="B71" s="10"/>
      <c r="D71" s="29"/>
      <c r="E71" s="1"/>
      <c r="F71" s="1"/>
      <c r="G71" s="1"/>
      <c r="H71" s="1"/>
      <c r="I71" s="1"/>
    </row>
  </sheetData>
  <pageMargins left="0.7" right="0.7" top="0.75" bottom="0.75" header="0.3" footer="0.3"/>
  <pageSetup scale="74" fitToWidth="0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79"/>
  <sheetViews>
    <sheetView workbookViewId="0">
      <selection activeCell="D15" sqref="D15:D64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43951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7574966.2000000002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-6117433.2000000002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-6117433.2000000002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1457533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922</v>
      </c>
      <c r="B9" s="31">
        <v>-24662</v>
      </c>
      <c r="C9" s="27">
        <v>43942</v>
      </c>
      <c r="D9" s="23">
        <v>43952</v>
      </c>
    </row>
    <row r="10" spans="1:4" s="14" customFormat="1" ht="15" customHeight="1" x14ac:dyDescent="0.25">
      <c r="A10" s="14" t="s">
        <v>923</v>
      </c>
      <c r="B10" s="31">
        <v>-24923</v>
      </c>
      <c r="C10" s="27">
        <v>43942</v>
      </c>
      <c r="D10" s="23">
        <v>43952</v>
      </c>
    </row>
    <row r="11" spans="1:4" s="14" customFormat="1" ht="15" customHeight="1" x14ac:dyDescent="0.25">
      <c r="A11" s="14" t="s">
        <v>929</v>
      </c>
      <c r="B11" s="31">
        <v>-31389</v>
      </c>
      <c r="C11" s="27">
        <v>43942</v>
      </c>
      <c r="D11" s="17">
        <v>43952</v>
      </c>
    </row>
    <row r="12" spans="1:4" s="14" customFormat="1" ht="15" customHeight="1" x14ac:dyDescent="0.25">
      <c r="B12" s="31"/>
      <c r="C12" s="27"/>
      <c r="D12" s="17"/>
    </row>
    <row r="13" spans="1:4" s="14" customFormat="1" ht="15" customHeight="1" x14ac:dyDescent="0.25">
      <c r="B13" s="31">
        <f>SUM(B9:B12)</f>
        <v>-80974</v>
      </c>
      <c r="C13" s="16"/>
      <c r="D13" s="23"/>
    </row>
    <row r="14" spans="1:4" s="14" customFormat="1" ht="15" customHeight="1" x14ac:dyDescent="0.25">
      <c r="A14" s="14" t="s">
        <v>2</v>
      </c>
      <c r="B14" s="31"/>
      <c r="C14" s="26" t="s">
        <v>730</v>
      </c>
      <c r="D14" s="28" t="s">
        <v>829</v>
      </c>
    </row>
    <row r="15" spans="1:4" s="14" customFormat="1" ht="15" customHeight="1" x14ac:dyDescent="0.25">
      <c r="A15" s="14" t="s">
        <v>874</v>
      </c>
      <c r="B15" s="31">
        <v>21150</v>
      </c>
      <c r="C15" s="27">
        <v>43921</v>
      </c>
      <c r="D15" s="23" t="s">
        <v>932</v>
      </c>
    </row>
    <row r="16" spans="1:4" s="14" customFormat="1" ht="15" customHeight="1" x14ac:dyDescent="0.25">
      <c r="A16" s="14" t="s">
        <v>875</v>
      </c>
      <c r="B16" s="31">
        <v>21327</v>
      </c>
      <c r="C16" s="27">
        <v>43917</v>
      </c>
      <c r="D16" s="23" t="s">
        <v>932</v>
      </c>
    </row>
    <row r="17" spans="1:4" s="14" customFormat="1" ht="15" customHeight="1" x14ac:dyDescent="0.25">
      <c r="A17" s="14" t="s">
        <v>876</v>
      </c>
      <c r="B17" s="31">
        <v>22375</v>
      </c>
      <c r="C17" s="27">
        <v>43920</v>
      </c>
      <c r="D17" s="23" t="s">
        <v>932</v>
      </c>
    </row>
    <row r="18" spans="1:4" s="14" customFormat="1" ht="15" customHeight="1" x14ac:dyDescent="0.25">
      <c r="A18" s="14" t="s">
        <v>877</v>
      </c>
      <c r="B18" s="31">
        <v>22375</v>
      </c>
      <c r="C18" s="27">
        <v>43916</v>
      </c>
      <c r="D18" s="23" t="s">
        <v>932</v>
      </c>
    </row>
    <row r="19" spans="1:4" s="14" customFormat="1" ht="15" customHeight="1" x14ac:dyDescent="0.25">
      <c r="A19" s="14" t="s">
        <v>878</v>
      </c>
      <c r="B19" s="31">
        <v>23168</v>
      </c>
      <c r="C19" s="27">
        <v>43921</v>
      </c>
      <c r="D19" s="23" t="s">
        <v>932</v>
      </c>
    </row>
    <row r="20" spans="1:4" s="14" customFormat="1" ht="15" customHeight="1" x14ac:dyDescent="0.25">
      <c r="A20" s="14" t="s">
        <v>879</v>
      </c>
      <c r="B20" s="31">
        <v>24316</v>
      </c>
      <c r="C20" s="27">
        <v>43916</v>
      </c>
      <c r="D20" s="23" t="s">
        <v>932</v>
      </c>
    </row>
    <row r="21" spans="1:4" s="14" customFormat="1" ht="15" customHeight="1" x14ac:dyDescent="0.25">
      <c r="A21" s="14" t="s">
        <v>880</v>
      </c>
      <c r="B21" s="31">
        <v>24316</v>
      </c>
      <c r="C21" s="27">
        <v>43920</v>
      </c>
      <c r="D21" s="23" t="s">
        <v>932</v>
      </c>
    </row>
    <row r="22" spans="1:4" s="14" customFormat="1" ht="15" customHeight="1" x14ac:dyDescent="0.25">
      <c r="A22" s="14" t="s">
        <v>881</v>
      </c>
      <c r="B22" s="31">
        <v>24346</v>
      </c>
      <c r="C22" s="27">
        <v>43915</v>
      </c>
      <c r="D22" s="23" t="s">
        <v>932</v>
      </c>
    </row>
    <row r="23" spans="1:4" s="14" customFormat="1" ht="15" customHeight="1" x14ac:dyDescent="0.25">
      <c r="A23" s="14" t="s">
        <v>882</v>
      </c>
      <c r="B23" s="31">
        <v>24493</v>
      </c>
      <c r="C23" s="27">
        <v>43916</v>
      </c>
      <c r="D23" s="23" t="s">
        <v>932</v>
      </c>
    </row>
    <row r="24" spans="1:4" s="14" customFormat="1" ht="15" customHeight="1" x14ac:dyDescent="0.25">
      <c r="A24" s="14" t="s">
        <v>883</v>
      </c>
      <c r="B24" s="31">
        <v>24582</v>
      </c>
      <c r="C24" s="27">
        <v>43920</v>
      </c>
      <c r="D24" s="23" t="s">
        <v>932</v>
      </c>
    </row>
    <row r="25" spans="1:4" s="14" customFormat="1" ht="15" customHeight="1" x14ac:dyDescent="0.25">
      <c r="A25" s="14" t="s">
        <v>924</v>
      </c>
      <c r="B25" s="31">
        <v>25819</v>
      </c>
      <c r="C25" s="27">
        <v>43922</v>
      </c>
      <c r="D25" s="23" t="s">
        <v>932</v>
      </c>
    </row>
    <row r="26" spans="1:4" s="14" customFormat="1" ht="15" customHeight="1" x14ac:dyDescent="0.25">
      <c r="A26" s="14" t="s">
        <v>886</v>
      </c>
      <c r="B26" s="31">
        <v>27157</v>
      </c>
      <c r="C26" s="27">
        <v>43920</v>
      </c>
      <c r="D26" s="23" t="s">
        <v>932</v>
      </c>
    </row>
    <row r="27" spans="1:4" s="14" customFormat="1" ht="15" customHeight="1" x14ac:dyDescent="0.25">
      <c r="A27" s="14" t="s">
        <v>885</v>
      </c>
      <c r="B27" s="31">
        <v>27157</v>
      </c>
      <c r="C27" s="27">
        <v>43917</v>
      </c>
      <c r="D27" s="23" t="s">
        <v>932</v>
      </c>
    </row>
    <row r="28" spans="1:4" s="14" customFormat="1" ht="15" customHeight="1" x14ac:dyDescent="0.25">
      <c r="A28" s="14" t="s">
        <v>888</v>
      </c>
      <c r="B28" s="31">
        <v>27335</v>
      </c>
      <c r="C28" s="27">
        <v>43917</v>
      </c>
      <c r="D28" s="23" t="s">
        <v>932</v>
      </c>
    </row>
    <row r="29" spans="1:4" s="14" customFormat="1" ht="15" customHeight="1" x14ac:dyDescent="0.25">
      <c r="A29" s="14" t="s">
        <v>889</v>
      </c>
      <c r="B29" s="31">
        <v>27424</v>
      </c>
      <c r="C29" s="27">
        <v>43916</v>
      </c>
      <c r="D29" s="23" t="s">
        <v>932</v>
      </c>
    </row>
    <row r="30" spans="1:4" s="14" customFormat="1" ht="15" customHeight="1" x14ac:dyDescent="0.25">
      <c r="A30" s="14" t="s">
        <v>890</v>
      </c>
      <c r="B30" s="31">
        <v>27501</v>
      </c>
      <c r="C30" s="27">
        <v>43917</v>
      </c>
      <c r="D30" s="23" t="s">
        <v>932</v>
      </c>
    </row>
    <row r="31" spans="1:4" s="14" customFormat="1" ht="15" customHeight="1" x14ac:dyDescent="0.25">
      <c r="A31" s="14" t="s">
        <v>891</v>
      </c>
      <c r="B31" s="31">
        <v>27755</v>
      </c>
      <c r="C31" s="27">
        <v>43921</v>
      </c>
      <c r="D31" s="23" t="s">
        <v>932</v>
      </c>
    </row>
    <row r="32" spans="1:4" s="14" customFormat="1" ht="15" customHeight="1" x14ac:dyDescent="0.25">
      <c r="A32" s="14" t="s">
        <v>893</v>
      </c>
      <c r="B32" s="31">
        <v>28381</v>
      </c>
      <c r="C32" s="27">
        <v>43916</v>
      </c>
      <c r="D32" s="23" t="s">
        <v>932</v>
      </c>
    </row>
    <row r="33" spans="1:6" s="14" customFormat="1" ht="15" customHeight="1" x14ac:dyDescent="0.25">
      <c r="A33" s="14" t="s">
        <v>892</v>
      </c>
      <c r="B33" s="31">
        <v>28381</v>
      </c>
      <c r="C33" s="27">
        <v>43916</v>
      </c>
      <c r="D33" s="23" t="s">
        <v>932</v>
      </c>
    </row>
    <row r="34" spans="1:6" s="14" customFormat="1" ht="15" customHeight="1" x14ac:dyDescent="0.25">
      <c r="A34" s="14" t="s">
        <v>894</v>
      </c>
      <c r="B34" s="31">
        <v>28559</v>
      </c>
      <c r="C34" s="27">
        <v>43916</v>
      </c>
      <c r="D34" s="23" t="s">
        <v>932</v>
      </c>
    </row>
    <row r="35" spans="1:6" s="14" customFormat="1" ht="15" customHeight="1" x14ac:dyDescent="0.25">
      <c r="A35" s="14" t="s">
        <v>895</v>
      </c>
      <c r="B35" s="31">
        <v>28581</v>
      </c>
      <c r="C35" s="27">
        <v>43915</v>
      </c>
      <c r="D35" s="23" t="s">
        <v>932</v>
      </c>
    </row>
    <row r="36" spans="1:6" s="14" customFormat="1" ht="15" customHeight="1" x14ac:dyDescent="0.25">
      <c r="A36" s="14" t="s">
        <v>896</v>
      </c>
      <c r="B36" s="31">
        <v>28754</v>
      </c>
      <c r="C36" s="27">
        <v>43920</v>
      </c>
      <c r="D36" s="23" t="s">
        <v>932</v>
      </c>
    </row>
    <row r="37" spans="1:6" s="14" customFormat="1" ht="15" customHeight="1" x14ac:dyDescent="0.25">
      <c r="A37" s="14" t="s">
        <v>897</v>
      </c>
      <c r="B37" s="31">
        <v>28911</v>
      </c>
      <c r="C37" s="27">
        <v>43916</v>
      </c>
      <c r="D37" s="23" t="s">
        <v>932</v>
      </c>
    </row>
    <row r="38" spans="1:6" s="14" customFormat="1" ht="15" customHeight="1" x14ac:dyDescent="0.25">
      <c r="A38" s="14" t="s">
        <v>898</v>
      </c>
      <c r="B38" s="31">
        <v>28911</v>
      </c>
      <c r="C38" s="27">
        <v>43917</v>
      </c>
      <c r="D38" s="23" t="s">
        <v>932</v>
      </c>
    </row>
    <row r="39" spans="1:6" s="14" customFormat="1" ht="15" customHeight="1" x14ac:dyDescent="0.25">
      <c r="A39" s="14" t="s">
        <v>899</v>
      </c>
      <c r="B39" s="31">
        <v>28911</v>
      </c>
      <c r="C39" s="27">
        <v>43917</v>
      </c>
      <c r="D39" s="23" t="s">
        <v>932</v>
      </c>
    </row>
    <row r="40" spans="1:6" s="14" customFormat="1" ht="15" customHeight="1" x14ac:dyDescent="0.25">
      <c r="A40" s="14" t="s">
        <v>900</v>
      </c>
      <c r="B40" s="31">
        <v>29015</v>
      </c>
      <c r="C40" s="27">
        <v>43920</v>
      </c>
      <c r="D40" s="23" t="s">
        <v>932</v>
      </c>
    </row>
    <row r="41" spans="1:6" s="14" customFormat="1" ht="15" customHeight="1" x14ac:dyDescent="0.25">
      <c r="A41" s="14" t="s">
        <v>901</v>
      </c>
      <c r="B41" s="31">
        <v>29918</v>
      </c>
      <c r="C41" s="27">
        <v>43917</v>
      </c>
      <c r="D41" s="23" t="s">
        <v>932</v>
      </c>
    </row>
    <row r="42" spans="1:6" s="14" customFormat="1" ht="15" customHeight="1" x14ac:dyDescent="0.25">
      <c r="A42" s="14" t="s">
        <v>902</v>
      </c>
      <c r="B42" s="31">
        <v>30233</v>
      </c>
      <c r="C42" s="27">
        <v>43921</v>
      </c>
      <c r="D42" s="23" t="s">
        <v>932</v>
      </c>
      <c r="F42" s="40"/>
    </row>
    <row r="43" spans="1:6" s="14" customFormat="1" ht="15" customHeight="1" x14ac:dyDescent="0.25">
      <c r="A43" s="14" t="s">
        <v>925</v>
      </c>
      <c r="B43" s="31">
        <v>30233</v>
      </c>
      <c r="C43" s="27">
        <v>43922</v>
      </c>
      <c r="D43" s="23" t="s">
        <v>932</v>
      </c>
    </row>
    <row r="44" spans="1:6" s="14" customFormat="1" ht="15" customHeight="1" x14ac:dyDescent="0.25">
      <c r="A44" s="14" t="s">
        <v>926</v>
      </c>
      <c r="B44" s="31">
        <v>30233</v>
      </c>
      <c r="C44" s="27">
        <v>43922</v>
      </c>
      <c r="D44" s="23" t="s">
        <v>932</v>
      </c>
    </row>
    <row r="45" spans="1:6" s="14" customFormat="1" ht="15" customHeight="1" x14ac:dyDescent="0.25">
      <c r="A45" s="14" t="s">
        <v>903</v>
      </c>
      <c r="B45" s="31">
        <v>30233</v>
      </c>
      <c r="C45" s="27">
        <v>43916</v>
      </c>
      <c r="D45" s="23" t="s">
        <v>932</v>
      </c>
    </row>
    <row r="46" spans="1:6" s="14" customFormat="1" ht="15" customHeight="1" x14ac:dyDescent="0.25">
      <c r="A46" s="14" t="s">
        <v>904</v>
      </c>
      <c r="B46" s="31">
        <v>30374</v>
      </c>
      <c r="C46" s="27">
        <v>43920</v>
      </c>
      <c r="D46" s="23" t="s">
        <v>932</v>
      </c>
    </row>
    <row r="47" spans="1:6" s="14" customFormat="1" ht="15" customHeight="1" x14ac:dyDescent="0.25">
      <c r="A47" s="14" t="s">
        <v>905</v>
      </c>
      <c r="B47" s="31">
        <v>30763</v>
      </c>
      <c r="C47" s="27">
        <v>43921</v>
      </c>
      <c r="D47" s="23" t="s">
        <v>932</v>
      </c>
    </row>
    <row r="48" spans="1:6" s="14" customFormat="1" ht="15" customHeight="1" x14ac:dyDescent="0.25">
      <c r="A48" s="14" t="s">
        <v>927</v>
      </c>
      <c r="B48" s="31">
        <v>30763</v>
      </c>
      <c r="C48" s="27">
        <v>43922</v>
      </c>
      <c r="D48" s="23" t="s">
        <v>932</v>
      </c>
    </row>
    <row r="49" spans="1:4" s="14" customFormat="1" ht="15" customHeight="1" x14ac:dyDescent="0.25">
      <c r="A49" s="14" t="s">
        <v>928</v>
      </c>
      <c r="B49" s="31">
        <v>30763</v>
      </c>
      <c r="C49" s="27">
        <v>43922</v>
      </c>
      <c r="D49" s="23" t="s">
        <v>932</v>
      </c>
    </row>
    <row r="50" spans="1:4" s="14" customFormat="1" ht="15" customHeight="1" x14ac:dyDescent="0.25">
      <c r="A50" s="14" t="s">
        <v>906</v>
      </c>
      <c r="B50" s="31">
        <v>30763</v>
      </c>
      <c r="C50" s="27">
        <v>43921</v>
      </c>
      <c r="D50" s="23" t="s">
        <v>932</v>
      </c>
    </row>
    <row r="51" spans="1:4" s="14" customFormat="1" ht="15" customHeight="1" x14ac:dyDescent="0.25">
      <c r="A51" s="14" t="s">
        <v>907</v>
      </c>
      <c r="B51" s="31">
        <v>30763</v>
      </c>
      <c r="C51" s="27">
        <v>43917</v>
      </c>
      <c r="D51" s="23" t="s">
        <v>932</v>
      </c>
    </row>
    <row r="52" spans="1:4" s="14" customFormat="1" ht="15" customHeight="1" x14ac:dyDescent="0.25">
      <c r="A52" s="14" t="s">
        <v>908</v>
      </c>
      <c r="B52" s="31">
        <v>31679</v>
      </c>
      <c r="C52" s="27">
        <v>43921</v>
      </c>
      <c r="D52" s="23" t="s">
        <v>932</v>
      </c>
    </row>
    <row r="53" spans="1:4" s="14" customFormat="1" ht="15" customHeight="1" x14ac:dyDescent="0.25">
      <c r="A53" s="14" t="s">
        <v>909</v>
      </c>
      <c r="B53" s="31">
        <v>32209</v>
      </c>
      <c r="C53" s="27">
        <v>43916</v>
      </c>
      <c r="D53" s="23" t="s">
        <v>932</v>
      </c>
    </row>
    <row r="54" spans="1:4" s="14" customFormat="1" ht="15" customHeight="1" x14ac:dyDescent="0.25">
      <c r="A54" s="14" t="s">
        <v>910</v>
      </c>
      <c r="B54" s="31">
        <v>34978</v>
      </c>
      <c r="C54" s="27">
        <v>43917</v>
      </c>
      <c r="D54" s="23" t="s">
        <v>932</v>
      </c>
    </row>
    <row r="55" spans="1:4" s="14" customFormat="1" ht="15" customHeight="1" x14ac:dyDescent="0.25">
      <c r="A55" s="14" t="s">
        <v>911</v>
      </c>
      <c r="B55" s="31">
        <v>36808</v>
      </c>
      <c r="C55" s="27">
        <v>43921</v>
      </c>
      <c r="D55" s="23" t="s">
        <v>932</v>
      </c>
    </row>
    <row r="56" spans="1:4" s="14" customFormat="1" ht="15" customHeight="1" x14ac:dyDescent="0.25">
      <c r="A56" s="14" t="s">
        <v>913</v>
      </c>
      <c r="B56" s="31">
        <v>40578</v>
      </c>
      <c r="C56" s="27">
        <v>43921</v>
      </c>
      <c r="D56" s="23" t="s">
        <v>932</v>
      </c>
    </row>
    <row r="57" spans="1:4" s="14" customFormat="1" ht="15" customHeight="1" x14ac:dyDescent="0.25">
      <c r="A57" s="14" t="s">
        <v>914</v>
      </c>
      <c r="B57" s="31">
        <v>40918</v>
      </c>
      <c r="C57" s="27">
        <v>43920</v>
      </c>
      <c r="D57" s="23" t="s">
        <v>932</v>
      </c>
    </row>
    <row r="58" spans="1:4" s="14" customFormat="1" ht="15" customHeight="1" x14ac:dyDescent="0.25">
      <c r="A58" s="14" t="s">
        <v>915</v>
      </c>
      <c r="B58" s="31">
        <v>42376</v>
      </c>
      <c r="C58" s="27">
        <v>43920</v>
      </c>
      <c r="D58" s="23" t="s">
        <v>932</v>
      </c>
    </row>
    <row r="59" spans="1:4" s="14" customFormat="1" ht="15" customHeight="1" x14ac:dyDescent="0.25">
      <c r="A59" s="14" t="s">
        <v>916</v>
      </c>
      <c r="B59" s="31">
        <v>42462</v>
      </c>
      <c r="C59" s="27">
        <v>43921</v>
      </c>
      <c r="D59" s="23" t="s">
        <v>932</v>
      </c>
    </row>
    <row r="60" spans="1:4" s="14" customFormat="1" ht="15" customHeight="1" x14ac:dyDescent="0.25">
      <c r="A60" s="14" t="s">
        <v>930</v>
      </c>
      <c r="B60" s="31">
        <v>42664</v>
      </c>
      <c r="C60" s="27">
        <v>43923</v>
      </c>
      <c r="D60" s="23" t="s">
        <v>932</v>
      </c>
    </row>
    <row r="61" spans="1:4" s="14" customFormat="1" ht="15" customHeight="1" x14ac:dyDescent="0.25">
      <c r="A61" s="14" t="s">
        <v>917</v>
      </c>
      <c r="B61" s="31">
        <v>42664</v>
      </c>
      <c r="C61" s="27">
        <v>43920</v>
      </c>
      <c r="D61" s="23" t="s">
        <v>932</v>
      </c>
    </row>
    <row r="62" spans="1:4" s="14" customFormat="1" ht="15" customHeight="1" x14ac:dyDescent="0.25">
      <c r="A62" s="14" t="s">
        <v>918</v>
      </c>
      <c r="B62" s="31">
        <v>44816</v>
      </c>
      <c r="C62" s="27">
        <v>43917</v>
      </c>
      <c r="D62" s="23" t="s">
        <v>932</v>
      </c>
    </row>
    <row r="63" spans="1:4" s="14" customFormat="1" ht="15" customHeight="1" x14ac:dyDescent="0.25">
      <c r="A63" s="14" t="s">
        <v>919</v>
      </c>
      <c r="B63" s="31">
        <v>44988</v>
      </c>
      <c r="C63" s="27">
        <v>43916</v>
      </c>
      <c r="D63" s="23" t="s">
        <v>932</v>
      </c>
    </row>
    <row r="64" spans="1:4" s="14" customFormat="1" ht="15" customHeight="1" x14ac:dyDescent="0.25">
      <c r="A64" s="14" t="s">
        <v>931</v>
      </c>
      <c r="B64" s="31">
        <v>45328</v>
      </c>
      <c r="C64" s="27">
        <v>43923</v>
      </c>
      <c r="D64" s="23" t="s">
        <v>932</v>
      </c>
    </row>
    <row r="65" spans="1:9" s="14" customFormat="1" ht="15" customHeight="1" x14ac:dyDescent="0.25">
      <c r="B65" s="31"/>
      <c r="C65" s="27"/>
      <c r="D65" s="23"/>
    </row>
    <row r="66" spans="1:9" s="14" customFormat="1" ht="15" customHeight="1" x14ac:dyDescent="0.25">
      <c r="B66" s="31"/>
      <c r="C66" s="27"/>
      <c r="D66" s="23"/>
    </row>
    <row r="67" spans="1:9" s="14" customFormat="1" ht="15" customHeight="1" x14ac:dyDescent="0.25">
      <c r="B67" s="31"/>
      <c r="C67" s="27"/>
      <c r="D67" s="23"/>
    </row>
    <row r="68" spans="1:9" s="14" customFormat="1" ht="15" customHeight="1" x14ac:dyDescent="0.25">
      <c r="B68" s="31"/>
      <c r="C68" s="27"/>
      <c r="D68" s="23"/>
    </row>
    <row r="69" spans="1:9" s="14" customFormat="1" ht="15" customHeight="1" x14ac:dyDescent="0.25">
      <c r="B69" s="31">
        <f>SUM(B15:B68)</f>
        <v>1538507</v>
      </c>
      <c r="C69" s="16"/>
      <c r="D69" s="21"/>
      <c r="E69" s="21"/>
      <c r="F69" s="21"/>
    </row>
    <row r="70" spans="1:9" s="16" customFormat="1" ht="15" customHeight="1" x14ac:dyDescent="0.25">
      <c r="A70" s="18" t="s">
        <v>1</v>
      </c>
      <c r="B70" s="19">
        <f>B69+B13</f>
        <v>1457533</v>
      </c>
      <c r="D70" s="23"/>
      <c r="E70" s="21"/>
      <c r="F70" s="21"/>
      <c r="G70" s="21"/>
    </row>
    <row r="71" spans="1:9" s="16" customFormat="1" ht="15" customHeight="1" x14ac:dyDescent="0.25">
      <c r="A71" s="14" t="s">
        <v>0</v>
      </c>
      <c r="B71" s="15">
        <f>B70-B7</f>
        <v>0</v>
      </c>
      <c r="D71" s="23"/>
      <c r="E71" s="14"/>
      <c r="F71" s="14"/>
      <c r="G71" s="14"/>
      <c r="H71" s="14"/>
      <c r="I71" s="14"/>
    </row>
    <row r="72" spans="1:9" s="16" customFormat="1" ht="15" customHeight="1" x14ac:dyDescent="0.3">
      <c r="A72" s="1"/>
      <c r="B72" s="3"/>
      <c r="C72" s="2"/>
      <c r="D72" s="23"/>
      <c r="E72" s="14"/>
      <c r="F72" s="14"/>
      <c r="G72" s="14"/>
      <c r="H72" s="14"/>
      <c r="I72" s="14"/>
    </row>
    <row r="73" spans="1:9" s="16" customFormat="1" ht="15" customHeight="1" x14ac:dyDescent="0.3">
      <c r="A73" s="1"/>
      <c r="B73" s="3"/>
      <c r="C73" s="2"/>
      <c r="D73" s="29"/>
      <c r="E73" s="14"/>
      <c r="F73" s="14"/>
      <c r="G73" s="14"/>
      <c r="H73" s="14"/>
      <c r="I73" s="14"/>
    </row>
    <row r="74" spans="1:9" s="2" customFormat="1" ht="20.100000000000001" customHeight="1" x14ac:dyDescent="0.3">
      <c r="A74"/>
      <c r="B74" s="10"/>
      <c r="D74" s="29"/>
      <c r="E74" s="1"/>
      <c r="F74" s="1"/>
      <c r="G74" s="1"/>
      <c r="H74" s="1"/>
      <c r="I74" s="1"/>
    </row>
    <row r="75" spans="1:9" s="2" customFormat="1" ht="20.100000000000001" customHeight="1" x14ac:dyDescent="0.3">
      <c r="A75"/>
      <c r="B75" s="10"/>
      <c r="D75" s="29"/>
      <c r="E75" s="1"/>
      <c r="F75" s="1"/>
      <c r="G75" s="1"/>
      <c r="H75" s="1"/>
      <c r="I75" s="1"/>
    </row>
    <row r="76" spans="1:9" s="2" customFormat="1" ht="20.100000000000001" customHeight="1" x14ac:dyDescent="0.3">
      <c r="A76"/>
      <c r="B76" s="10"/>
      <c r="D76" s="29"/>
      <c r="E76" s="1"/>
      <c r="F76" s="1"/>
      <c r="G76" s="1"/>
      <c r="H76" s="1"/>
      <c r="I76" s="1"/>
    </row>
    <row r="77" spans="1:9" s="2" customFormat="1" ht="20.100000000000001" customHeight="1" x14ac:dyDescent="0.3">
      <c r="A77"/>
      <c r="B77" s="10"/>
      <c r="D77" s="29"/>
      <c r="E77" s="1"/>
      <c r="F77" s="1"/>
      <c r="G77" s="1"/>
      <c r="H77" s="1"/>
      <c r="I77" s="1"/>
    </row>
    <row r="78" spans="1:9" s="2" customFormat="1" ht="20.100000000000001" customHeight="1" x14ac:dyDescent="0.3">
      <c r="A78"/>
      <c r="B78" s="10"/>
      <c r="D78" s="29"/>
      <c r="E78" s="1"/>
      <c r="F78" s="1"/>
      <c r="G78" s="1"/>
      <c r="H78" s="1"/>
      <c r="I78" s="1"/>
    </row>
    <row r="79" spans="1:9" s="2" customFormat="1" ht="20.100000000000001" customHeight="1" x14ac:dyDescent="0.3">
      <c r="A79"/>
      <c r="B79" s="10"/>
      <c r="D79" s="29"/>
      <c r="E79" s="1"/>
      <c r="F79" s="1"/>
      <c r="G79" s="1"/>
      <c r="H79" s="1"/>
      <c r="I79" s="1"/>
    </row>
  </sheetData>
  <pageMargins left="0.7" right="0.7" top="0.75" bottom="0.75" header="0.3" footer="0.3"/>
  <pageSetup scale="66" fitToWidth="0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I43"/>
  <sheetViews>
    <sheetView workbookViewId="0">
      <selection activeCell="H28" sqref="H28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43982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6949386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-6952010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-6952010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-2624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933</v>
      </c>
      <c r="B9" s="31">
        <v>-23585</v>
      </c>
      <c r="C9" s="27" t="s">
        <v>947</v>
      </c>
      <c r="D9" s="23"/>
    </row>
    <row r="10" spans="1:4" s="14" customFormat="1" ht="15" customHeight="1" x14ac:dyDescent="0.25">
      <c r="A10" s="14" t="s">
        <v>934</v>
      </c>
      <c r="B10" s="31">
        <v>-27005</v>
      </c>
      <c r="C10" s="27" t="s">
        <v>947</v>
      </c>
      <c r="D10" s="23"/>
    </row>
    <row r="11" spans="1:4" s="14" customFormat="1" ht="15" customHeight="1" x14ac:dyDescent="0.25">
      <c r="A11" s="14" t="s">
        <v>935</v>
      </c>
      <c r="B11" s="31">
        <v>-27477</v>
      </c>
      <c r="C11" s="27">
        <v>43972</v>
      </c>
      <c r="D11" s="16">
        <v>43998</v>
      </c>
    </row>
    <row r="12" spans="1:4" s="14" customFormat="1" ht="15" customHeight="1" x14ac:dyDescent="0.25">
      <c r="A12" s="14" t="s">
        <v>938</v>
      </c>
      <c r="B12" s="31">
        <v>-28648</v>
      </c>
      <c r="C12" s="27" t="s">
        <v>947</v>
      </c>
      <c r="D12" s="17"/>
    </row>
    <row r="13" spans="1:4" s="14" customFormat="1" ht="15" customHeight="1" x14ac:dyDescent="0.25">
      <c r="A13" s="14" t="s">
        <v>936</v>
      </c>
      <c r="B13" s="31">
        <v>-28911</v>
      </c>
      <c r="C13" s="16" t="s">
        <v>947</v>
      </c>
      <c r="D13" s="17"/>
    </row>
    <row r="14" spans="1:4" s="14" customFormat="1" ht="15" customHeight="1" x14ac:dyDescent="0.25">
      <c r="A14" s="14" t="s">
        <v>937</v>
      </c>
      <c r="B14" s="31">
        <v>-28911</v>
      </c>
      <c r="C14" s="16" t="s">
        <v>947</v>
      </c>
      <c r="D14" s="17"/>
    </row>
    <row r="15" spans="1:4" s="14" customFormat="1" ht="15" customHeight="1" x14ac:dyDescent="0.25">
      <c r="A15" s="14" t="s">
        <v>939</v>
      </c>
      <c r="B15" s="31">
        <v>-29918</v>
      </c>
      <c r="C15" s="16" t="s">
        <v>947</v>
      </c>
      <c r="D15" s="17"/>
    </row>
    <row r="16" spans="1:4" s="14" customFormat="1" ht="15" customHeight="1" x14ac:dyDescent="0.25">
      <c r="B16" s="31"/>
      <c r="C16" s="16"/>
      <c r="D16" s="17"/>
    </row>
    <row r="17" spans="1:4" s="14" customFormat="1" ht="15" customHeight="1" x14ac:dyDescent="0.25">
      <c r="B17" s="31">
        <f>SUM(B9:B15)</f>
        <v>-194455</v>
      </c>
      <c r="C17" s="16"/>
      <c r="D17" s="23"/>
    </row>
    <row r="18" spans="1:4" s="14" customFormat="1" ht="15" customHeight="1" x14ac:dyDescent="0.25">
      <c r="A18" s="14" t="s">
        <v>2</v>
      </c>
      <c r="B18" s="31"/>
      <c r="C18" s="26" t="s">
        <v>730</v>
      </c>
      <c r="D18" s="28" t="s">
        <v>829</v>
      </c>
    </row>
    <row r="19" spans="1:4" s="14" customFormat="1" ht="15" customHeight="1" x14ac:dyDescent="0.25">
      <c r="A19" s="14" t="s">
        <v>940</v>
      </c>
      <c r="B19" s="31">
        <v>23585</v>
      </c>
      <c r="C19" s="27" t="s">
        <v>948</v>
      </c>
      <c r="D19" s="23"/>
    </row>
    <row r="20" spans="1:4" s="14" customFormat="1" ht="15" customHeight="1" x14ac:dyDescent="0.25">
      <c r="A20" s="14" t="s">
        <v>941</v>
      </c>
      <c r="B20" s="31">
        <v>24853</v>
      </c>
      <c r="C20" s="27">
        <v>43977</v>
      </c>
      <c r="D20" s="23">
        <v>43983</v>
      </c>
    </row>
    <row r="21" spans="1:4" s="14" customFormat="1" ht="15" customHeight="1" x14ac:dyDescent="0.25">
      <c r="A21" s="14" t="s">
        <v>942</v>
      </c>
      <c r="B21" s="31">
        <v>27005</v>
      </c>
      <c r="C21" s="27" t="s">
        <v>948</v>
      </c>
      <c r="D21" s="23"/>
    </row>
    <row r="22" spans="1:4" s="14" customFormat="1" ht="15" customHeight="1" x14ac:dyDescent="0.25">
      <c r="A22" s="14" t="s">
        <v>943</v>
      </c>
      <c r="B22" s="31">
        <v>28648</v>
      </c>
      <c r="C22" s="27" t="s">
        <v>948</v>
      </c>
      <c r="D22" s="23"/>
    </row>
    <row r="23" spans="1:4" s="14" customFormat="1" ht="15" customHeight="1" x14ac:dyDescent="0.25">
      <c r="A23" s="14" t="s">
        <v>944</v>
      </c>
      <c r="B23" s="31">
        <v>28911</v>
      </c>
      <c r="C23" s="27" t="s">
        <v>948</v>
      </c>
      <c r="D23" s="23"/>
    </row>
    <row r="24" spans="1:4" s="14" customFormat="1" ht="15" customHeight="1" x14ac:dyDescent="0.25">
      <c r="A24" s="14" t="s">
        <v>945</v>
      </c>
      <c r="B24" s="31">
        <v>28911</v>
      </c>
      <c r="C24" s="27" t="s">
        <v>948</v>
      </c>
      <c r="D24" s="23"/>
    </row>
    <row r="25" spans="1:4" s="14" customFormat="1" ht="15" customHeight="1" x14ac:dyDescent="0.25">
      <c r="A25" s="14" t="s">
        <v>946</v>
      </c>
      <c r="B25" s="31">
        <v>29918</v>
      </c>
      <c r="C25" s="27" t="s">
        <v>948</v>
      </c>
      <c r="D25" s="23"/>
    </row>
    <row r="26" spans="1:4" s="14" customFormat="1" ht="15" customHeight="1" x14ac:dyDescent="0.25">
      <c r="B26" s="31"/>
      <c r="C26" s="27"/>
      <c r="D26" s="23"/>
    </row>
    <row r="27" spans="1:4" s="14" customFormat="1" ht="15" customHeight="1" x14ac:dyDescent="0.25">
      <c r="B27" s="31"/>
      <c r="C27" s="27"/>
      <c r="D27" s="23"/>
    </row>
    <row r="28" spans="1:4" s="14" customFormat="1" ht="15" customHeight="1" x14ac:dyDescent="0.25">
      <c r="B28" s="31"/>
      <c r="C28" s="27"/>
      <c r="D28" s="23"/>
    </row>
    <row r="29" spans="1:4" s="14" customFormat="1" ht="15" customHeight="1" x14ac:dyDescent="0.25">
      <c r="B29" s="14" t="s">
        <v>949</v>
      </c>
      <c r="C29" s="27"/>
      <c r="D29" s="23"/>
    </row>
    <row r="30" spans="1:4" s="14" customFormat="1" ht="15" customHeight="1" x14ac:dyDescent="0.25">
      <c r="B30" s="31"/>
      <c r="C30" s="27"/>
      <c r="D30" s="23"/>
    </row>
    <row r="31" spans="1:4" s="14" customFormat="1" ht="15" customHeight="1" x14ac:dyDescent="0.25">
      <c r="B31" s="31"/>
      <c r="C31" s="27"/>
      <c r="D31" s="23"/>
    </row>
    <row r="32" spans="1:4" s="14" customFormat="1" ht="15" customHeight="1" x14ac:dyDescent="0.25">
      <c r="B32" s="31"/>
      <c r="C32" s="27"/>
      <c r="D32" s="23"/>
    </row>
    <row r="33" spans="1:9" s="14" customFormat="1" ht="15" customHeight="1" x14ac:dyDescent="0.25">
      <c r="B33" s="31">
        <f>SUM(B19:B32)</f>
        <v>191831</v>
      </c>
      <c r="C33" s="16"/>
      <c r="D33" s="21"/>
      <c r="E33" s="21"/>
      <c r="F33" s="21"/>
    </row>
    <row r="34" spans="1:9" s="16" customFormat="1" ht="15" customHeight="1" x14ac:dyDescent="0.25">
      <c r="A34" s="18" t="s">
        <v>1</v>
      </c>
      <c r="B34" s="19">
        <f>B33+B17</f>
        <v>-2624</v>
      </c>
      <c r="D34" s="23"/>
      <c r="E34" s="21"/>
      <c r="F34" s="21"/>
      <c r="G34" s="21"/>
    </row>
    <row r="35" spans="1:9" s="16" customFormat="1" ht="15" customHeight="1" x14ac:dyDescent="0.25">
      <c r="A35" s="14" t="s">
        <v>0</v>
      </c>
      <c r="B35" s="15">
        <f>B34-B7</f>
        <v>0</v>
      </c>
      <c r="D35" s="23"/>
      <c r="E35" s="14"/>
      <c r="F35" s="14"/>
      <c r="G35" s="14"/>
      <c r="H35" s="14"/>
      <c r="I35" s="14"/>
    </row>
    <row r="36" spans="1:9" s="16" customFormat="1" ht="15" customHeight="1" x14ac:dyDescent="0.3">
      <c r="A36" s="1"/>
      <c r="B36" s="3"/>
      <c r="C36" s="2"/>
      <c r="D36" s="23"/>
      <c r="E36" s="14"/>
      <c r="F36" s="14"/>
      <c r="G36" s="14"/>
      <c r="H36" s="14"/>
      <c r="I36" s="14"/>
    </row>
    <row r="37" spans="1:9" s="16" customFormat="1" ht="15" customHeight="1" x14ac:dyDescent="0.3">
      <c r="A37" s="1"/>
      <c r="B37" s="3"/>
      <c r="C37" s="2"/>
      <c r="D37" s="29"/>
      <c r="E37" s="14"/>
      <c r="F37" s="14"/>
      <c r="G37" s="14"/>
      <c r="H37" s="14"/>
      <c r="I37" s="14"/>
    </row>
    <row r="38" spans="1:9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9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9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  <row r="41" spans="1:9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  <row r="42" spans="1:9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  <row r="43" spans="1:9" s="2" customFormat="1" ht="20.100000000000001" customHeight="1" x14ac:dyDescent="0.3">
      <c r="A43"/>
      <c r="B43" s="10"/>
      <c r="D43" s="29"/>
      <c r="E43" s="1"/>
      <c r="F43" s="1"/>
      <c r="G43" s="1"/>
      <c r="H43" s="1"/>
      <c r="I43" s="1"/>
    </row>
  </sheetData>
  <pageMargins left="0.7" right="0.7" top="0.75" bottom="0.75" header="0.3" footer="0.3"/>
  <pageSetup scale="98" fitToHeight="0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I39"/>
  <sheetViews>
    <sheetView workbookViewId="0">
      <selection activeCell="C24" sqref="C24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44012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4773933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-4568866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-4568866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205067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B9" s="31"/>
      <c r="C9" s="27"/>
      <c r="D9" s="23"/>
    </row>
    <row r="10" spans="1:4" s="14" customFormat="1" ht="15" customHeight="1" x14ac:dyDescent="0.25">
      <c r="B10" s="31"/>
      <c r="C10" s="27"/>
      <c r="D10" s="23"/>
    </row>
    <row r="11" spans="1:4" s="14" customFormat="1" ht="15" customHeight="1" x14ac:dyDescent="0.25">
      <c r="B11" s="31"/>
      <c r="C11" s="27"/>
      <c r="D11" s="16"/>
    </row>
    <row r="12" spans="1:4" s="14" customFormat="1" ht="15" customHeight="1" x14ac:dyDescent="0.25">
      <c r="B12" s="31"/>
      <c r="C12" s="27"/>
      <c r="D12" s="17"/>
    </row>
    <row r="13" spans="1:4" s="14" customFormat="1" ht="15" customHeight="1" x14ac:dyDescent="0.25">
      <c r="B13" s="31">
        <f>SUM(B9:B12)</f>
        <v>0</v>
      </c>
      <c r="C13" s="16"/>
      <c r="D13" s="23"/>
    </row>
    <row r="14" spans="1:4" s="14" customFormat="1" ht="15" customHeight="1" x14ac:dyDescent="0.25">
      <c r="A14" s="14" t="s">
        <v>2</v>
      </c>
      <c r="B14" s="31"/>
      <c r="C14" s="26" t="s">
        <v>730</v>
      </c>
      <c r="D14" s="28" t="s">
        <v>829</v>
      </c>
    </row>
    <row r="15" spans="1:4" s="14" customFormat="1" ht="15" customHeight="1" x14ac:dyDescent="0.25">
      <c r="A15" s="14" t="s">
        <v>950</v>
      </c>
      <c r="B15" s="31">
        <v>22509</v>
      </c>
      <c r="C15" s="27">
        <v>44012</v>
      </c>
      <c r="D15" s="23">
        <v>44018</v>
      </c>
    </row>
    <row r="16" spans="1:4" s="14" customFormat="1" ht="15" customHeight="1" x14ac:dyDescent="0.25">
      <c r="A16" s="14" t="s">
        <v>951</v>
      </c>
      <c r="B16" s="31">
        <v>22509</v>
      </c>
      <c r="C16" s="27">
        <v>44012</v>
      </c>
      <c r="D16" s="23">
        <v>44018</v>
      </c>
    </row>
    <row r="17" spans="1:9" s="14" customFormat="1" ht="15" customHeight="1" x14ac:dyDescent="0.25">
      <c r="A17" s="14" t="s">
        <v>952</v>
      </c>
      <c r="B17" s="31">
        <v>22509</v>
      </c>
      <c r="C17" s="27">
        <v>44012</v>
      </c>
      <c r="D17" s="23">
        <v>44018</v>
      </c>
    </row>
    <row r="18" spans="1:9" s="14" customFormat="1" ht="15" customHeight="1" x14ac:dyDescent="0.25">
      <c r="A18" s="14" t="s">
        <v>953</v>
      </c>
      <c r="B18" s="31">
        <v>22656</v>
      </c>
      <c r="C18" s="27">
        <v>44012</v>
      </c>
      <c r="D18" s="23">
        <v>44019</v>
      </c>
    </row>
    <row r="19" spans="1:9" s="14" customFormat="1" ht="15" customHeight="1" x14ac:dyDescent="0.25">
      <c r="A19" s="14" t="s">
        <v>954</v>
      </c>
      <c r="B19" s="31">
        <v>22656</v>
      </c>
      <c r="C19" s="27">
        <v>44012</v>
      </c>
      <c r="D19" s="23">
        <v>44019</v>
      </c>
    </row>
    <row r="20" spans="1:9" s="14" customFormat="1" ht="15" customHeight="1" x14ac:dyDescent="0.25">
      <c r="A20" s="14" t="s">
        <v>955</v>
      </c>
      <c r="B20" s="31">
        <v>22656</v>
      </c>
      <c r="C20" s="27">
        <v>44012</v>
      </c>
      <c r="D20" s="23">
        <v>44019</v>
      </c>
    </row>
    <row r="21" spans="1:9" s="14" customFormat="1" ht="15" customHeight="1" x14ac:dyDescent="0.25">
      <c r="A21" s="14" t="s">
        <v>956</v>
      </c>
      <c r="B21" s="31">
        <v>22656</v>
      </c>
      <c r="C21" s="27">
        <v>44012</v>
      </c>
      <c r="D21" s="23">
        <v>44019</v>
      </c>
    </row>
    <row r="22" spans="1:9" s="14" customFormat="1" ht="15" customHeight="1" x14ac:dyDescent="0.25">
      <c r="A22" s="14" t="s">
        <v>957</v>
      </c>
      <c r="B22" s="31">
        <v>22656</v>
      </c>
      <c r="C22" s="27">
        <v>44012</v>
      </c>
      <c r="D22" s="23">
        <v>44019</v>
      </c>
    </row>
    <row r="23" spans="1:9" s="14" customFormat="1" ht="15" customHeight="1" x14ac:dyDescent="0.25">
      <c r="A23" s="14" t="s">
        <v>958</v>
      </c>
      <c r="B23" s="31">
        <v>24260</v>
      </c>
      <c r="C23" s="27">
        <v>44008</v>
      </c>
      <c r="D23" s="23">
        <v>44013</v>
      </c>
    </row>
    <row r="24" spans="1:9" s="14" customFormat="1" ht="15" customHeight="1" x14ac:dyDescent="0.25">
      <c r="B24" s="31"/>
      <c r="C24" s="27"/>
      <c r="D24" s="23"/>
    </row>
    <row r="25" spans="1:9" s="14" customFormat="1" ht="15" customHeight="1" x14ac:dyDescent="0.25">
      <c r="C25" s="27"/>
      <c r="D25" s="23"/>
    </row>
    <row r="26" spans="1:9" s="14" customFormat="1" ht="15" customHeight="1" x14ac:dyDescent="0.25">
      <c r="B26" s="31"/>
      <c r="C26" s="27"/>
      <c r="D26" s="23"/>
    </row>
    <row r="27" spans="1:9" s="14" customFormat="1" ht="15" customHeight="1" x14ac:dyDescent="0.25">
      <c r="B27" s="31"/>
      <c r="C27" s="27"/>
      <c r="D27" s="23"/>
    </row>
    <row r="28" spans="1:9" s="14" customFormat="1" ht="15" customHeight="1" x14ac:dyDescent="0.25">
      <c r="B28" s="31"/>
      <c r="C28" s="27"/>
      <c r="D28" s="23"/>
    </row>
    <row r="29" spans="1:9" s="14" customFormat="1" ht="15" customHeight="1" x14ac:dyDescent="0.25">
      <c r="B29" s="31">
        <f>SUM(B15:B28)</f>
        <v>205067</v>
      </c>
      <c r="C29" s="16"/>
      <c r="D29" s="21"/>
      <c r="E29" s="21"/>
      <c r="F29" s="21"/>
    </row>
    <row r="30" spans="1:9" s="16" customFormat="1" ht="15" customHeight="1" x14ac:dyDescent="0.25">
      <c r="A30" s="18" t="s">
        <v>1</v>
      </c>
      <c r="B30" s="19">
        <f>B29+B13</f>
        <v>205067</v>
      </c>
      <c r="D30" s="23"/>
      <c r="E30" s="21"/>
      <c r="F30" s="21"/>
      <c r="G30" s="21"/>
    </row>
    <row r="31" spans="1:9" s="16" customFormat="1" ht="15" customHeight="1" x14ac:dyDescent="0.25">
      <c r="A31" s="14" t="s">
        <v>0</v>
      </c>
      <c r="B31" s="15">
        <f>B30-B7</f>
        <v>0</v>
      </c>
      <c r="D31" s="23"/>
      <c r="E31" s="14"/>
      <c r="F31" s="14"/>
      <c r="G31" s="14"/>
      <c r="H31" s="14"/>
      <c r="I31" s="14"/>
    </row>
    <row r="32" spans="1:9" s="16" customFormat="1" ht="15" customHeight="1" x14ac:dyDescent="0.3">
      <c r="A32" s="1"/>
      <c r="B32" s="3"/>
      <c r="C32" s="2"/>
      <c r="D32" s="23"/>
      <c r="E32" s="14"/>
      <c r="F32" s="14"/>
      <c r="G32" s="14"/>
      <c r="H32" s="14"/>
      <c r="I32" s="14"/>
    </row>
    <row r="33" spans="1:9" s="16" customFormat="1" ht="15" customHeight="1" x14ac:dyDescent="0.3">
      <c r="A33" s="1"/>
      <c r="B33" s="3"/>
      <c r="C33" s="2"/>
      <c r="D33" s="29"/>
      <c r="E33" s="14"/>
      <c r="F33" s="14"/>
      <c r="G33" s="14"/>
      <c r="H33" s="14"/>
      <c r="I33" s="14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9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9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</sheetData>
  <pageMargins left="0.7" right="0.7" top="0.75" bottom="0.75" header="0.3" footer="0.3"/>
  <pageSetup fitToHeight="0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I34"/>
  <sheetViews>
    <sheetView topLeftCell="A16" workbookViewId="0">
      <selection activeCell="H27" sqref="H27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44043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2856341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-3072666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-3072666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-216325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959</v>
      </c>
      <c r="B9" s="31">
        <v>-32309</v>
      </c>
      <c r="C9" s="27">
        <v>44043</v>
      </c>
      <c r="D9" s="23">
        <v>44053</v>
      </c>
    </row>
    <row r="10" spans="1:4" s="14" customFormat="1" ht="15" customHeight="1" x14ac:dyDescent="0.25">
      <c r="A10" s="14" t="s">
        <v>960</v>
      </c>
      <c r="B10" s="31">
        <v>-34138</v>
      </c>
      <c r="C10" s="27">
        <v>44022</v>
      </c>
      <c r="D10" s="23">
        <v>44054</v>
      </c>
    </row>
    <row r="11" spans="1:4" s="14" customFormat="1" ht="15" customHeight="1" x14ac:dyDescent="0.25">
      <c r="A11" s="14" t="s">
        <v>961</v>
      </c>
      <c r="B11" s="31">
        <v>-35136</v>
      </c>
      <c r="C11" s="27">
        <v>44040</v>
      </c>
      <c r="D11" s="23">
        <v>44046</v>
      </c>
    </row>
    <row r="12" spans="1:4" s="14" customFormat="1" ht="15" customHeight="1" x14ac:dyDescent="0.25">
      <c r="A12" s="14" t="s">
        <v>962</v>
      </c>
      <c r="B12" s="31">
        <v>-36770</v>
      </c>
      <c r="C12" s="27">
        <v>44040</v>
      </c>
      <c r="D12" s="23">
        <v>44046</v>
      </c>
    </row>
    <row r="13" spans="1:4" s="14" customFormat="1" ht="15" customHeight="1" x14ac:dyDescent="0.25">
      <c r="A13" s="14" t="s">
        <v>963</v>
      </c>
      <c r="B13" s="31">
        <v>-37028</v>
      </c>
      <c r="C13" s="27">
        <v>44040</v>
      </c>
      <c r="D13" s="23">
        <v>44046</v>
      </c>
    </row>
    <row r="14" spans="1:4" s="14" customFormat="1" ht="15" customHeight="1" x14ac:dyDescent="0.25">
      <c r="A14" s="14" t="s">
        <v>964</v>
      </c>
      <c r="B14" s="31">
        <v>-40944</v>
      </c>
      <c r="C14" s="27">
        <v>44040</v>
      </c>
      <c r="D14" s="17">
        <v>44046</v>
      </c>
    </row>
    <row r="15" spans="1:4" s="14" customFormat="1" ht="15" customHeight="1" x14ac:dyDescent="0.25">
      <c r="B15" s="31"/>
      <c r="C15" s="27"/>
      <c r="D15" s="17"/>
    </row>
    <row r="16" spans="1:4" s="14" customFormat="1" ht="15" customHeight="1" x14ac:dyDescent="0.25">
      <c r="B16" s="31">
        <f>SUM(B9:B15)</f>
        <v>-216325</v>
      </c>
      <c r="C16" s="16"/>
      <c r="D16" s="23"/>
    </row>
    <row r="17" spans="1:9" s="14" customFormat="1" ht="15" customHeight="1" x14ac:dyDescent="0.25">
      <c r="A17" s="14" t="s">
        <v>2</v>
      </c>
      <c r="B17" s="31"/>
      <c r="C17" s="26" t="s">
        <v>730</v>
      </c>
      <c r="D17" s="28" t="s">
        <v>829</v>
      </c>
    </row>
    <row r="18" spans="1:9" s="14" customFormat="1" ht="15" customHeight="1" x14ac:dyDescent="0.25">
      <c r="B18" s="31"/>
      <c r="C18" s="27"/>
      <c r="D18" s="23"/>
    </row>
    <row r="19" spans="1:9" s="14" customFormat="1" ht="15" customHeight="1" x14ac:dyDescent="0.25">
      <c r="B19" s="31"/>
      <c r="C19" s="27"/>
      <c r="D19" s="23"/>
    </row>
    <row r="20" spans="1:9" s="14" customFormat="1" ht="15" customHeight="1" x14ac:dyDescent="0.25">
      <c r="B20" s="31"/>
      <c r="C20" s="27"/>
      <c r="D20" s="23"/>
    </row>
    <row r="21" spans="1:9" s="14" customFormat="1" ht="15" customHeight="1" x14ac:dyDescent="0.25">
      <c r="B21" s="31"/>
      <c r="C21" s="27"/>
      <c r="D21" s="23"/>
    </row>
    <row r="22" spans="1:9" s="14" customFormat="1" ht="15" customHeight="1" x14ac:dyDescent="0.25">
      <c r="B22" s="31"/>
      <c r="C22" s="27"/>
      <c r="D22" s="23"/>
    </row>
    <row r="23" spans="1:9" s="14" customFormat="1" ht="15" customHeight="1" x14ac:dyDescent="0.25">
      <c r="B23" s="31"/>
      <c r="C23" s="27"/>
      <c r="D23" s="23"/>
    </row>
    <row r="24" spans="1:9" s="14" customFormat="1" ht="15" customHeight="1" x14ac:dyDescent="0.25">
      <c r="B24" s="31">
        <f>SUM(B18:B23)</f>
        <v>0</v>
      </c>
      <c r="C24" s="16"/>
      <c r="D24" s="21"/>
      <c r="E24" s="21"/>
      <c r="F24" s="21"/>
    </row>
    <row r="25" spans="1:9" s="16" customFormat="1" ht="15" customHeight="1" x14ac:dyDescent="0.25">
      <c r="A25" s="18" t="s">
        <v>1</v>
      </c>
      <c r="B25" s="19">
        <f>B24+B16</f>
        <v>-216325</v>
      </c>
      <c r="D25" s="23"/>
      <c r="E25" s="21"/>
      <c r="F25" s="21"/>
      <c r="G25" s="21"/>
    </row>
    <row r="26" spans="1:9" s="16" customFormat="1" ht="15" customHeight="1" x14ac:dyDescent="0.25">
      <c r="A26" s="14" t="s">
        <v>0</v>
      </c>
      <c r="B26" s="15">
        <f>B25-B7</f>
        <v>0</v>
      </c>
      <c r="D26" s="23"/>
      <c r="E26" s="14"/>
      <c r="F26" s="14"/>
      <c r="G26" s="14"/>
      <c r="H26" s="14"/>
      <c r="I26" s="14"/>
    </row>
    <row r="27" spans="1:9" s="16" customFormat="1" ht="15" customHeight="1" x14ac:dyDescent="0.3">
      <c r="A27" s="1"/>
      <c r="B27" s="3"/>
      <c r="C27" s="2"/>
      <c r="D27" s="23"/>
      <c r="E27" s="14"/>
      <c r="F27" s="14"/>
      <c r="G27" s="14"/>
      <c r="H27" s="14"/>
      <c r="I27" s="14"/>
    </row>
    <row r="28" spans="1:9" s="16" customFormat="1" ht="15" customHeight="1" x14ac:dyDescent="0.3">
      <c r="A28" s="1"/>
      <c r="B28" s="3"/>
      <c r="C28" s="2"/>
      <c r="D28" s="29"/>
      <c r="E28" s="14"/>
      <c r="F28" s="14"/>
      <c r="G28" s="14"/>
      <c r="H28" s="14"/>
      <c r="I28" s="14"/>
    </row>
    <row r="29" spans="1:9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  <row r="30" spans="1:9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9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9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</sheetData>
  <pageMargins left="0.7" right="0.7" top="0.75" bottom="0.75" header="0.3" footer="0.3"/>
  <pageSetup fitToHeight="0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I41"/>
  <sheetViews>
    <sheetView workbookViewId="0">
      <selection activeCell="C30" sqref="C30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2.42578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44074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5271405.7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-5555462.7000000002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-5555462.7000000002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-284057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965</v>
      </c>
      <c r="B9" s="31">
        <v>-27504</v>
      </c>
      <c r="C9" s="27">
        <v>44074</v>
      </c>
      <c r="D9" s="23">
        <v>44075</v>
      </c>
    </row>
    <row r="10" spans="1:4" s="14" customFormat="1" ht="15" customHeight="1" x14ac:dyDescent="0.25">
      <c r="A10" s="14" t="s">
        <v>966</v>
      </c>
      <c r="B10" s="31">
        <v>-27767</v>
      </c>
      <c r="C10" s="27">
        <v>44074</v>
      </c>
      <c r="D10" s="23">
        <v>44075</v>
      </c>
    </row>
    <row r="11" spans="1:4" s="14" customFormat="1" ht="15" customHeight="1" x14ac:dyDescent="0.25">
      <c r="A11" s="14" t="s">
        <v>981</v>
      </c>
      <c r="B11" s="31">
        <v>-28461</v>
      </c>
      <c r="C11" s="27">
        <v>44074</v>
      </c>
      <c r="D11" s="23">
        <v>44075</v>
      </c>
    </row>
    <row r="12" spans="1:4" s="14" customFormat="1" ht="15" customHeight="1" x14ac:dyDescent="0.25">
      <c r="A12" s="14" t="s">
        <v>967</v>
      </c>
      <c r="B12" s="31">
        <v>-30413</v>
      </c>
      <c r="C12" s="27">
        <v>44074</v>
      </c>
      <c r="D12" s="23">
        <v>44075</v>
      </c>
    </row>
    <row r="13" spans="1:4" s="14" customFormat="1" ht="15" customHeight="1" x14ac:dyDescent="0.25">
      <c r="A13" s="14" t="s">
        <v>968</v>
      </c>
      <c r="B13" s="31">
        <v>-31779</v>
      </c>
      <c r="C13" s="27">
        <v>44074</v>
      </c>
      <c r="D13" s="23">
        <v>44075</v>
      </c>
    </row>
    <row r="14" spans="1:4" s="14" customFormat="1" ht="15" customHeight="1" x14ac:dyDescent="0.25">
      <c r="A14" s="14" t="s">
        <v>969</v>
      </c>
      <c r="B14" s="31">
        <v>-31957</v>
      </c>
      <c r="C14" s="27">
        <v>44074</v>
      </c>
      <c r="D14" s="17">
        <v>44075</v>
      </c>
    </row>
    <row r="15" spans="1:4" s="14" customFormat="1" ht="15" customHeight="1" x14ac:dyDescent="0.25">
      <c r="A15" s="14" t="s">
        <v>970</v>
      </c>
      <c r="B15" s="31">
        <v>-34086</v>
      </c>
      <c r="C15" s="27">
        <v>44074</v>
      </c>
      <c r="D15" s="17">
        <v>44075</v>
      </c>
    </row>
    <row r="16" spans="1:4" s="14" customFormat="1" ht="15" customHeight="1" x14ac:dyDescent="0.25">
      <c r="A16" s="14" t="s">
        <v>971</v>
      </c>
      <c r="B16" s="31">
        <v>-35525</v>
      </c>
      <c r="C16" s="27">
        <v>44074</v>
      </c>
      <c r="D16" s="17">
        <v>44075</v>
      </c>
    </row>
    <row r="17" spans="1:7" s="14" customFormat="1" ht="15" customHeight="1" x14ac:dyDescent="0.25">
      <c r="A17" s="14" t="s">
        <v>972</v>
      </c>
      <c r="B17" s="31">
        <v>-35605</v>
      </c>
      <c r="C17" s="27">
        <v>44074</v>
      </c>
      <c r="D17" s="17">
        <v>44075</v>
      </c>
    </row>
    <row r="18" spans="1:7" s="14" customFormat="1" ht="15" customHeight="1" x14ac:dyDescent="0.25">
      <c r="A18" s="14" t="s">
        <v>973</v>
      </c>
      <c r="B18" s="31">
        <v>-35957</v>
      </c>
      <c r="C18" s="27">
        <v>44074</v>
      </c>
      <c r="D18" s="17">
        <v>44075</v>
      </c>
    </row>
    <row r="19" spans="1:7" s="14" customFormat="1" ht="15" customHeight="1" x14ac:dyDescent="0.25">
      <c r="A19" s="14" t="s">
        <v>982</v>
      </c>
      <c r="B19" s="31">
        <v>-36278</v>
      </c>
      <c r="C19" s="27">
        <v>44072</v>
      </c>
      <c r="D19" s="17">
        <v>44075</v>
      </c>
    </row>
    <row r="20" spans="1:7" s="14" customFormat="1" ht="15" customHeight="1" x14ac:dyDescent="0.25">
      <c r="A20" s="14" t="s">
        <v>975</v>
      </c>
      <c r="B20" s="31">
        <v>-37308</v>
      </c>
      <c r="C20" s="27">
        <v>44074</v>
      </c>
      <c r="D20" s="17">
        <v>44075</v>
      </c>
    </row>
    <row r="21" spans="1:7" s="14" customFormat="1" ht="15" customHeight="1" x14ac:dyDescent="0.25">
      <c r="A21" s="14" t="s">
        <v>974</v>
      </c>
      <c r="B21" s="31">
        <v>-37308</v>
      </c>
      <c r="C21" s="27">
        <v>44074</v>
      </c>
      <c r="D21" s="17">
        <v>44075</v>
      </c>
    </row>
    <row r="22" spans="1:7" s="14" customFormat="1" ht="15" customHeight="1" x14ac:dyDescent="0.25">
      <c r="B22" s="31"/>
      <c r="C22" s="27"/>
      <c r="D22" s="17"/>
    </row>
    <row r="23" spans="1:7" s="14" customFormat="1" ht="15" customHeight="1" x14ac:dyDescent="0.25">
      <c r="B23" s="31">
        <f>SUM(B9:B22)</f>
        <v>-429948</v>
      </c>
      <c r="C23" s="16"/>
      <c r="D23" s="23"/>
    </row>
    <row r="24" spans="1:7" s="14" customFormat="1" ht="15" customHeight="1" x14ac:dyDescent="0.25">
      <c r="A24" s="14" t="s">
        <v>2</v>
      </c>
      <c r="B24" s="31"/>
      <c r="C24" s="26" t="s">
        <v>730</v>
      </c>
      <c r="D24" s="28" t="s">
        <v>829</v>
      </c>
    </row>
    <row r="25" spans="1:7" s="14" customFormat="1" ht="15" customHeight="1" x14ac:dyDescent="0.25">
      <c r="A25" s="14" t="s">
        <v>976</v>
      </c>
      <c r="B25" s="31">
        <v>27237</v>
      </c>
      <c r="C25" s="27">
        <v>44070</v>
      </c>
      <c r="D25" s="23">
        <v>44075</v>
      </c>
    </row>
    <row r="26" spans="1:7" s="14" customFormat="1" ht="15" customHeight="1" x14ac:dyDescent="0.25">
      <c r="A26" s="14" t="s">
        <v>977</v>
      </c>
      <c r="B26" s="31">
        <v>27415</v>
      </c>
      <c r="C26" s="27">
        <v>44074</v>
      </c>
      <c r="D26" s="23">
        <v>44075</v>
      </c>
    </row>
    <row r="27" spans="1:7" s="14" customFormat="1" ht="15" customHeight="1" x14ac:dyDescent="0.25">
      <c r="A27" s="14" t="s">
        <v>978</v>
      </c>
      <c r="B27" s="31">
        <v>30413</v>
      </c>
      <c r="C27" s="27">
        <v>44074</v>
      </c>
      <c r="D27" s="23">
        <v>44075</v>
      </c>
    </row>
    <row r="28" spans="1:7" s="14" customFormat="1" ht="15" customHeight="1" x14ac:dyDescent="0.25">
      <c r="A28" s="14" t="s">
        <v>979</v>
      </c>
      <c r="B28" s="31">
        <v>30413</v>
      </c>
      <c r="C28" s="27">
        <v>44074</v>
      </c>
      <c r="D28" s="23">
        <v>44075</v>
      </c>
    </row>
    <row r="29" spans="1:7" s="14" customFormat="1" ht="15" customHeight="1" x14ac:dyDescent="0.25">
      <c r="A29" s="14" t="s">
        <v>980</v>
      </c>
      <c r="B29" s="31">
        <v>30413</v>
      </c>
      <c r="C29" s="27">
        <v>44070</v>
      </c>
      <c r="D29" s="23">
        <v>44075</v>
      </c>
    </row>
    <row r="30" spans="1:7" s="14" customFormat="1" ht="15" customHeight="1" x14ac:dyDescent="0.25">
      <c r="B30" s="31"/>
      <c r="C30" s="27"/>
      <c r="D30" s="23"/>
    </row>
    <row r="31" spans="1:7" s="14" customFormat="1" ht="15" customHeight="1" x14ac:dyDescent="0.25">
      <c r="B31" s="31">
        <f>SUM(B25:B30)</f>
        <v>145891</v>
      </c>
      <c r="C31" s="16"/>
      <c r="D31" s="21"/>
      <c r="E31" s="21"/>
      <c r="F31" s="21"/>
    </row>
    <row r="32" spans="1:7" s="16" customFormat="1" ht="15" customHeight="1" x14ac:dyDescent="0.25">
      <c r="A32" s="18" t="s">
        <v>1</v>
      </c>
      <c r="B32" s="19">
        <f>B31+B23</f>
        <v>-284057</v>
      </c>
      <c r="D32" s="23"/>
      <c r="E32" s="21"/>
      <c r="F32" s="21"/>
      <c r="G32" s="21"/>
    </row>
    <row r="33" spans="1:9" s="16" customFormat="1" ht="15" customHeight="1" x14ac:dyDescent="0.25">
      <c r="A33" s="14" t="s">
        <v>0</v>
      </c>
      <c r="B33" s="15">
        <f>B32-B7</f>
        <v>0</v>
      </c>
      <c r="D33" s="23"/>
      <c r="E33" s="14"/>
      <c r="F33" s="14"/>
      <c r="G33" s="14"/>
      <c r="H33" s="14"/>
      <c r="I33" s="14"/>
    </row>
    <row r="34" spans="1:9" s="16" customFormat="1" ht="15" customHeight="1" x14ac:dyDescent="0.3">
      <c r="A34" s="1"/>
      <c r="B34" s="3"/>
      <c r="C34" s="2"/>
      <c r="D34" s="23"/>
      <c r="E34" s="14"/>
      <c r="F34" s="14"/>
      <c r="G34" s="14"/>
      <c r="H34" s="14"/>
      <c r="I34" s="14"/>
    </row>
    <row r="35" spans="1:9" s="16" customFormat="1" ht="15" customHeight="1" x14ac:dyDescent="0.3">
      <c r="A35" s="1"/>
      <c r="B35" s="3"/>
      <c r="C35" s="2"/>
      <c r="D35" s="29"/>
      <c r="E35" s="14"/>
      <c r="F35" s="14"/>
      <c r="G35" s="14"/>
      <c r="H35" s="14"/>
      <c r="I35" s="14"/>
    </row>
    <row r="36" spans="1:9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9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9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9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  <row r="41" spans="1:9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</sheetData>
  <pageMargins left="0.7" right="0.7" top="0.75" bottom="0.75" header="0.3" footer="0.3"/>
  <pageSetup fitToHeight="0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I72"/>
  <sheetViews>
    <sheetView topLeftCell="A31" workbookViewId="0">
      <selection activeCell="C16" sqref="C16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5.5703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44104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5536160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-5467057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-5467057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69103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984</v>
      </c>
      <c r="B9" s="31">
        <v>-27237</v>
      </c>
      <c r="C9" s="27" t="s">
        <v>1038</v>
      </c>
      <c r="D9" s="23"/>
    </row>
    <row r="10" spans="1:4" s="14" customFormat="1" ht="15" customHeight="1" x14ac:dyDescent="0.25">
      <c r="A10" s="14" t="s">
        <v>985</v>
      </c>
      <c r="B10" s="31">
        <v>-27237</v>
      </c>
      <c r="C10" s="27" t="s">
        <v>1038</v>
      </c>
      <c r="D10" s="23"/>
    </row>
    <row r="11" spans="1:4" s="14" customFormat="1" ht="15" customHeight="1" x14ac:dyDescent="0.25">
      <c r="A11" s="14" t="s">
        <v>986</v>
      </c>
      <c r="B11" s="31">
        <v>-27237</v>
      </c>
      <c r="C11" s="27" t="s">
        <v>1038</v>
      </c>
      <c r="D11" s="23"/>
    </row>
    <row r="12" spans="1:4" s="14" customFormat="1" ht="15" customHeight="1" x14ac:dyDescent="0.25">
      <c r="A12" s="14" t="s">
        <v>987</v>
      </c>
      <c r="B12" s="31">
        <v>-27237</v>
      </c>
      <c r="C12" s="27" t="s">
        <v>1038</v>
      </c>
      <c r="D12" s="23"/>
    </row>
    <row r="13" spans="1:4" s="14" customFormat="1" ht="15" customHeight="1" x14ac:dyDescent="0.25">
      <c r="A13" s="14" t="s">
        <v>988</v>
      </c>
      <c r="B13" s="31">
        <v>-27415</v>
      </c>
      <c r="C13" s="27" t="s">
        <v>1038</v>
      </c>
      <c r="D13" s="23"/>
    </row>
    <row r="14" spans="1:4" s="14" customFormat="1" ht="15" customHeight="1" x14ac:dyDescent="0.25">
      <c r="A14" s="14" t="s">
        <v>989</v>
      </c>
      <c r="B14" s="31">
        <v>-27415</v>
      </c>
      <c r="C14" s="27" t="s">
        <v>1038</v>
      </c>
      <c r="D14" s="23"/>
    </row>
    <row r="15" spans="1:4" s="14" customFormat="1" ht="15" customHeight="1" x14ac:dyDescent="0.25">
      <c r="A15" s="14" t="s">
        <v>990</v>
      </c>
      <c r="B15" s="31">
        <v>-27504</v>
      </c>
      <c r="C15" s="27" t="s">
        <v>1038</v>
      </c>
      <c r="D15" s="23"/>
    </row>
    <row r="16" spans="1:4" s="14" customFormat="1" ht="15" customHeight="1" x14ac:dyDescent="0.25">
      <c r="A16" s="14" t="s">
        <v>991</v>
      </c>
      <c r="B16" s="31">
        <v>-27504</v>
      </c>
      <c r="C16" s="27" t="s">
        <v>1037</v>
      </c>
      <c r="D16" s="23"/>
    </row>
    <row r="17" spans="1:4" s="14" customFormat="1" ht="15" customHeight="1" x14ac:dyDescent="0.25">
      <c r="A17" s="14" t="s">
        <v>992</v>
      </c>
      <c r="B17" s="31">
        <v>-28461</v>
      </c>
      <c r="C17" s="27" t="s">
        <v>1038</v>
      </c>
      <c r="D17" s="23"/>
    </row>
    <row r="18" spans="1:4" s="14" customFormat="1" ht="15" customHeight="1" x14ac:dyDescent="0.25">
      <c r="A18" s="14" t="s">
        <v>993</v>
      </c>
      <c r="B18" s="31">
        <v>-28461</v>
      </c>
      <c r="C18" s="27" t="s">
        <v>1038</v>
      </c>
      <c r="D18" s="23"/>
    </row>
    <row r="19" spans="1:4" s="14" customFormat="1" ht="15" customHeight="1" x14ac:dyDescent="0.25">
      <c r="A19" s="14" t="s">
        <v>994</v>
      </c>
      <c r="B19" s="31">
        <v>-28461</v>
      </c>
      <c r="C19" s="27" t="s">
        <v>1038</v>
      </c>
      <c r="D19" s="23"/>
    </row>
    <row r="20" spans="1:4" s="14" customFormat="1" ht="15" customHeight="1" x14ac:dyDescent="0.25">
      <c r="A20" s="14" t="s">
        <v>995</v>
      </c>
      <c r="B20" s="31">
        <v>-28461</v>
      </c>
      <c r="C20" s="27" t="s">
        <v>1038</v>
      </c>
      <c r="D20" s="23"/>
    </row>
    <row r="21" spans="1:4" s="14" customFormat="1" ht="15" customHeight="1" x14ac:dyDescent="0.25">
      <c r="A21" s="14" t="s">
        <v>996</v>
      </c>
      <c r="B21" s="31">
        <v>-30413</v>
      </c>
      <c r="C21" s="27" t="s">
        <v>1038</v>
      </c>
      <c r="D21" s="17"/>
    </row>
    <row r="22" spans="1:4" s="14" customFormat="1" ht="15" customHeight="1" x14ac:dyDescent="0.25">
      <c r="A22" s="14" t="s">
        <v>1018</v>
      </c>
      <c r="B22" s="31">
        <v>-30943</v>
      </c>
      <c r="C22" s="27" t="s">
        <v>1038</v>
      </c>
      <c r="D22" s="17"/>
    </row>
    <row r="23" spans="1:4" s="14" customFormat="1" ht="15" customHeight="1" x14ac:dyDescent="0.25">
      <c r="A23" s="14" t="s">
        <v>997</v>
      </c>
      <c r="B23" s="31">
        <v>-31859</v>
      </c>
      <c r="C23" s="27" t="s">
        <v>1035</v>
      </c>
      <c r="D23" s="17"/>
    </row>
    <row r="24" spans="1:4" s="14" customFormat="1" ht="15" customHeight="1" x14ac:dyDescent="0.25">
      <c r="A24" s="14" t="s">
        <v>999</v>
      </c>
      <c r="B24" s="31">
        <v>-32037</v>
      </c>
      <c r="C24" s="27" t="s">
        <v>1038</v>
      </c>
      <c r="D24" s="17"/>
    </row>
    <row r="25" spans="1:4" s="14" customFormat="1" ht="15" customHeight="1" x14ac:dyDescent="0.25">
      <c r="A25" s="14" t="s">
        <v>1000</v>
      </c>
      <c r="B25" s="31">
        <v>-35427</v>
      </c>
      <c r="C25" s="27" t="s">
        <v>1038</v>
      </c>
      <c r="D25" s="17"/>
    </row>
    <row r="26" spans="1:4" s="14" customFormat="1" ht="15" customHeight="1" x14ac:dyDescent="0.25">
      <c r="A26" s="14" t="s">
        <v>1001</v>
      </c>
      <c r="B26" s="31">
        <v>-35694</v>
      </c>
      <c r="C26" s="27" t="s">
        <v>1038</v>
      </c>
      <c r="D26" s="17"/>
    </row>
    <row r="27" spans="1:4" s="14" customFormat="1" ht="15" customHeight="1" x14ac:dyDescent="0.25">
      <c r="A27" s="14" t="s">
        <v>1002</v>
      </c>
      <c r="B27" s="31">
        <v>-37308</v>
      </c>
      <c r="C27" s="27" t="s">
        <v>1038</v>
      </c>
      <c r="D27" s="17"/>
    </row>
    <row r="28" spans="1:4" s="14" customFormat="1" ht="15" customHeight="1" x14ac:dyDescent="0.25">
      <c r="A28" s="14" t="s">
        <v>1003</v>
      </c>
      <c r="B28" s="31">
        <v>-37308</v>
      </c>
      <c r="C28" s="27" t="s">
        <v>1038</v>
      </c>
      <c r="D28" s="17"/>
    </row>
    <row r="29" spans="1:4" s="14" customFormat="1" ht="15" customHeight="1" x14ac:dyDescent="0.25">
      <c r="A29" s="14" t="s">
        <v>1007</v>
      </c>
      <c r="B29" s="31">
        <v>-37486</v>
      </c>
      <c r="C29" s="27" t="s">
        <v>1038</v>
      </c>
      <c r="D29" s="17"/>
    </row>
    <row r="30" spans="1:4" s="14" customFormat="1" ht="15" customHeight="1" x14ac:dyDescent="0.25">
      <c r="A30" s="14" t="s">
        <v>1004</v>
      </c>
      <c r="B30" s="31">
        <v>-37575</v>
      </c>
      <c r="C30" s="27" t="s">
        <v>1038</v>
      </c>
      <c r="D30" s="17"/>
    </row>
    <row r="31" spans="1:4" s="14" customFormat="1" ht="15" customHeight="1" x14ac:dyDescent="0.25">
      <c r="A31" s="14" t="s">
        <v>1005</v>
      </c>
      <c r="B31" s="31">
        <v>-40686</v>
      </c>
      <c r="C31" s="27" t="s">
        <v>1040</v>
      </c>
      <c r="D31" s="16" t="s">
        <v>1032</v>
      </c>
    </row>
    <row r="32" spans="1:4" s="14" customFormat="1" ht="15" customHeight="1" x14ac:dyDescent="0.25">
      <c r="B32" s="31"/>
      <c r="C32" s="27"/>
      <c r="D32" s="17"/>
    </row>
    <row r="33" spans="1:4" s="14" customFormat="1" ht="15" customHeight="1" x14ac:dyDescent="0.25">
      <c r="B33" s="31">
        <f>SUM(B9:B32)</f>
        <v>-719366</v>
      </c>
      <c r="C33" s="16"/>
      <c r="D33" s="23"/>
    </row>
    <row r="34" spans="1:4" s="14" customFormat="1" ht="15" customHeight="1" x14ac:dyDescent="0.25">
      <c r="A34" s="14" t="s">
        <v>2</v>
      </c>
      <c r="B34" s="31"/>
      <c r="C34" s="26" t="s">
        <v>730</v>
      </c>
      <c r="D34" s="28" t="s">
        <v>829</v>
      </c>
    </row>
    <row r="35" spans="1:4" s="14" customFormat="1" ht="15" customHeight="1" x14ac:dyDescent="0.25">
      <c r="A35" s="14" t="s">
        <v>1028</v>
      </c>
      <c r="B35" s="31">
        <v>20554</v>
      </c>
      <c r="C35" s="27">
        <v>44102</v>
      </c>
      <c r="D35" s="23">
        <v>44105</v>
      </c>
    </row>
    <row r="36" spans="1:4" s="14" customFormat="1" ht="15" customHeight="1" x14ac:dyDescent="0.25">
      <c r="A36" s="14" t="s">
        <v>983</v>
      </c>
      <c r="B36" s="31">
        <v>22725</v>
      </c>
      <c r="C36" s="27">
        <v>44104</v>
      </c>
      <c r="D36" s="23" t="s">
        <v>1041</v>
      </c>
    </row>
    <row r="37" spans="1:4" s="14" customFormat="1" ht="15" customHeight="1" x14ac:dyDescent="0.25">
      <c r="A37" s="14" t="s">
        <v>1027</v>
      </c>
      <c r="B37" s="31">
        <v>27157</v>
      </c>
      <c r="C37" s="27" t="s">
        <v>1039</v>
      </c>
      <c r="D37" s="23"/>
    </row>
    <row r="38" spans="1:4" s="14" customFormat="1" ht="15" customHeight="1" x14ac:dyDescent="0.25">
      <c r="A38" s="14" t="s">
        <v>1008</v>
      </c>
      <c r="B38" s="31">
        <v>27157</v>
      </c>
      <c r="C38" s="27" t="s">
        <v>1039</v>
      </c>
      <c r="D38" s="23"/>
    </row>
    <row r="39" spans="1:4" s="14" customFormat="1" ht="15" customHeight="1" x14ac:dyDescent="0.25">
      <c r="A39" s="14" t="s">
        <v>1009</v>
      </c>
      <c r="B39" s="31">
        <v>27157</v>
      </c>
      <c r="C39" s="27" t="s">
        <v>1039</v>
      </c>
      <c r="D39" s="23"/>
    </row>
    <row r="40" spans="1:4" s="14" customFormat="1" ht="15" customHeight="1" x14ac:dyDescent="0.25">
      <c r="A40" s="14" t="s">
        <v>1010</v>
      </c>
      <c r="B40" s="31">
        <v>27157</v>
      </c>
      <c r="C40" s="27" t="s">
        <v>1039</v>
      </c>
      <c r="D40" s="23"/>
    </row>
    <row r="41" spans="1:4" s="14" customFormat="1" ht="15" customHeight="1" x14ac:dyDescent="0.25">
      <c r="A41" s="14" t="s">
        <v>1011</v>
      </c>
      <c r="B41" s="31">
        <v>27335</v>
      </c>
      <c r="C41" s="27" t="s">
        <v>1039</v>
      </c>
      <c r="D41" s="23"/>
    </row>
    <row r="42" spans="1:4" s="14" customFormat="1" ht="15" customHeight="1" x14ac:dyDescent="0.25">
      <c r="A42" s="14" t="s">
        <v>1012</v>
      </c>
      <c r="B42" s="31">
        <v>27335</v>
      </c>
      <c r="C42" s="27" t="s">
        <v>1039</v>
      </c>
      <c r="D42" s="23"/>
    </row>
    <row r="43" spans="1:4" s="14" customFormat="1" ht="15" customHeight="1" x14ac:dyDescent="0.25">
      <c r="A43" s="14" t="s">
        <v>1013</v>
      </c>
      <c r="B43" s="31">
        <v>27424</v>
      </c>
      <c r="C43" s="27" t="s">
        <v>1039</v>
      </c>
      <c r="D43" s="23"/>
    </row>
    <row r="44" spans="1:4" s="14" customFormat="1" ht="15" customHeight="1" x14ac:dyDescent="0.25">
      <c r="A44" s="14" t="s">
        <v>1014</v>
      </c>
      <c r="B44" s="31">
        <v>27424</v>
      </c>
      <c r="C44" s="27" t="s">
        <v>1037</v>
      </c>
      <c r="D44" s="23"/>
    </row>
    <row r="45" spans="1:4" s="14" customFormat="1" ht="15" customHeight="1" x14ac:dyDescent="0.25">
      <c r="A45" s="14" t="s">
        <v>1029</v>
      </c>
      <c r="B45" s="31">
        <v>27504</v>
      </c>
      <c r="C45" s="27">
        <v>44103</v>
      </c>
      <c r="D45" s="23">
        <v>44105</v>
      </c>
    </row>
    <row r="46" spans="1:4" s="14" customFormat="1" ht="15" customHeight="1" x14ac:dyDescent="0.25">
      <c r="A46" s="14" t="s">
        <v>1015</v>
      </c>
      <c r="B46" s="31">
        <v>28381</v>
      </c>
      <c r="C46" s="27" t="s">
        <v>1039</v>
      </c>
      <c r="D46" s="23"/>
    </row>
    <row r="47" spans="1:4" s="14" customFormat="1" ht="15" customHeight="1" x14ac:dyDescent="0.25">
      <c r="A47" s="14" t="s">
        <v>1016</v>
      </c>
      <c r="B47" s="31">
        <v>28381</v>
      </c>
      <c r="C47" s="27" t="s">
        <v>1039</v>
      </c>
      <c r="D47" s="23"/>
    </row>
    <row r="48" spans="1:4" s="14" customFormat="1" ht="15" customHeight="1" x14ac:dyDescent="0.25">
      <c r="A48" s="14" t="s">
        <v>1017</v>
      </c>
      <c r="B48" s="31">
        <v>28381</v>
      </c>
      <c r="C48" s="27" t="s">
        <v>1039</v>
      </c>
      <c r="D48" s="23"/>
    </row>
    <row r="49" spans="1:9" s="14" customFormat="1" ht="15" customHeight="1" x14ac:dyDescent="0.25">
      <c r="A49" s="14" t="s">
        <v>1031</v>
      </c>
      <c r="B49" s="31">
        <v>28381</v>
      </c>
      <c r="C49" s="27" t="s">
        <v>1039</v>
      </c>
      <c r="D49" s="23"/>
    </row>
    <row r="50" spans="1:9" s="14" customFormat="1" ht="15" customHeight="1" x14ac:dyDescent="0.25">
      <c r="A50" s="14" t="s">
        <v>1019</v>
      </c>
      <c r="B50" s="31">
        <v>30333</v>
      </c>
      <c r="C50" s="27" t="s">
        <v>1039</v>
      </c>
      <c r="D50" s="23"/>
    </row>
    <row r="51" spans="1:9" s="14" customFormat="1" ht="15" customHeight="1" x14ac:dyDescent="0.25">
      <c r="A51" s="14" t="s">
        <v>1020</v>
      </c>
      <c r="B51" s="31">
        <v>30863</v>
      </c>
      <c r="C51" s="27" t="s">
        <v>1039</v>
      </c>
      <c r="D51" s="23"/>
    </row>
    <row r="52" spans="1:9" s="14" customFormat="1" ht="15" customHeight="1" x14ac:dyDescent="0.25">
      <c r="A52" s="14" t="s">
        <v>998</v>
      </c>
      <c r="B52" s="31">
        <v>31859</v>
      </c>
      <c r="C52" s="27">
        <v>44082</v>
      </c>
      <c r="D52" s="23" t="s">
        <v>1036</v>
      </c>
    </row>
    <row r="53" spans="1:9" s="14" customFormat="1" ht="15" customHeight="1" x14ac:dyDescent="0.25">
      <c r="A53" s="14" t="s">
        <v>1021</v>
      </c>
      <c r="B53" s="31">
        <v>31957</v>
      </c>
      <c r="C53" s="27" t="s">
        <v>1039</v>
      </c>
      <c r="D53" s="23"/>
    </row>
    <row r="54" spans="1:9" s="14" customFormat="1" ht="15" customHeight="1" x14ac:dyDescent="0.25">
      <c r="A54" s="14" t="s">
        <v>1022</v>
      </c>
      <c r="B54" s="31">
        <v>35347</v>
      </c>
      <c r="C54" s="27" t="s">
        <v>1039</v>
      </c>
      <c r="D54" s="23"/>
    </row>
    <row r="55" spans="1:9" s="14" customFormat="1" ht="15" customHeight="1" x14ac:dyDescent="0.25">
      <c r="A55" s="14" t="s">
        <v>1023</v>
      </c>
      <c r="B55" s="31">
        <v>35614</v>
      </c>
      <c r="C55" s="27" t="s">
        <v>1039</v>
      </c>
      <c r="D55" s="23"/>
    </row>
    <row r="56" spans="1:9" s="14" customFormat="1" ht="15" customHeight="1" x14ac:dyDescent="0.25">
      <c r="A56" s="14" t="s">
        <v>1024</v>
      </c>
      <c r="B56" s="31">
        <v>37228</v>
      </c>
      <c r="C56" s="27" t="s">
        <v>1039</v>
      </c>
      <c r="D56" s="23"/>
    </row>
    <row r="57" spans="1:9" s="14" customFormat="1" ht="15" customHeight="1" x14ac:dyDescent="0.25">
      <c r="A57" s="14" t="s">
        <v>1025</v>
      </c>
      <c r="B57" s="31">
        <v>37228</v>
      </c>
      <c r="C57" s="27" t="s">
        <v>1039</v>
      </c>
      <c r="D57" s="23"/>
    </row>
    <row r="58" spans="1:9" s="14" customFormat="1" ht="15" customHeight="1" x14ac:dyDescent="0.25">
      <c r="A58" s="14" t="s">
        <v>1026</v>
      </c>
      <c r="B58" s="31">
        <v>37495</v>
      </c>
      <c r="C58" s="27" t="s">
        <v>1039</v>
      </c>
      <c r="D58" s="23"/>
    </row>
    <row r="59" spans="1:9" s="14" customFormat="1" ht="15" customHeight="1" x14ac:dyDescent="0.25">
      <c r="A59" s="14" t="s">
        <v>1030</v>
      </c>
      <c r="B59" s="31">
        <v>37406</v>
      </c>
      <c r="C59" s="27" t="s">
        <v>1039</v>
      </c>
      <c r="D59" s="23"/>
    </row>
    <row r="60" spans="1:9" s="14" customFormat="1" ht="15" customHeight="1" x14ac:dyDescent="0.25">
      <c r="A60" s="14" t="s">
        <v>1006</v>
      </c>
      <c r="B60" s="31">
        <v>40686</v>
      </c>
      <c r="C60" s="27" t="s">
        <v>1033</v>
      </c>
      <c r="D60" s="23" t="s">
        <v>1034</v>
      </c>
      <c r="H60" s="16"/>
    </row>
    <row r="61" spans="1:9" s="14" customFormat="1" ht="15" customHeight="1" x14ac:dyDescent="0.25">
      <c r="B61" s="31"/>
      <c r="C61" s="27"/>
      <c r="D61" s="23"/>
    </row>
    <row r="62" spans="1:9" s="14" customFormat="1" ht="15" customHeight="1" x14ac:dyDescent="0.25">
      <c r="B62" s="31">
        <f>SUM(B35:B61)</f>
        <v>788469</v>
      </c>
      <c r="C62" s="16"/>
      <c r="D62" s="21"/>
      <c r="E62" s="21"/>
      <c r="F62" s="21"/>
    </row>
    <row r="63" spans="1:9" s="16" customFormat="1" ht="15" customHeight="1" x14ac:dyDescent="0.25">
      <c r="A63" s="18" t="s">
        <v>1</v>
      </c>
      <c r="B63" s="19">
        <f>B62+B33</f>
        <v>69103</v>
      </c>
      <c r="D63" s="23"/>
      <c r="E63" s="21"/>
      <c r="F63" s="21"/>
      <c r="G63" s="21"/>
    </row>
    <row r="64" spans="1:9" s="16" customFormat="1" ht="15" customHeight="1" x14ac:dyDescent="0.25">
      <c r="A64" s="14" t="s">
        <v>0</v>
      </c>
      <c r="B64" s="15">
        <f>B63-B7</f>
        <v>0</v>
      </c>
      <c r="D64" s="23"/>
      <c r="E64" s="14"/>
      <c r="F64" s="14"/>
      <c r="G64" s="14"/>
      <c r="H64" s="14"/>
      <c r="I64" s="14"/>
    </row>
    <row r="65" spans="1:9" s="16" customFormat="1" ht="15" customHeight="1" x14ac:dyDescent="0.3">
      <c r="A65" s="1"/>
      <c r="B65" s="3"/>
      <c r="C65" s="2"/>
      <c r="D65" s="23"/>
      <c r="E65" s="14"/>
      <c r="F65" s="14"/>
      <c r="G65" s="14"/>
      <c r="H65" s="14"/>
      <c r="I65" s="14"/>
    </row>
    <row r="66" spans="1:9" s="16" customFormat="1" ht="15" customHeight="1" x14ac:dyDescent="0.3">
      <c r="A66" s="1"/>
      <c r="B66" s="3"/>
      <c r="C66" s="2"/>
      <c r="D66" s="29"/>
      <c r="E66" s="14"/>
      <c r="F66" s="14"/>
      <c r="G66" s="14"/>
      <c r="H66" s="14"/>
      <c r="I66" s="14"/>
    </row>
    <row r="67" spans="1:9" s="2" customFormat="1" ht="20.100000000000001" customHeight="1" x14ac:dyDescent="0.3">
      <c r="A67"/>
      <c r="B67" s="10"/>
      <c r="D67" s="29"/>
      <c r="E67" s="1"/>
      <c r="F67" s="1"/>
      <c r="G67" s="1"/>
      <c r="H67" s="1"/>
      <c r="I67" s="1"/>
    </row>
    <row r="68" spans="1:9" s="2" customFormat="1" ht="20.100000000000001" customHeight="1" x14ac:dyDescent="0.3">
      <c r="A68"/>
      <c r="B68" s="10"/>
      <c r="D68" s="29"/>
      <c r="E68" s="1"/>
      <c r="F68" s="1"/>
      <c r="G68" s="1"/>
      <c r="H68" s="1"/>
      <c r="I68" s="1"/>
    </row>
    <row r="69" spans="1:9" s="2" customFormat="1" ht="20.100000000000001" customHeight="1" x14ac:dyDescent="0.3">
      <c r="A69"/>
      <c r="B69" s="10"/>
      <c r="D69" s="29"/>
      <c r="E69" s="1"/>
      <c r="F69" s="1"/>
      <c r="G69" s="1"/>
      <c r="H69" s="1"/>
      <c r="I69" s="1"/>
    </row>
    <row r="70" spans="1:9" s="2" customFormat="1" ht="20.100000000000001" customHeight="1" x14ac:dyDescent="0.3">
      <c r="A70"/>
      <c r="B70" s="10"/>
      <c r="D70" s="29"/>
      <c r="E70" s="1"/>
      <c r="F70" s="1"/>
      <c r="G70" s="1"/>
      <c r="H70" s="1"/>
      <c r="I70" s="1"/>
    </row>
    <row r="71" spans="1:9" s="2" customFormat="1" ht="20.100000000000001" customHeight="1" x14ac:dyDescent="0.3">
      <c r="A71"/>
      <c r="B71" s="10"/>
      <c r="D71" s="29"/>
      <c r="E71" s="1"/>
      <c r="F71" s="1"/>
      <c r="G71" s="1"/>
      <c r="H71" s="1"/>
      <c r="I71" s="1"/>
    </row>
    <row r="72" spans="1:9" s="2" customFormat="1" ht="20.100000000000001" customHeight="1" x14ac:dyDescent="0.3">
      <c r="A72"/>
      <c r="B72" s="10"/>
      <c r="D72" s="29"/>
      <c r="E72" s="1"/>
      <c r="F72" s="1"/>
      <c r="G72" s="1"/>
      <c r="H72" s="1"/>
      <c r="I72" s="1"/>
    </row>
  </sheetData>
  <pageMargins left="0.7" right="0.7" top="0.75" bottom="0.75" header="0.3" footer="0.3"/>
  <pageSetup scale="73" fitToWidth="0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I45"/>
  <sheetViews>
    <sheetView workbookViewId="0">
      <selection activeCell="A33" sqref="A33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5.5703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44104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6058318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-6602218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-6602218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-543900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1042</v>
      </c>
      <c r="B9" s="31">
        <v>-21150</v>
      </c>
      <c r="C9" s="27">
        <v>44134</v>
      </c>
      <c r="D9" s="23">
        <v>44138</v>
      </c>
    </row>
    <row r="10" spans="1:4" s="14" customFormat="1" ht="15" customHeight="1" x14ac:dyDescent="0.25">
      <c r="A10" s="14" t="s">
        <v>1043</v>
      </c>
      <c r="B10" s="31">
        <v>-26373</v>
      </c>
      <c r="C10" s="27">
        <v>44134</v>
      </c>
      <c r="D10" s="23">
        <v>44138</v>
      </c>
    </row>
    <row r="11" spans="1:4" s="14" customFormat="1" ht="15" customHeight="1" x14ac:dyDescent="0.25">
      <c r="A11" s="14" t="s">
        <v>1044</v>
      </c>
      <c r="B11" s="31">
        <v>-27278</v>
      </c>
      <c r="C11" s="27">
        <v>44134</v>
      </c>
      <c r="D11" s="23">
        <v>44138</v>
      </c>
    </row>
    <row r="12" spans="1:4" s="14" customFormat="1" ht="15" customHeight="1" x14ac:dyDescent="0.25">
      <c r="A12" s="14" t="s">
        <v>1045</v>
      </c>
      <c r="B12" s="31">
        <v>-27333</v>
      </c>
      <c r="C12" s="27">
        <v>44134</v>
      </c>
      <c r="D12" s="23">
        <v>44138</v>
      </c>
    </row>
    <row r="13" spans="1:4" s="14" customFormat="1" ht="15" customHeight="1" x14ac:dyDescent="0.25">
      <c r="A13" s="14" t="s">
        <v>1046</v>
      </c>
      <c r="B13" s="31">
        <v>-27630</v>
      </c>
      <c r="C13" s="27">
        <v>44134</v>
      </c>
      <c r="D13" s="23">
        <v>44138</v>
      </c>
    </row>
    <row r="14" spans="1:4" s="14" customFormat="1" ht="15" customHeight="1" x14ac:dyDescent="0.25">
      <c r="A14" s="14" t="s">
        <v>1047</v>
      </c>
      <c r="B14" s="31">
        <v>-30322</v>
      </c>
      <c r="C14" s="27">
        <v>44134</v>
      </c>
      <c r="D14" s="23">
        <v>44138</v>
      </c>
    </row>
    <row r="15" spans="1:4" s="14" customFormat="1" ht="15" customHeight="1" x14ac:dyDescent="0.25">
      <c r="A15" s="14" t="s">
        <v>1048</v>
      </c>
      <c r="B15" s="31">
        <v>-30377</v>
      </c>
      <c r="C15" s="27">
        <v>44134</v>
      </c>
      <c r="D15" s="23">
        <v>44138</v>
      </c>
    </row>
    <row r="16" spans="1:4" s="14" customFormat="1" ht="15" customHeight="1" x14ac:dyDescent="0.25">
      <c r="A16" s="14" t="s">
        <v>1049</v>
      </c>
      <c r="B16" s="31">
        <v>-30674</v>
      </c>
      <c r="C16" s="27">
        <v>44134</v>
      </c>
      <c r="D16" s="23">
        <v>44138</v>
      </c>
    </row>
    <row r="17" spans="1:4" s="14" customFormat="1" ht="15" customHeight="1" x14ac:dyDescent="0.25">
      <c r="A17" s="14" t="s">
        <v>1050</v>
      </c>
      <c r="B17" s="31">
        <v>-30763</v>
      </c>
      <c r="C17" s="27">
        <v>44134</v>
      </c>
      <c r="D17" s="23">
        <v>44138</v>
      </c>
    </row>
    <row r="18" spans="1:4" s="14" customFormat="1" ht="15" customHeight="1" x14ac:dyDescent="0.25">
      <c r="A18" s="14" t="s">
        <v>1051</v>
      </c>
      <c r="B18" s="31">
        <v>-30852</v>
      </c>
      <c r="C18" s="27">
        <v>44134</v>
      </c>
      <c r="D18" s="23">
        <v>44138</v>
      </c>
    </row>
    <row r="19" spans="1:4" s="14" customFormat="1" ht="15" customHeight="1" x14ac:dyDescent="0.25">
      <c r="A19" s="14" t="s">
        <v>1052</v>
      </c>
      <c r="B19" s="31">
        <v>-31823</v>
      </c>
      <c r="C19" s="27">
        <v>44134</v>
      </c>
      <c r="D19" s="23">
        <v>44138</v>
      </c>
    </row>
    <row r="20" spans="1:4" s="14" customFormat="1" ht="15" customHeight="1" x14ac:dyDescent="0.25">
      <c r="A20" s="14" t="s">
        <v>1053</v>
      </c>
      <c r="B20" s="31">
        <v>-32120</v>
      </c>
      <c r="C20" s="27">
        <v>44134</v>
      </c>
      <c r="D20" s="23">
        <v>44138</v>
      </c>
    </row>
    <row r="21" spans="1:4" s="14" customFormat="1" ht="15" customHeight="1" x14ac:dyDescent="0.25">
      <c r="A21" s="14" t="s">
        <v>1054</v>
      </c>
      <c r="B21" s="31">
        <v>-32264</v>
      </c>
      <c r="C21" s="27">
        <v>44134</v>
      </c>
      <c r="D21" s="17">
        <v>44138</v>
      </c>
    </row>
    <row r="22" spans="1:4" s="14" customFormat="1" ht="15" customHeight="1" x14ac:dyDescent="0.25">
      <c r="A22" s="14" t="s">
        <v>1055</v>
      </c>
      <c r="B22" s="31">
        <v>-33168</v>
      </c>
      <c r="C22" s="27">
        <v>44134</v>
      </c>
      <c r="D22" s="17">
        <v>44138</v>
      </c>
    </row>
    <row r="23" spans="1:4" s="14" customFormat="1" ht="15" customHeight="1" x14ac:dyDescent="0.25">
      <c r="A23" s="14" t="s">
        <v>1056</v>
      </c>
      <c r="B23" s="31">
        <v>-35011</v>
      </c>
      <c r="C23" s="27">
        <v>44134</v>
      </c>
      <c r="D23" s="17">
        <v>44138</v>
      </c>
    </row>
    <row r="24" spans="1:4" s="14" customFormat="1" ht="15" customHeight="1" x14ac:dyDescent="0.25">
      <c r="A24" s="14" t="s">
        <v>1057</v>
      </c>
      <c r="B24" s="31">
        <v>-35397</v>
      </c>
      <c r="C24" s="27">
        <v>44134</v>
      </c>
      <c r="D24" s="17">
        <v>44138</v>
      </c>
    </row>
    <row r="25" spans="1:4" s="14" customFormat="1" ht="15" customHeight="1" x14ac:dyDescent="0.25">
      <c r="A25" s="14" t="s">
        <v>1058</v>
      </c>
      <c r="B25" s="31">
        <v>-37399</v>
      </c>
      <c r="C25" s="27">
        <v>44134</v>
      </c>
      <c r="D25" s="17">
        <v>44138</v>
      </c>
    </row>
    <row r="26" spans="1:4" s="14" customFormat="1" ht="15" customHeight="1" x14ac:dyDescent="0.25">
      <c r="A26" s="14" t="s">
        <v>1059</v>
      </c>
      <c r="B26" s="31">
        <v>-40775</v>
      </c>
      <c r="C26" s="27">
        <v>44134</v>
      </c>
      <c r="D26" s="17">
        <v>44137</v>
      </c>
    </row>
    <row r="27" spans="1:4" s="14" customFormat="1" ht="15" customHeight="1" x14ac:dyDescent="0.25">
      <c r="A27" s="14" t="s">
        <v>1060</v>
      </c>
      <c r="B27" s="31">
        <v>-40775</v>
      </c>
      <c r="C27" s="27">
        <v>44134</v>
      </c>
      <c r="D27" s="17">
        <v>44138</v>
      </c>
    </row>
    <row r="28" spans="1:4" s="14" customFormat="1" ht="15" customHeight="1" x14ac:dyDescent="0.25">
      <c r="B28" s="31"/>
      <c r="C28" s="27"/>
      <c r="D28" s="17"/>
    </row>
    <row r="29" spans="1:4" s="14" customFormat="1" ht="15" customHeight="1" x14ac:dyDescent="0.25">
      <c r="B29" s="31">
        <f>SUM(B9:B28)</f>
        <v>-601484</v>
      </c>
      <c r="C29" s="16"/>
      <c r="D29" s="23"/>
    </row>
    <row r="30" spans="1:4" s="14" customFormat="1" ht="15" customHeight="1" x14ac:dyDescent="0.25">
      <c r="A30" s="14" t="s">
        <v>2</v>
      </c>
      <c r="B30" s="31"/>
      <c r="C30" s="26" t="s">
        <v>730</v>
      </c>
      <c r="D30" s="28" t="s">
        <v>829</v>
      </c>
    </row>
    <row r="31" spans="1:4" s="14" customFormat="1" ht="15" customHeight="1" x14ac:dyDescent="0.25">
      <c r="A31" s="14" t="s">
        <v>1061</v>
      </c>
      <c r="B31" s="31">
        <v>25700</v>
      </c>
      <c r="C31" s="27">
        <v>44111</v>
      </c>
      <c r="D31" s="23">
        <v>44148</v>
      </c>
    </row>
    <row r="32" spans="1:4" s="14" customFormat="1" ht="15" customHeight="1" x14ac:dyDescent="0.25">
      <c r="A32" s="14" t="s">
        <v>1062</v>
      </c>
      <c r="B32" s="31">
        <v>31884</v>
      </c>
      <c r="C32" s="27">
        <v>44111</v>
      </c>
      <c r="D32" s="23">
        <v>44148</v>
      </c>
    </row>
    <row r="33" spans="1:9" s="14" customFormat="1" ht="15" customHeight="1" x14ac:dyDescent="0.25">
      <c r="B33" s="31"/>
      <c r="C33" s="27"/>
      <c r="D33" s="23"/>
    </row>
    <row r="34" spans="1:9" s="14" customFormat="1" ht="15" customHeight="1" x14ac:dyDescent="0.25">
      <c r="B34" s="31"/>
      <c r="C34" s="27"/>
      <c r="D34" s="23"/>
    </row>
    <row r="35" spans="1:9" s="14" customFormat="1" ht="15" customHeight="1" x14ac:dyDescent="0.25">
      <c r="B35" s="31">
        <f>SUM(B31:B34)</f>
        <v>57584</v>
      </c>
      <c r="C35" s="16"/>
      <c r="D35" s="21"/>
      <c r="E35" s="21"/>
      <c r="F35" s="21"/>
    </row>
    <row r="36" spans="1:9" s="16" customFormat="1" ht="15" customHeight="1" x14ac:dyDescent="0.25">
      <c r="A36" s="18" t="s">
        <v>1</v>
      </c>
      <c r="B36" s="19">
        <f>B35+B29</f>
        <v>-543900</v>
      </c>
      <c r="D36" s="23"/>
      <c r="E36" s="21"/>
      <c r="F36" s="21"/>
      <c r="G36" s="21"/>
    </row>
    <row r="37" spans="1:9" s="16" customFormat="1" ht="15" customHeight="1" x14ac:dyDescent="0.25">
      <c r="A37" s="14" t="s">
        <v>0</v>
      </c>
      <c r="B37" s="15">
        <f>B36-B7</f>
        <v>0</v>
      </c>
      <c r="D37" s="23"/>
      <c r="E37" s="14"/>
      <c r="F37" s="14"/>
      <c r="G37" s="14"/>
      <c r="H37" s="14"/>
      <c r="I37" s="14"/>
    </row>
    <row r="38" spans="1:9" s="16" customFormat="1" ht="15" customHeight="1" x14ac:dyDescent="0.3">
      <c r="A38" s="1"/>
      <c r="B38" s="3"/>
      <c r="C38" s="2"/>
      <c r="D38" s="23"/>
      <c r="E38" s="14"/>
      <c r="F38" s="14"/>
      <c r="G38" s="14"/>
      <c r="H38" s="14"/>
      <c r="I38" s="14"/>
    </row>
    <row r="39" spans="1:9" s="16" customFormat="1" ht="15" customHeight="1" x14ac:dyDescent="0.3">
      <c r="A39" s="1"/>
      <c r="B39" s="3"/>
      <c r="C39" s="2"/>
      <c r="D39" s="29"/>
      <c r="E39" s="14"/>
      <c r="F39" s="14"/>
      <c r="G39" s="14"/>
      <c r="H39" s="14"/>
      <c r="I39" s="14"/>
    </row>
    <row r="40" spans="1:9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  <row r="41" spans="1:9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  <row r="42" spans="1:9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  <row r="43" spans="1:9" s="2" customFormat="1" ht="20.100000000000001" customHeight="1" x14ac:dyDescent="0.3">
      <c r="A43"/>
      <c r="B43" s="10"/>
      <c r="D43" s="29"/>
      <c r="E43" s="1"/>
      <c r="F43" s="1"/>
      <c r="G43" s="1"/>
      <c r="H43" s="1"/>
      <c r="I43" s="1"/>
    </row>
    <row r="44" spans="1:9" s="2" customFormat="1" ht="20.100000000000001" customHeight="1" x14ac:dyDescent="0.3">
      <c r="A44"/>
      <c r="B44" s="10"/>
      <c r="D44" s="29"/>
      <c r="E44" s="1"/>
      <c r="F44" s="1"/>
      <c r="G44" s="1"/>
      <c r="H44" s="1"/>
      <c r="I44" s="1"/>
    </row>
    <row r="45" spans="1:9" s="2" customFormat="1" ht="20.100000000000001" customHeight="1" x14ac:dyDescent="0.3">
      <c r="A45"/>
      <c r="B45" s="10"/>
      <c r="D45" s="29"/>
      <c r="E45" s="1"/>
      <c r="F45" s="1"/>
      <c r="G45" s="1"/>
      <c r="H45" s="1"/>
      <c r="I45" s="1"/>
    </row>
  </sheetData>
  <pageMargins left="0.7" right="0.7" top="0.75" bottom="0.75" header="0.3" footer="0.3"/>
  <pageSetup fitToWidth="0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I37"/>
  <sheetViews>
    <sheetView workbookViewId="0">
      <selection activeCell="C11" sqref="C11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5.5703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44165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7342378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-7402820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-7402820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-60442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1063</v>
      </c>
      <c r="B9" s="31">
        <v>-28619</v>
      </c>
      <c r="C9" s="27">
        <v>44165</v>
      </c>
      <c r="D9" s="23">
        <v>44166</v>
      </c>
    </row>
    <row r="10" spans="1:4" s="14" customFormat="1" ht="15" customHeight="1" x14ac:dyDescent="0.25">
      <c r="A10" s="14" t="s">
        <v>1064</v>
      </c>
      <c r="B10" s="31">
        <v>-31823</v>
      </c>
      <c r="C10" s="27">
        <v>44165</v>
      </c>
      <c r="D10" s="23">
        <v>44167</v>
      </c>
    </row>
    <row r="11" spans="1:4" s="14" customFormat="1" ht="15" customHeight="1" x14ac:dyDescent="0.25">
      <c r="B11" s="31"/>
      <c r="C11" s="27"/>
      <c r="D11" s="23"/>
    </row>
    <row r="12" spans="1:4" s="14" customFormat="1" ht="15" customHeight="1" x14ac:dyDescent="0.25">
      <c r="B12" s="31"/>
      <c r="C12" s="27"/>
      <c r="D12" s="23"/>
    </row>
    <row r="13" spans="1:4" s="14" customFormat="1" ht="15" customHeight="1" x14ac:dyDescent="0.25">
      <c r="B13" s="31"/>
      <c r="C13" s="27"/>
      <c r="D13" s="23"/>
    </row>
    <row r="14" spans="1:4" s="14" customFormat="1" ht="15" customHeight="1" x14ac:dyDescent="0.25">
      <c r="B14" s="31"/>
      <c r="C14" s="27"/>
      <c r="D14" s="17"/>
    </row>
    <row r="15" spans="1:4" s="14" customFormat="1" ht="15" customHeight="1" x14ac:dyDescent="0.25">
      <c r="B15" s="31"/>
      <c r="C15" s="27"/>
      <c r="D15" s="17"/>
    </row>
    <row r="16" spans="1:4" s="14" customFormat="1" ht="15" customHeight="1" x14ac:dyDescent="0.25">
      <c r="B16" s="31"/>
      <c r="C16" s="27"/>
      <c r="D16" s="17"/>
    </row>
    <row r="17" spans="1:9" s="14" customFormat="1" ht="15" customHeight="1" x14ac:dyDescent="0.25">
      <c r="B17" s="31"/>
      <c r="C17" s="27"/>
      <c r="D17" s="17"/>
    </row>
    <row r="18" spans="1:9" s="14" customFormat="1" ht="15" customHeight="1" x14ac:dyDescent="0.25">
      <c r="B18" s="31"/>
      <c r="C18" s="27"/>
      <c r="D18" s="17"/>
    </row>
    <row r="19" spans="1:9" s="14" customFormat="1" ht="15" customHeight="1" x14ac:dyDescent="0.25">
      <c r="B19" s="31"/>
      <c r="C19" s="27"/>
      <c r="D19" s="17"/>
    </row>
    <row r="20" spans="1:9" s="14" customFormat="1" ht="15" customHeight="1" x14ac:dyDescent="0.25">
      <c r="B20" s="31"/>
      <c r="C20" s="27"/>
      <c r="D20" s="17"/>
    </row>
    <row r="21" spans="1:9" s="14" customFormat="1" ht="15" customHeight="1" x14ac:dyDescent="0.25">
      <c r="B21" s="31">
        <f>SUM(B9:B20)</f>
        <v>-60442</v>
      </c>
      <c r="C21" s="16"/>
      <c r="D21" s="23"/>
    </row>
    <row r="22" spans="1:9" s="14" customFormat="1" ht="15" customHeight="1" x14ac:dyDescent="0.25">
      <c r="A22" s="14" t="s">
        <v>2</v>
      </c>
      <c r="B22" s="31"/>
      <c r="C22" s="26" t="s">
        <v>730</v>
      </c>
      <c r="D22" s="28" t="s">
        <v>829</v>
      </c>
    </row>
    <row r="23" spans="1:9" s="14" customFormat="1" ht="15" customHeight="1" x14ac:dyDescent="0.25">
      <c r="B23" s="31"/>
      <c r="C23" s="27"/>
      <c r="D23" s="23"/>
    </row>
    <row r="24" spans="1:9" s="14" customFormat="1" ht="15" customHeight="1" x14ac:dyDescent="0.25">
      <c r="B24" s="31"/>
      <c r="C24" s="27"/>
      <c r="D24" s="23"/>
    </row>
    <row r="25" spans="1:9" s="14" customFormat="1" ht="15" customHeight="1" x14ac:dyDescent="0.25">
      <c r="B25" s="31"/>
      <c r="C25" s="27"/>
      <c r="D25" s="23"/>
    </row>
    <row r="26" spans="1:9" s="14" customFormat="1" ht="15" customHeight="1" x14ac:dyDescent="0.25">
      <c r="B26" s="31"/>
      <c r="C26" s="27"/>
      <c r="D26" s="23"/>
    </row>
    <row r="27" spans="1:9" s="14" customFormat="1" ht="15" customHeight="1" x14ac:dyDescent="0.25">
      <c r="B27" s="31">
        <f>SUM(B23:B26)</f>
        <v>0</v>
      </c>
      <c r="C27" s="16"/>
      <c r="D27" s="21"/>
      <c r="E27" s="21"/>
      <c r="F27" s="21"/>
    </row>
    <row r="28" spans="1:9" s="16" customFormat="1" ht="15" customHeight="1" x14ac:dyDescent="0.25">
      <c r="A28" s="18" t="s">
        <v>1</v>
      </c>
      <c r="B28" s="19">
        <f>B27+B21</f>
        <v>-60442</v>
      </c>
      <c r="D28" s="23"/>
      <c r="E28" s="21"/>
      <c r="F28" s="21"/>
      <c r="G28" s="21"/>
    </row>
    <row r="29" spans="1:9" s="16" customFormat="1" ht="15" customHeight="1" x14ac:dyDescent="0.25">
      <c r="A29" s="14" t="s">
        <v>0</v>
      </c>
      <c r="B29" s="15">
        <f>B28-B7</f>
        <v>0</v>
      </c>
      <c r="D29" s="23"/>
      <c r="E29" s="14"/>
      <c r="F29" s="14"/>
      <c r="G29" s="14"/>
      <c r="H29" s="14"/>
      <c r="I29" s="14"/>
    </row>
    <row r="30" spans="1:9" s="16" customFormat="1" ht="15" customHeight="1" x14ac:dyDescent="0.3">
      <c r="A30" s="1"/>
      <c r="B30" s="3"/>
      <c r="C30" s="2"/>
      <c r="D30" s="23"/>
      <c r="E30" s="14"/>
      <c r="F30" s="14"/>
      <c r="G30" s="14"/>
      <c r="H30" s="14"/>
      <c r="I30" s="14"/>
    </row>
    <row r="31" spans="1:9" s="16" customFormat="1" ht="15" customHeight="1" x14ac:dyDescent="0.3">
      <c r="A31" s="1"/>
      <c r="B31" s="3"/>
      <c r="C31" s="2"/>
      <c r="D31" s="29"/>
      <c r="E31" s="14"/>
      <c r="F31" s="14"/>
      <c r="G31" s="14"/>
      <c r="H31" s="14"/>
      <c r="I31" s="14"/>
    </row>
    <row r="32" spans="1:9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</sheetData>
  <pageMargins left="0.7" right="0.7" top="0.75" bottom="0.75" header="0.3" footer="0.3"/>
  <pageSetup fitToWidth="0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I32"/>
  <sheetViews>
    <sheetView workbookViewId="0">
      <selection activeCell="C19" sqref="C19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5.5703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44196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6849422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-6824756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-6824756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24666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B9" s="31"/>
      <c r="C9" s="27"/>
      <c r="D9" s="23"/>
    </row>
    <row r="10" spans="1:4" s="14" customFormat="1" ht="15" customHeight="1" x14ac:dyDescent="0.25">
      <c r="B10" s="31"/>
      <c r="C10" s="27"/>
      <c r="D10" s="17"/>
    </row>
    <row r="11" spans="1:4" s="14" customFormat="1" ht="15" customHeight="1" x14ac:dyDescent="0.25">
      <c r="B11" s="31"/>
      <c r="C11" s="27"/>
      <c r="D11" s="17"/>
    </row>
    <row r="12" spans="1:4" s="14" customFormat="1" ht="15" customHeight="1" x14ac:dyDescent="0.25">
      <c r="B12" s="31"/>
      <c r="C12" s="27"/>
      <c r="D12" s="17"/>
    </row>
    <row r="13" spans="1:4" s="14" customFormat="1" ht="15" customHeight="1" x14ac:dyDescent="0.25">
      <c r="B13" s="31"/>
      <c r="C13" s="27"/>
      <c r="D13" s="17"/>
    </row>
    <row r="14" spans="1:4" s="14" customFormat="1" ht="15" customHeight="1" x14ac:dyDescent="0.25">
      <c r="B14" s="31"/>
      <c r="C14" s="27"/>
      <c r="D14" s="17"/>
    </row>
    <row r="15" spans="1:4" s="14" customFormat="1" ht="15" customHeight="1" x14ac:dyDescent="0.25">
      <c r="B15" s="31"/>
      <c r="C15" s="27"/>
      <c r="D15" s="17"/>
    </row>
    <row r="16" spans="1:4" s="14" customFormat="1" ht="15" customHeight="1" x14ac:dyDescent="0.25">
      <c r="B16" s="31">
        <f>SUM(B9:B15)</f>
        <v>0</v>
      </c>
      <c r="C16" s="16"/>
      <c r="D16" s="23"/>
    </row>
    <row r="17" spans="1:9" s="14" customFormat="1" ht="15" customHeight="1" x14ac:dyDescent="0.25">
      <c r="A17" s="14" t="s">
        <v>2</v>
      </c>
      <c r="B17" s="31"/>
      <c r="C17" s="26" t="s">
        <v>730</v>
      </c>
      <c r="D17" s="28" t="s">
        <v>829</v>
      </c>
    </row>
    <row r="18" spans="1:9" s="14" customFormat="1" ht="15" customHeight="1" x14ac:dyDescent="0.25">
      <c r="A18" s="14" t="s">
        <v>1065</v>
      </c>
      <c r="B18" s="31">
        <v>24666</v>
      </c>
      <c r="C18" s="27">
        <v>44193</v>
      </c>
      <c r="D18" s="23">
        <v>44201</v>
      </c>
    </row>
    <row r="19" spans="1:9" s="14" customFormat="1" ht="15" customHeight="1" x14ac:dyDescent="0.25">
      <c r="B19" s="31"/>
      <c r="C19" s="27"/>
      <c r="D19" s="23"/>
    </row>
    <row r="20" spans="1:9" s="14" customFormat="1" ht="15" customHeight="1" x14ac:dyDescent="0.25">
      <c r="B20" s="31"/>
      <c r="C20" s="27"/>
      <c r="D20" s="23"/>
    </row>
    <row r="21" spans="1:9" s="14" customFormat="1" ht="15" customHeight="1" x14ac:dyDescent="0.25">
      <c r="B21" s="31"/>
      <c r="C21" s="27"/>
      <c r="D21" s="23"/>
    </row>
    <row r="22" spans="1:9" s="14" customFormat="1" ht="15" customHeight="1" x14ac:dyDescent="0.25">
      <c r="B22" s="31">
        <f>SUM(B18:B21)</f>
        <v>24666</v>
      </c>
      <c r="C22" s="16"/>
      <c r="D22" s="21"/>
      <c r="E22" s="21"/>
      <c r="F22" s="21"/>
    </row>
    <row r="23" spans="1:9" s="16" customFormat="1" ht="15" customHeight="1" x14ac:dyDescent="0.25">
      <c r="A23" s="18" t="s">
        <v>1</v>
      </c>
      <c r="B23" s="19">
        <f>B22+B16</f>
        <v>24666</v>
      </c>
      <c r="D23" s="23"/>
      <c r="E23" s="21"/>
      <c r="F23" s="21"/>
      <c r="G23" s="21"/>
    </row>
    <row r="24" spans="1:9" s="16" customFormat="1" ht="15" customHeight="1" x14ac:dyDescent="0.25">
      <c r="A24" s="14" t="s">
        <v>0</v>
      </c>
      <c r="B24" s="15">
        <f>B23-B7</f>
        <v>0</v>
      </c>
      <c r="D24" s="23"/>
      <c r="E24" s="14"/>
      <c r="F24" s="14"/>
      <c r="G24" s="14"/>
      <c r="H24" s="14"/>
      <c r="I24" s="14"/>
    </row>
    <row r="25" spans="1:9" s="16" customFormat="1" ht="15" customHeight="1" x14ac:dyDescent="0.3">
      <c r="A25" s="1"/>
      <c r="B25" s="3"/>
      <c r="C25" s="2"/>
      <c r="D25" s="23"/>
      <c r="E25" s="14"/>
      <c r="F25" s="14"/>
      <c r="G25" s="14"/>
      <c r="H25" s="14"/>
      <c r="I25" s="14"/>
    </row>
    <row r="26" spans="1:9" s="16" customFormat="1" ht="15" customHeight="1" x14ac:dyDescent="0.3">
      <c r="A26" s="1"/>
      <c r="B26" s="3"/>
      <c r="C26" s="2"/>
      <c r="D26" s="29"/>
      <c r="E26" s="14"/>
      <c r="F26" s="14"/>
      <c r="G26" s="14"/>
      <c r="H26" s="14"/>
      <c r="I26" s="14"/>
    </row>
    <row r="27" spans="1:9" s="2" customFormat="1" ht="20.100000000000001" customHeight="1" x14ac:dyDescent="0.3">
      <c r="A27"/>
      <c r="B27" s="10"/>
      <c r="D27" s="29"/>
      <c r="E27" s="1"/>
      <c r="F27" s="1"/>
      <c r="G27" s="1"/>
      <c r="H27" s="1"/>
      <c r="I27" s="1"/>
    </row>
    <row r="28" spans="1:9" s="2" customFormat="1" ht="20.100000000000001" customHeight="1" x14ac:dyDescent="0.3">
      <c r="A28"/>
      <c r="B28" s="10"/>
      <c r="D28" s="29"/>
      <c r="E28" s="1"/>
      <c r="F28" s="1"/>
      <c r="G28" s="1"/>
      <c r="H28" s="1"/>
      <c r="I28" s="1"/>
    </row>
    <row r="29" spans="1:9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  <row r="30" spans="1:9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9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9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</sheetData>
  <pageMargins left="0.7" right="0.7" top="0.75" bottom="0.75" header="0.3" footer="0.3"/>
  <pageSetup fitToWidth="0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I31"/>
  <sheetViews>
    <sheetView workbookViewId="0">
      <selection activeCell="B6" sqref="B6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5.5703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44255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4746710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-4746710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-4746710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0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B9" s="31"/>
      <c r="C9" s="27"/>
      <c r="D9" s="23"/>
    </row>
    <row r="10" spans="1:4" s="14" customFormat="1" ht="15" customHeight="1" x14ac:dyDescent="0.25">
      <c r="B10" s="31"/>
      <c r="C10" s="27"/>
      <c r="D10" s="17"/>
    </row>
    <row r="11" spans="1:4" s="14" customFormat="1" ht="15" customHeight="1" x14ac:dyDescent="0.25">
      <c r="B11" s="31"/>
      <c r="C11" s="27"/>
      <c r="D11" s="17"/>
    </row>
    <row r="12" spans="1:4" s="14" customFormat="1" ht="15" customHeight="1" x14ac:dyDescent="0.25">
      <c r="B12" s="31"/>
      <c r="C12" s="27"/>
      <c r="D12" s="17"/>
    </row>
    <row r="13" spans="1:4" s="14" customFormat="1" ht="15" customHeight="1" x14ac:dyDescent="0.25">
      <c r="B13" s="31"/>
      <c r="C13" s="27"/>
      <c r="D13" s="17"/>
    </row>
    <row r="14" spans="1:4" s="14" customFormat="1" ht="15" customHeight="1" x14ac:dyDescent="0.25">
      <c r="B14" s="31"/>
      <c r="C14" s="27"/>
      <c r="D14" s="17"/>
    </row>
    <row r="15" spans="1:4" s="14" customFormat="1" ht="15" customHeight="1" x14ac:dyDescent="0.25">
      <c r="B15" s="31"/>
      <c r="C15" s="27"/>
      <c r="D15" s="17"/>
    </row>
    <row r="16" spans="1:4" s="14" customFormat="1" ht="15" customHeight="1" x14ac:dyDescent="0.25">
      <c r="B16" s="31">
        <f>SUM(B9:B15)</f>
        <v>0</v>
      </c>
      <c r="C16" s="16"/>
      <c r="D16" s="23"/>
    </row>
    <row r="17" spans="1:9" s="14" customFormat="1" ht="15" customHeight="1" x14ac:dyDescent="0.25">
      <c r="A17" s="14" t="s">
        <v>2</v>
      </c>
      <c r="B17" s="31"/>
      <c r="C17" s="26" t="s">
        <v>730</v>
      </c>
      <c r="D17" s="28" t="s">
        <v>829</v>
      </c>
    </row>
    <row r="18" spans="1:9" s="14" customFormat="1" ht="15" customHeight="1" x14ac:dyDescent="0.25">
      <c r="B18" s="31"/>
      <c r="C18" s="27"/>
      <c r="D18" s="23"/>
    </row>
    <row r="19" spans="1:9" s="14" customFormat="1" ht="15" customHeight="1" x14ac:dyDescent="0.25">
      <c r="B19" s="31"/>
      <c r="C19" s="27"/>
      <c r="D19" s="23"/>
    </row>
    <row r="20" spans="1:9" s="14" customFormat="1" ht="15" customHeight="1" x14ac:dyDescent="0.25">
      <c r="B20" s="31"/>
      <c r="C20" s="27"/>
      <c r="D20" s="23"/>
    </row>
    <row r="21" spans="1:9" s="14" customFormat="1" ht="15" customHeight="1" x14ac:dyDescent="0.25">
      <c r="B21" s="31">
        <f>SUM(B18:B20)</f>
        <v>0</v>
      </c>
      <c r="C21" s="16"/>
      <c r="D21" s="21"/>
      <c r="E21" s="21"/>
      <c r="F21" s="21"/>
    </row>
    <row r="22" spans="1:9" s="16" customFormat="1" ht="15" customHeight="1" x14ac:dyDescent="0.25">
      <c r="A22" s="18" t="s">
        <v>1</v>
      </c>
      <c r="B22" s="19">
        <f>B21+B16</f>
        <v>0</v>
      </c>
      <c r="D22" s="23"/>
      <c r="E22" s="21"/>
      <c r="F22" s="21"/>
      <c r="G22" s="21"/>
    </row>
    <row r="23" spans="1:9" s="16" customFormat="1" ht="15" customHeight="1" x14ac:dyDescent="0.25">
      <c r="A23" s="14" t="s">
        <v>0</v>
      </c>
      <c r="B23" s="15">
        <f>B22-B7</f>
        <v>0</v>
      </c>
      <c r="D23" s="23"/>
      <c r="E23" s="14"/>
      <c r="F23" s="14"/>
      <c r="G23" s="14"/>
      <c r="H23" s="14"/>
      <c r="I23" s="14"/>
    </row>
    <row r="24" spans="1:9" s="16" customFormat="1" ht="15" customHeight="1" x14ac:dyDescent="0.3">
      <c r="A24" s="1"/>
      <c r="B24" s="3"/>
      <c r="C24" s="2"/>
      <c r="D24" s="23"/>
      <c r="E24" s="14"/>
      <c r="F24" s="14"/>
      <c r="G24" s="14"/>
      <c r="H24" s="14"/>
      <c r="I24" s="14"/>
    </row>
    <row r="25" spans="1:9" s="16" customFormat="1" ht="15" customHeight="1" x14ac:dyDescent="0.3">
      <c r="A25" s="1"/>
      <c r="B25" s="3"/>
      <c r="C25" s="2"/>
      <c r="D25" s="29"/>
      <c r="E25" s="14"/>
      <c r="F25" s="14"/>
      <c r="G25" s="14"/>
      <c r="H25" s="14"/>
      <c r="I25" s="14"/>
    </row>
    <row r="26" spans="1:9" s="2" customFormat="1" ht="20.100000000000001" customHeight="1" x14ac:dyDescent="0.3">
      <c r="A26"/>
      <c r="B26" s="10"/>
      <c r="D26" s="29"/>
      <c r="E26" s="1"/>
      <c r="F26" s="1"/>
      <c r="G26" s="1"/>
      <c r="H26" s="1"/>
      <c r="I26" s="1"/>
    </row>
    <row r="27" spans="1:9" s="2" customFormat="1" ht="20.100000000000001" customHeight="1" x14ac:dyDescent="0.3">
      <c r="A27"/>
      <c r="B27" s="10"/>
      <c r="D27" s="29"/>
      <c r="E27" s="1"/>
      <c r="F27" s="1"/>
      <c r="G27" s="1"/>
      <c r="H27" s="1"/>
      <c r="I27" s="1"/>
    </row>
    <row r="28" spans="1:9" s="2" customFormat="1" ht="20.100000000000001" customHeight="1" x14ac:dyDescent="0.3">
      <c r="A28"/>
      <c r="B28" s="10"/>
      <c r="D28" s="29"/>
      <c r="E28" s="1"/>
      <c r="F28" s="1"/>
      <c r="G28" s="1"/>
      <c r="H28" s="1"/>
      <c r="I28" s="1"/>
    </row>
    <row r="29" spans="1:9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  <row r="30" spans="1:9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9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</sheetData>
  <pageMargins left="0.7" right="0.7" top="0.75" bottom="0.75" header="0.3" footer="0.3"/>
  <pageSetup fitToWidth="0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I42"/>
  <sheetViews>
    <sheetView topLeftCell="A13" workbookViewId="0">
      <selection activeCell="C30" sqref="C30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5.5703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44286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5212732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-5050281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-5050281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162451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1066</v>
      </c>
      <c r="B9" s="31">
        <v>-21899</v>
      </c>
      <c r="C9" s="27">
        <v>44286</v>
      </c>
      <c r="D9" s="23">
        <v>44287</v>
      </c>
    </row>
    <row r="10" spans="1:4" s="14" customFormat="1" ht="15" customHeight="1" x14ac:dyDescent="0.25">
      <c r="A10" s="14" t="s">
        <v>1067</v>
      </c>
      <c r="B10" s="31">
        <v>-28792</v>
      </c>
      <c r="C10" s="27">
        <v>44286</v>
      </c>
      <c r="D10" s="17">
        <v>44292</v>
      </c>
    </row>
    <row r="11" spans="1:4" s="14" customFormat="1" ht="15" customHeight="1" x14ac:dyDescent="0.25">
      <c r="A11" s="14" t="s">
        <v>1068</v>
      </c>
      <c r="B11" s="31">
        <v>-28792</v>
      </c>
      <c r="C11" s="27">
        <v>44286</v>
      </c>
      <c r="D11" s="17">
        <v>44292</v>
      </c>
    </row>
    <row r="12" spans="1:4" s="14" customFormat="1" ht="15" customHeight="1" x14ac:dyDescent="0.25">
      <c r="A12" s="14" t="s">
        <v>1069</v>
      </c>
      <c r="B12" s="31">
        <v>-28792</v>
      </c>
      <c r="C12" s="27">
        <v>44286</v>
      </c>
      <c r="D12" s="17">
        <v>44292</v>
      </c>
    </row>
    <row r="13" spans="1:4" s="14" customFormat="1" ht="15" customHeight="1" x14ac:dyDescent="0.25">
      <c r="A13" s="14" t="s">
        <v>1070</v>
      </c>
      <c r="B13" s="31">
        <v>-29297</v>
      </c>
      <c r="C13" s="27">
        <v>44286</v>
      </c>
      <c r="D13" s="17">
        <v>44292</v>
      </c>
    </row>
    <row r="14" spans="1:4" s="14" customFormat="1" ht="15" customHeight="1" x14ac:dyDescent="0.25">
      <c r="A14" s="14" t="s">
        <v>1071</v>
      </c>
      <c r="B14" s="31">
        <v>-37299</v>
      </c>
      <c r="C14" s="27">
        <v>44286</v>
      </c>
      <c r="D14" s="17">
        <v>44292</v>
      </c>
    </row>
    <row r="15" spans="1:4" s="14" customFormat="1" ht="15" customHeight="1" x14ac:dyDescent="0.25">
      <c r="B15" s="31"/>
      <c r="C15" s="27"/>
      <c r="D15" s="17"/>
    </row>
    <row r="16" spans="1:4" s="14" customFormat="1" ht="15" customHeight="1" x14ac:dyDescent="0.25">
      <c r="B16" s="31">
        <f>SUM(B9:B15)</f>
        <v>-174871</v>
      </c>
      <c r="C16" s="16"/>
      <c r="D16" s="23"/>
    </row>
    <row r="17" spans="1:6" s="14" customFormat="1" ht="15" customHeight="1" x14ac:dyDescent="0.25">
      <c r="A17" s="14" t="s">
        <v>2</v>
      </c>
      <c r="B17" s="31"/>
      <c r="C17" s="26" t="s">
        <v>730</v>
      </c>
      <c r="D17" s="28" t="s">
        <v>829</v>
      </c>
    </row>
    <row r="18" spans="1:6" s="14" customFormat="1" ht="15" customHeight="1" x14ac:dyDescent="0.25">
      <c r="A18" s="14" t="s">
        <v>1072</v>
      </c>
      <c r="B18" s="31">
        <v>23189</v>
      </c>
      <c r="C18" s="27">
        <v>44280</v>
      </c>
      <c r="D18" s="23">
        <v>44291</v>
      </c>
    </row>
    <row r="19" spans="1:6" s="14" customFormat="1" ht="15" customHeight="1" x14ac:dyDescent="0.25">
      <c r="A19" s="14" t="s">
        <v>1073</v>
      </c>
      <c r="B19" s="31">
        <v>24616</v>
      </c>
      <c r="C19" s="27">
        <v>44280</v>
      </c>
      <c r="D19" s="23">
        <v>44287</v>
      </c>
    </row>
    <row r="20" spans="1:6" s="14" customFormat="1" ht="15" customHeight="1" x14ac:dyDescent="0.25">
      <c r="A20" s="14" t="s">
        <v>1074</v>
      </c>
      <c r="B20" s="31">
        <v>24616</v>
      </c>
      <c r="C20" s="27">
        <v>44281</v>
      </c>
      <c r="D20" s="23">
        <v>44287</v>
      </c>
    </row>
    <row r="21" spans="1:6" s="14" customFormat="1" ht="15" customHeight="1" x14ac:dyDescent="0.25">
      <c r="A21" s="14" t="s">
        <v>1075</v>
      </c>
      <c r="B21" s="31">
        <v>24616</v>
      </c>
      <c r="C21" s="27">
        <v>44280</v>
      </c>
      <c r="D21" s="23">
        <v>44287</v>
      </c>
    </row>
    <row r="22" spans="1:6" s="14" customFormat="1" ht="15" customHeight="1" x14ac:dyDescent="0.25">
      <c r="A22" s="14" t="s">
        <v>1076</v>
      </c>
      <c r="B22" s="31">
        <v>25054</v>
      </c>
      <c r="C22" s="27">
        <v>44279</v>
      </c>
      <c r="D22" s="23">
        <v>44287</v>
      </c>
    </row>
    <row r="23" spans="1:6" s="14" customFormat="1" ht="15" customHeight="1" x14ac:dyDescent="0.25">
      <c r="A23" s="14" t="s">
        <v>1077</v>
      </c>
      <c r="B23" s="31">
        <v>27296</v>
      </c>
      <c r="C23" s="27">
        <v>44279</v>
      </c>
      <c r="D23" s="23">
        <v>44287</v>
      </c>
    </row>
    <row r="24" spans="1:6" s="14" customFormat="1" ht="15" customHeight="1" x14ac:dyDescent="0.25">
      <c r="A24" s="14" t="s">
        <v>1078</v>
      </c>
      <c r="B24" s="31">
        <v>29428</v>
      </c>
      <c r="C24" s="27">
        <v>44279</v>
      </c>
      <c r="D24" s="23">
        <v>44287</v>
      </c>
    </row>
    <row r="25" spans="1:6" s="14" customFormat="1" ht="15" customHeight="1" x14ac:dyDescent="0.25">
      <c r="A25" s="14" t="s">
        <v>1079</v>
      </c>
      <c r="B25" s="31">
        <v>29778</v>
      </c>
      <c r="C25" s="27">
        <v>44279</v>
      </c>
      <c r="D25" s="23">
        <v>44287</v>
      </c>
    </row>
    <row r="26" spans="1:6" s="14" customFormat="1" ht="15" customHeight="1" x14ac:dyDescent="0.25">
      <c r="A26" s="14" t="s">
        <v>1080</v>
      </c>
      <c r="B26" s="31">
        <v>29955</v>
      </c>
      <c r="C26" s="27">
        <v>44279</v>
      </c>
      <c r="D26" s="23">
        <v>44287</v>
      </c>
    </row>
    <row r="27" spans="1:6" s="14" customFormat="1" ht="15" customHeight="1" x14ac:dyDescent="0.25">
      <c r="A27" s="14" t="s">
        <v>1081</v>
      </c>
      <c r="B27" s="31">
        <v>31776</v>
      </c>
      <c r="C27" s="27">
        <v>44285</v>
      </c>
      <c r="D27" s="23">
        <v>44291</v>
      </c>
    </row>
    <row r="28" spans="1:6" s="14" customFormat="1" ht="15" customHeight="1" x14ac:dyDescent="0.25">
      <c r="A28" s="14" t="s">
        <v>1082</v>
      </c>
      <c r="B28" s="31">
        <v>32407</v>
      </c>
      <c r="C28" s="27">
        <v>44285</v>
      </c>
      <c r="D28" s="23">
        <v>44291</v>
      </c>
    </row>
    <row r="29" spans="1:6" s="14" customFormat="1" ht="15" customHeight="1" x14ac:dyDescent="0.25">
      <c r="A29" s="14" t="s">
        <v>1083</v>
      </c>
      <c r="B29" s="31">
        <v>34591</v>
      </c>
      <c r="C29" s="27">
        <v>44277</v>
      </c>
      <c r="D29" s="23">
        <v>44293</v>
      </c>
    </row>
    <row r="30" spans="1:6" s="14" customFormat="1" ht="15" customHeight="1" x14ac:dyDescent="0.25">
      <c r="B30" s="31"/>
      <c r="C30" s="27"/>
      <c r="D30" s="23"/>
    </row>
    <row r="31" spans="1:6" s="14" customFormat="1" ht="15" customHeight="1" x14ac:dyDescent="0.25">
      <c r="B31" s="31"/>
      <c r="C31" s="27"/>
      <c r="D31" s="23"/>
    </row>
    <row r="32" spans="1:6" s="14" customFormat="1" ht="15" customHeight="1" x14ac:dyDescent="0.25">
      <c r="B32" s="31">
        <f>SUM(B18:B31)</f>
        <v>337322</v>
      </c>
      <c r="C32" s="16"/>
      <c r="D32" s="21"/>
      <c r="E32" s="21"/>
      <c r="F32" s="21"/>
    </row>
    <row r="33" spans="1:9" s="16" customFormat="1" ht="15" customHeight="1" x14ac:dyDescent="0.25">
      <c r="A33" s="18" t="s">
        <v>1</v>
      </c>
      <c r="B33" s="19">
        <f>B32+B16</f>
        <v>162451</v>
      </c>
      <c r="D33" s="23"/>
      <c r="E33" s="21"/>
      <c r="F33" s="21"/>
      <c r="G33" s="21"/>
    </row>
    <row r="34" spans="1:9" s="16" customFormat="1" ht="15" customHeight="1" x14ac:dyDescent="0.25">
      <c r="A34" s="14" t="s">
        <v>0</v>
      </c>
      <c r="B34" s="15">
        <f>B33-B7</f>
        <v>0</v>
      </c>
      <c r="D34" s="23"/>
      <c r="E34" s="14"/>
      <c r="F34" s="14"/>
      <c r="G34" s="14"/>
      <c r="H34" s="14"/>
      <c r="I34" s="14"/>
    </row>
    <row r="35" spans="1:9" s="16" customFormat="1" ht="15" customHeight="1" x14ac:dyDescent="0.3">
      <c r="A35" s="1"/>
      <c r="B35" s="3"/>
      <c r="C35" s="2"/>
      <c r="D35" s="23"/>
      <c r="E35" s="14"/>
      <c r="F35" s="14"/>
      <c r="G35" s="14"/>
      <c r="H35" s="14"/>
      <c r="I35" s="14"/>
    </row>
    <row r="36" spans="1:9" s="16" customFormat="1" ht="15" customHeight="1" x14ac:dyDescent="0.3">
      <c r="A36" s="1"/>
      <c r="B36" s="3"/>
      <c r="C36" s="2"/>
      <c r="D36" s="29"/>
      <c r="E36" s="14"/>
      <c r="F36" s="14"/>
      <c r="G36" s="14"/>
      <c r="H36" s="14"/>
      <c r="I36" s="14"/>
    </row>
    <row r="37" spans="1:9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9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9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9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  <row r="41" spans="1:9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  <row r="42" spans="1:9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</sheetData>
  <pageMargins left="0.7" right="0.7" top="0.75" bottom="0.75" header="0.3" footer="0.3"/>
  <pageSetup fitToWidth="0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I46"/>
  <sheetViews>
    <sheetView workbookViewId="0">
      <selection activeCell="C24" sqref="C24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5.5703125" style="2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44316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5535515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-5699269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-5699269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-163754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1084</v>
      </c>
      <c r="B9" s="31">
        <v>-30656</v>
      </c>
      <c r="C9" s="27">
        <v>44314</v>
      </c>
      <c r="D9" s="23">
        <v>44323</v>
      </c>
    </row>
    <row r="10" spans="1:4" s="14" customFormat="1" ht="15" customHeight="1" x14ac:dyDescent="0.25">
      <c r="A10" s="14" t="s">
        <v>1085</v>
      </c>
      <c r="B10" s="31">
        <v>-31049</v>
      </c>
      <c r="C10" s="27">
        <v>44315</v>
      </c>
      <c r="D10" s="17">
        <v>44320</v>
      </c>
    </row>
    <row r="11" spans="1:4" s="14" customFormat="1" ht="15" customHeight="1" x14ac:dyDescent="0.25">
      <c r="A11" s="14" t="s">
        <v>1086</v>
      </c>
      <c r="B11" s="31">
        <v>-31995</v>
      </c>
      <c r="C11" s="27">
        <v>44315</v>
      </c>
      <c r="D11" s="17">
        <v>44320</v>
      </c>
    </row>
    <row r="12" spans="1:4" s="14" customFormat="1" ht="15" customHeight="1" x14ac:dyDescent="0.25">
      <c r="A12" s="14" t="s">
        <v>1087</v>
      </c>
      <c r="B12" s="31">
        <v>-32104</v>
      </c>
      <c r="C12" s="27">
        <v>44315</v>
      </c>
      <c r="D12" s="17">
        <v>44320</v>
      </c>
    </row>
    <row r="13" spans="1:4" s="14" customFormat="1" ht="15" customHeight="1" x14ac:dyDescent="0.25">
      <c r="A13" s="14" t="s">
        <v>1088</v>
      </c>
      <c r="B13" s="31">
        <v>-33882</v>
      </c>
      <c r="C13" s="27">
        <v>44315</v>
      </c>
      <c r="D13" s="17">
        <v>44320</v>
      </c>
    </row>
    <row r="14" spans="1:4" s="14" customFormat="1" ht="15" customHeight="1" x14ac:dyDescent="0.25">
      <c r="A14" s="14" t="s">
        <v>1089</v>
      </c>
      <c r="B14" s="31">
        <v>-34121</v>
      </c>
      <c r="C14" s="27">
        <v>44315</v>
      </c>
      <c r="D14" s="17">
        <v>44320</v>
      </c>
    </row>
    <row r="15" spans="1:4" s="14" customFormat="1" ht="15" customHeight="1" x14ac:dyDescent="0.25">
      <c r="A15" s="14" t="s">
        <v>1090</v>
      </c>
      <c r="B15" s="31">
        <v>-36204</v>
      </c>
      <c r="C15" s="27">
        <v>44315</v>
      </c>
      <c r="D15" s="17">
        <v>44320</v>
      </c>
    </row>
    <row r="16" spans="1:4" s="14" customFormat="1" ht="15" customHeight="1" x14ac:dyDescent="0.25">
      <c r="B16" s="31"/>
      <c r="C16" s="27"/>
      <c r="D16" s="17"/>
    </row>
    <row r="17" spans="1:4" s="14" customFormat="1" ht="15" customHeight="1" x14ac:dyDescent="0.25">
      <c r="B17" s="31"/>
      <c r="C17" s="27"/>
      <c r="D17" s="17"/>
    </row>
    <row r="18" spans="1:4" s="14" customFormat="1" ht="15" customHeight="1" x14ac:dyDescent="0.25">
      <c r="B18" s="31"/>
      <c r="C18" s="27"/>
      <c r="D18" s="17"/>
    </row>
    <row r="19" spans="1:4" s="14" customFormat="1" ht="15" customHeight="1" x14ac:dyDescent="0.25">
      <c r="B19" s="31"/>
      <c r="C19" s="27"/>
      <c r="D19" s="17"/>
    </row>
    <row r="20" spans="1:4" s="14" customFormat="1" ht="15" customHeight="1" x14ac:dyDescent="0.25">
      <c r="B20" s="31">
        <f>SUM(B9:B19)</f>
        <v>-230011</v>
      </c>
      <c r="C20" s="16"/>
      <c r="D20" s="23"/>
    </row>
    <row r="21" spans="1:4" s="14" customFormat="1" ht="15" customHeight="1" x14ac:dyDescent="0.25">
      <c r="A21" s="14" t="s">
        <v>2</v>
      </c>
      <c r="B21" s="31"/>
      <c r="C21" s="26" t="s">
        <v>730</v>
      </c>
      <c r="D21" s="28" t="s">
        <v>829</v>
      </c>
    </row>
    <row r="22" spans="1:4" s="14" customFormat="1" ht="15" customHeight="1" x14ac:dyDescent="0.25">
      <c r="A22" s="14" t="s">
        <v>1091</v>
      </c>
      <c r="B22" s="31">
        <v>28872</v>
      </c>
      <c r="C22" s="27">
        <v>44307</v>
      </c>
      <c r="D22" s="23">
        <v>44321</v>
      </c>
    </row>
    <row r="23" spans="1:4" s="14" customFormat="1" ht="15" customHeight="1" x14ac:dyDescent="0.25">
      <c r="A23" s="14" t="s">
        <v>1092</v>
      </c>
      <c r="B23" s="31">
        <v>37385</v>
      </c>
      <c r="C23" s="27">
        <v>44316</v>
      </c>
      <c r="D23" s="23">
        <v>44321</v>
      </c>
    </row>
    <row r="24" spans="1:4" s="14" customFormat="1" ht="15" customHeight="1" x14ac:dyDescent="0.25">
      <c r="B24" s="31"/>
      <c r="C24" s="27"/>
      <c r="D24" s="23"/>
    </row>
    <row r="25" spans="1:4" s="14" customFormat="1" ht="15" customHeight="1" x14ac:dyDescent="0.25">
      <c r="B25" s="31"/>
      <c r="C25" s="27"/>
      <c r="D25" s="23"/>
    </row>
    <row r="26" spans="1:4" s="14" customFormat="1" ht="15" customHeight="1" x14ac:dyDescent="0.25">
      <c r="B26" s="31"/>
      <c r="C26" s="27"/>
      <c r="D26" s="23"/>
    </row>
    <row r="27" spans="1:4" s="14" customFormat="1" ht="15" customHeight="1" x14ac:dyDescent="0.25">
      <c r="B27" s="31"/>
      <c r="C27" s="27"/>
      <c r="D27" s="23"/>
    </row>
    <row r="28" spans="1:4" s="14" customFormat="1" ht="15" customHeight="1" x14ac:dyDescent="0.25">
      <c r="B28" s="31"/>
      <c r="C28" s="27"/>
      <c r="D28" s="23"/>
    </row>
    <row r="29" spans="1:4" s="14" customFormat="1" ht="15" customHeight="1" x14ac:dyDescent="0.25">
      <c r="B29" s="31"/>
      <c r="C29" s="27"/>
      <c r="D29" s="23"/>
    </row>
    <row r="30" spans="1:4" s="14" customFormat="1" ht="15" customHeight="1" x14ac:dyDescent="0.25">
      <c r="B30" s="31"/>
      <c r="C30" s="27"/>
      <c r="D30" s="23"/>
    </row>
    <row r="31" spans="1:4" s="14" customFormat="1" ht="15" customHeight="1" x14ac:dyDescent="0.25">
      <c r="B31" s="31"/>
      <c r="C31" s="27"/>
      <c r="D31" s="23"/>
    </row>
    <row r="32" spans="1:4" s="14" customFormat="1" ht="15" customHeight="1" x14ac:dyDescent="0.25">
      <c r="B32" s="31"/>
      <c r="C32" s="27"/>
      <c r="D32" s="23"/>
    </row>
    <row r="33" spans="1:9" s="14" customFormat="1" ht="15" customHeight="1" x14ac:dyDescent="0.25">
      <c r="B33" s="31"/>
      <c r="C33" s="27"/>
      <c r="D33" s="23"/>
    </row>
    <row r="34" spans="1:9" s="14" customFormat="1" ht="15" customHeight="1" x14ac:dyDescent="0.25">
      <c r="B34" s="31"/>
      <c r="C34" s="27"/>
      <c r="D34" s="23"/>
    </row>
    <row r="35" spans="1:9" s="14" customFormat="1" ht="15" customHeight="1" x14ac:dyDescent="0.25">
      <c r="B35" s="31"/>
      <c r="C35" s="27"/>
      <c r="D35" s="23"/>
    </row>
    <row r="36" spans="1:9" s="14" customFormat="1" ht="15" customHeight="1" x14ac:dyDescent="0.25">
      <c r="B36" s="31">
        <f>SUM(B22:B35)</f>
        <v>66257</v>
      </c>
      <c r="C36" s="16"/>
      <c r="D36" s="21"/>
      <c r="E36" s="21"/>
      <c r="F36" s="21"/>
    </row>
    <row r="37" spans="1:9" s="16" customFormat="1" ht="15" customHeight="1" x14ac:dyDescent="0.25">
      <c r="A37" s="18" t="s">
        <v>1</v>
      </c>
      <c r="B37" s="19">
        <f>B36+B20</f>
        <v>-163754</v>
      </c>
      <c r="D37" s="23"/>
      <c r="E37" s="21"/>
      <c r="F37" s="21"/>
      <c r="G37" s="21"/>
    </row>
    <row r="38" spans="1:9" s="16" customFormat="1" ht="15" customHeight="1" x14ac:dyDescent="0.25">
      <c r="A38" s="14" t="s">
        <v>0</v>
      </c>
      <c r="B38" s="15">
        <f>B37-B7</f>
        <v>0</v>
      </c>
      <c r="D38" s="23"/>
      <c r="E38" s="14"/>
      <c r="F38" s="14"/>
      <c r="G38" s="14"/>
      <c r="H38" s="14"/>
      <c r="I38" s="14"/>
    </row>
    <row r="39" spans="1:9" s="16" customFormat="1" ht="15" customHeight="1" x14ac:dyDescent="0.3">
      <c r="A39" s="1"/>
      <c r="B39" s="3"/>
      <c r="C39" s="2"/>
      <c r="D39" s="23"/>
      <c r="E39" s="14"/>
      <c r="F39" s="14"/>
      <c r="G39" s="14"/>
      <c r="H39" s="14"/>
      <c r="I39" s="14"/>
    </row>
    <row r="40" spans="1:9" s="16" customFormat="1" ht="15" customHeight="1" x14ac:dyDescent="0.3">
      <c r="A40" s="1"/>
      <c r="B40" s="3"/>
      <c r="C40" s="2"/>
      <c r="D40" s="29"/>
      <c r="E40" s="14"/>
      <c r="F40" s="14"/>
      <c r="G40" s="14"/>
      <c r="H40" s="14"/>
      <c r="I40" s="14"/>
    </row>
    <row r="41" spans="1:9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  <row r="42" spans="1:9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  <row r="43" spans="1:9" s="2" customFormat="1" ht="20.100000000000001" customHeight="1" x14ac:dyDescent="0.3">
      <c r="A43"/>
      <c r="B43" s="10"/>
      <c r="D43" s="29"/>
      <c r="E43" s="1"/>
      <c r="F43" s="1"/>
      <c r="G43" s="1"/>
      <c r="H43" s="1"/>
      <c r="I43" s="1"/>
    </row>
    <row r="44" spans="1:9" s="2" customFormat="1" ht="20.100000000000001" customHeight="1" x14ac:dyDescent="0.3">
      <c r="A44"/>
      <c r="B44" s="10"/>
      <c r="D44" s="29"/>
      <c r="E44" s="1"/>
      <c r="F44" s="1"/>
      <c r="G44" s="1"/>
      <c r="H44" s="1"/>
      <c r="I44" s="1"/>
    </row>
    <row r="45" spans="1:9" s="2" customFormat="1" ht="20.100000000000001" customHeight="1" x14ac:dyDescent="0.3">
      <c r="A45"/>
      <c r="B45" s="10"/>
      <c r="D45" s="29"/>
      <c r="E45" s="1"/>
      <c r="F45" s="1"/>
      <c r="G45" s="1"/>
      <c r="H45" s="1"/>
      <c r="I45" s="1"/>
    </row>
    <row r="46" spans="1:9" s="2" customFormat="1" ht="20.100000000000001" customHeight="1" x14ac:dyDescent="0.3">
      <c r="A46"/>
      <c r="B46" s="10"/>
      <c r="D46" s="29"/>
      <c r="E46" s="1"/>
      <c r="F46" s="1"/>
      <c r="G46" s="1"/>
      <c r="H46" s="1"/>
      <c r="I46" s="1"/>
    </row>
  </sheetData>
  <pageMargins left="0.7" right="0.7" top="0.75" bottom="0.75" header="0.3" footer="0.3"/>
  <pageSetup fitToWidth="0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I40"/>
  <sheetViews>
    <sheetView workbookViewId="0">
      <selection activeCell="C28" sqref="C28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11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44347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2912861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-3138990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-3138990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-226129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1093</v>
      </c>
      <c r="B9" s="31">
        <v>-26600</v>
      </c>
      <c r="C9" s="27">
        <v>44342</v>
      </c>
      <c r="D9" s="23">
        <v>44349</v>
      </c>
    </row>
    <row r="10" spans="1:4" s="14" customFormat="1" ht="15" customHeight="1" x14ac:dyDescent="0.25">
      <c r="A10" s="14" t="s">
        <v>1094</v>
      </c>
      <c r="B10" s="31">
        <v>-28792</v>
      </c>
      <c r="C10" s="27">
        <v>44341</v>
      </c>
      <c r="D10" s="17">
        <v>44348</v>
      </c>
    </row>
    <row r="11" spans="1:4" s="14" customFormat="1" ht="15" customHeight="1" x14ac:dyDescent="0.25">
      <c r="A11" s="14" t="s">
        <v>1095</v>
      </c>
      <c r="B11" s="31">
        <v>-28792</v>
      </c>
      <c r="C11" s="27">
        <v>44344</v>
      </c>
      <c r="D11" s="17">
        <v>44355</v>
      </c>
    </row>
    <row r="12" spans="1:4" s="14" customFormat="1" ht="15" customHeight="1" x14ac:dyDescent="0.25">
      <c r="A12" s="14" t="s">
        <v>1096</v>
      </c>
      <c r="B12" s="31">
        <v>-29738</v>
      </c>
      <c r="C12" s="27">
        <v>44342</v>
      </c>
      <c r="D12" s="17">
        <v>44348</v>
      </c>
    </row>
    <row r="13" spans="1:4" s="14" customFormat="1" ht="15" customHeight="1" x14ac:dyDescent="0.25">
      <c r="A13" s="14" t="s">
        <v>1097</v>
      </c>
      <c r="B13" s="31">
        <v>-30656</v>
      </c>
      <c r="C13" s="27">
        <v>44341</v>
      </c>
      <c r="D13" s="17">
        <v>44348</v>
      </c>
    </row>
    <row r="14" spans="1:4" s="14" customFormat="1" ht="15" customHeight="1" x14ac:dyDescent="0.25">
      <c r="A14" s="14" t="s">
        <v>1098</v>
      </c>
      <c r="B14" s="31">
        <v>-32264</v>
      </c>
      <c r="C14" s="27">
        <v>44342</v>
      </c>
      <c r="D14" s="17">
        <v>44348</v>
      </c>
    </row>
    <row r="15" spans="1:4" s="14" customFormat="1" ht="15" customHeight="1" x14ac:dyDescent="0.25">
      <c r="A15" s="14" t="s">
        <v>1099</v>
      </c>
      <c r="B15" s="31">
        <v>-32609</v>
      </c>
      <c r="C15" s="27">
        <v>44342</v>
      </c>
      <c r="D15" s="17">
        <v>44348</v>
      </c>
    </row>
    <row r="16" spans="1:4" s="14" customFormat="1" ht="15" customHeight="1" x14ac:dyDescent="0.25">
      <c r="A16" s="14" t="s">
        <v>1107</v>
      </c>
      <c r="B16" s="31">
        <v>-33339</v>
      </c>
      <c r="C16" s="27">
        <v>44341</v>
      </c>
      <c r="D16" s="17">
        <v>44348</v>
      </c>
    </row>
    <row r="17" spans="1:9" s="14" customFormat="1" ht="15" customHeight="1" x14ac:dyDescent="0.25">
      <c r="A17" s="14" t="s">
        <v>1100</v>
      </c>
      <c r="B17" s="31">
        <v>-37299</v>
      </c>
      <c r="C17" s="27">
        <v>44347</v>
      </c>
      <c r="D17" s="17">
        <v>44349</v>
      </c>
    </row>
    <row r="18" spans="1:9" s="14" customFormat="1" ht="15" customHeight="1" x14ac:dyDescent="0.25">
      <c r="A18" s="14" t="s">
        <v>1101</v>
      </c>
      <c r="B18" s="31">
        <v>-37660</v>
      </c>
      <c r="C18" s="27">
        <v>44341</v>
      </c>
      <c r="D18" s="17">
        <v>44348</v>
      </c>
    </row>
    <row r="19" spans="1:9" s="14" customFormat="1" ht="15" customHeight="1" x14ac:dyDescent="0.25">
      <c r="A19" s="14" t="s">
        <v>1102</v>
      </c>
      <c r="B19" s="31">
        <v>-37749</v>
      </c>
      <c r="C19" s="27">
        <v>44341</v>
      </c>
      <c r="D19" s="17">
        <v>44348</v>
      </c>
    </row>
    <row r="20" spans="1:9" s="14" customFormat="1" ht="15" customHeight="1" x14ac:dyDescent="0.25">
      <c r="B20" s="31"/>
      <c r="C20" s="27"/>
      <c r="D20" s="17"/>
    </row>
    <row r="21" spans="1:9" s="14" customFormat="1" ht="15" customHeight="1" x14ac:dyDescent="0.25">
      <c r="B21" s="31"/>
      <c r="C21" s="27"/>
      <c r="D21" s="17"/>
    </row>
    <row r="22" spans="1:9" s="14" customFormat="1" ht="15" customHeight="1" x14ac:dyDescent="0.25">
      <c r="B22" s="31">
        <f>SUM(B9:B21)</f>
        <v>-355498</v>
      </c>
      <c r="C22" s="16"/>
      <c r="D22" s="23"/>
    </row>
    <row r="23" spans="1:9" s="14" customFormat="1" ht="15" customHeight="1" x14ac:dyDescent="0.25">
      <c r="A23" s="14" t="s">
        <v>2</v>
      </c>
      <c r="B23" s="31"/>
      <c r="C23" s="26" t="s">
        <v>730</v>
      </c>
      <c r="D23" s="28" t="s">
        <v>829</v>
      </c>
    </row>
    <row r="24" spans="1:9" s="14" customFormat="1" ht="15" customHeight="1" x14ac:dyDescent="0.25">
      <c r="A24" s="14" t="s">
        <v>1103</v>
      </c>
      <c r="B24" s="31">
        <v>26560</v>
      </c>
      <c r="C24" s="27" t="s">
        <v>1108</v>
      </c>
      <c r="D24" s="23" t="s">
        <v>1109</v>
      </c>
    </row>
    <row r="25" spans="1:9" s="14" customFormat="1" ht="15" customHeight="1" x14ac:dyDescent="0.25">
      <c r="A25" s="14" t="s">
        <v>1104</v>
      </c>
      <c r="B25" s="31">
        <v>33555</v>
      </c>
      <c r="C25" s="27">
        <v>44344</v>
      </c>
      <c r="D25" s="23">
        <v>44349</v>
      </c>
    </row>
    <row r="26" spans="1:9" s="14" customFormat="1" ht="15" customHeight="1" x14ac:dyDescent="0.25">
      <c r="A26" s="14" t="s">
        <v>1105</v>
      </c>
      <c r="B26" s="31">
        <v>33555</v>
      </c>
      <c r="C26" s="27">
        <v>44344</v>
      </c>
      <c r="D26" s="23">
        <v>44349</v>
      </c>
    </row>
    <row r="27" spans="1:9" s="14" customFormat="1" ht="15" customHeight="1" x14ac:dyDescent="0.25">
      <c r="A27" s="14" t="s">
        <v>1106</v>
      </c>
      <c r="B27" s="31">
        <v>35699</v>
      </c>
      <c r="C27" s="27">
        <v>44343</v>
      </c>
      <c r="D27" s="23">
        <v>44349</v>
      </c>
    </row>
    <row r="28" spans="1:9" s="14" customFormat="1" ht="15" customHeight="1" x14ac:dyDescent="0.25">
      <c r="B28" s="31"/>
      <c r="C28" s="27"/>
      <c r="D28" s="23"/>
    </row>
    <row r="29" spans="1:9" s="14" customFormat="1" ht="15" customHeight="1" x14ac:dyDescent="0.25">
      <c r="B29" s="31"/>
      <c r="C29" s="27"/>
      <c r="D29" s="23"/>
    </row>
    <row r="30" spans="1:9" s="14" customFormat="1" ht="15" customHeight="1" x14ac:dyDescent="0.25">
      <c r="B30" s="31">
        <f>SUM(B24:B29)</f>
        <v>129369</v>
      </c>
      <c r="C30" s="16"/>
      <c r="D30" s="21"/>
      <c r="E30" s="21"/>
      <c r="F30" s="21"/>
    </row>
    <row r="31" spans="1:9" s="16" customFormat="1" ht="15" customHeight="1" x14ac:dyDescent="0.25">
      <c r="A31" s="18" t="s">
        <v>1</v>
      </c>
      <c r="B31" s="19">
        <f>B30+B22</f>
        <v>-226129</v>
      </c>
      <c r="D31" s="23"/>
      <c r="E31" s="21"/>
      <c r="F31" s="21"/>
      <c r="G31" s="21"/>
    </row>
    <row r="32" spans="1:9" s="16" customFormat="1" ht="15" customHeight="1" x14ac:dyDescent="0.25">
      <c r="A32" s="14" t="s">
        <v>0</v>
      </c>
      <c r="B32" s="15">
        <f>B31-B7</f>
        <v>0</v>
      </c>
      <c r="D32" s="23"/>
      <c r="E32" s="14"/>
      <c r="F32" s="14"/>
      <c r="G32" s="14"/>
      <c r="H32" s="14"/>
      <c r="I32" s="14"/>
    </row>
    <row r="33" spans="1:9" s="16" customFormat="1" ht="15" customHeight="1" x14ac:dyDescent="0.3">
      <c r="A33" s="1"/>
      <c r="B33" s="3"/>
      <c r="C33" s="2"/>
      <c r="D33" s="23"/>
      <c r="E33" s="14"/>
      <c r="F33" s="14"/>
      <c r="G33" s="14"/>
      <c r="H33" s="14"/>
      <c r="I33" s="14"/>
    </row>
    <row r="34" spans="1:9" s="16" customFormat="1" ht="15" customHeight="1" x14ac:dyDescent="0.3">
      <c r="A34" s="1"/>
      <c r="B34" s="3"/>
      <c r="C34" s="2"/>
      <c r="D34" s="29"/>
      <c r="E34" s="14"/>
      <c r="F34" s="14"/>
      <c r="G34" s="14"/>
      <c r="H34" s="14"/>
      <c r="I34" s="14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9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9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9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</sheetData>
  <pageMargins left="0.7" right="0.7" top="0.75" bottom="0.75" header="0.3" footer="0.3"/>
  <pageSetup fitToWidth="0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D398-7068-42F7-9760-492AC70C2847}">
  <sheetPr>
    <pageSetUpPr fitToPage="1"/>
  </sheetPr>
  <dimension ref="A1:I67"/>
  <sheetViews>
    <sheetView topLeftCell="A37" workbookViewId="0">
      <selection activeCell="D49" sqref="D49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19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44377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3743942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-3587615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-3587615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156327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1110</v>
      </c>
      <c r="B9" s="31">
        <v>-27586</v>
      </c>
      <c r="C9" s="27">
        <v>44372</v>
      </c>
      <c r="D9" s="23">
        <v>44378</v>
      </c>
    </row>
    <row r="10" spans="1:4" s="14" customFormat="1" ht="15" customHeight="1" x14ac:dyDescent="0.25">
      <c r="A10" s="14" t="s">
        <v>1111</v>
      </c>
      <c r="B10" s="31">
        <v>-28116</v>
      </c>
      <c r="C10" s="27">
        <v>44376</v>
      </c>
      <c r="D10" s="17">
        <v>44378</v>
      </c>
    </row>
    <row r="11" spans="1:4" s="14" customFormat="1" ht="15" customHeight="1" x14ac:dyDescent="0.25">
      <c r="A11" s="14" t="s">
        <v>1112</v>
      </c>
      <c r="B11" s="31">
        <v>-28792</v>
      </c>
      <c r="C11" s="27">
        <v>44375</v>
      </c>
      <c r="D11" s="17">
        <v>44378</v>
      </c>
    </row>
    <row r="12" spans="1:4" s="14" customFormat="1" ht="15" customHeight="1" x14ac:dyDescent="0.25">
      <c r="A12" s="14" t="s">
        <v>1113</v>
      </c>
      <c r="B12" s="31">
        <v>-28792</v>
      </c>
      <c r="C12" s="27">
        <v>44375</v>
      </c>
      <c r="D12" s="17">
        <v>44378</v>
      </c>
    </row>
    <row r="13" spans="1:4" s="14" customFormat="1" ht="15" customHeight="1" x14ac:dyDescent="0.25">
      <c r="A13" s="14" t="s">
        <v>1114</v>
      </c>
      <c r="B13" s="31">
        <v>-29144</v>
      </c>
      <c r="C13" s="27">
        <v>44376</v>
      </c>
      <c r="D13" s="17">
        <v>44378</v>
      </c>
    </row>
    <row r="14" spans="1:4" s="14" customFormat="1" ht="15" customHeight="1" x14ac:dyDescent="0.25">
      <c r="A14" s="14" t="s">
        <v>1115</v>
      </c>
      <c r="B14" s="31">
        <v>-29297</v>
      </c>
      <c r="C14" s="27">
        <v>44369</v>
      </c>
      <c r="D14" s="17">
        <v>44383</v>
      </c>
    </row>
    <row r="15" spans="1:4" s="14" customFormat="1" ht="15" customHeight="1" x14ac:dyDescent="0.25">
      <c r="A15" s="14" t="s">
        <v>1116</v>
      </c>
      <c r="B15" s="31">
        <v>-29322</v>
      </c>
      <c r="C15" s="27">
        <v>44376</v>
      </c>
      <c r="D15" s="17">
        <v>44378</v>
      </c>
    </row>
    <row r="16" spans="1:4" s="14" customFormat="1" ht="15" customHeight="1" x14ac:dyDescent="0.25">
      <c r="A16" s="14" t="s">
        <v>1117</v>
      </c>
      <c r="B16" s="31">
        <v>-29322</v>
      </c>
      <c r="C16" s="27">
        <v>44376</v>
      </c>
      <c r="D16" s="17">
        <v>44378</v>
      </c>
    </row>
    <row r="17" spans="1:4" s="14" customFormat="1" ht="15" customHeight="1" x14ac:dyDescent="0.25">
      <c r="A17" s="14" t="s">
        <v>1118</v>
      </c>
      <c r="B17" s="31">
        <v>-30729</v>
      </c>
      <c r="C17" s="27">
        <v>44377</v>
      </c>
      <c r="D17" s="17">
        <v>44379</v>
      </c>
    </row>
    <row r="18" spans="1:4" s="14" customFormat="1" ht="15" customHeight="1" x14ac:dyDescent="0.25">
      <c r="A18" s="14" t="s">
        <v>1119</v>
      </c>
      <c r="B18" s="31">
        <v>-31995</v>
      </c>
      <c r="C18" s="27">
        <v>44376</v>
      </c>
      <c r="D18" s="17">
        <v>44378</v>
      </c>
    </row>
    <row r="19" spans="1:4" s="14" customFormat="1" ht="15" customHeight="1" x14ac:dyDescent="0.25">
      <c r="A19" s="14" t="s">
        <v>1120</v>
      </c>
      <c r="B19" s="31">
        <v>-32043</v>
      </c>
      <c r="C19" s="27">
        <v>44376</v>
      </c>
      <c r="D19" s="17">
        <v>44378</v>
      </c>
    </row>
    <row r="20" spans="1:4" s="14" customFormat="1" ht="15" customHeight="1" x14ac:dyDescent="0.25">
      <c r="A20" s="14" t="s">
        <v>1121</v>
      </c>
      <c r="B20" s="31">
        <v>-32175</v>
      </c>
      <c r="C20" s="27">
        <v>44376</v>
      </c>
      <c r="D20" s="17">
        <v>44378</v>
      </c>
    </row>
    <row r="21" spans="1:4" s="14" customFormat="1" ht="15" customHeight="1" x14ac:dyDescent="0.25">
      <c r="A21" s="14" t="s">
        <v>1122</v>
      </c>
      <c r="B21" s="31">
        <v>-33869</v>
      </c>
      <c r="C21" s="27">
        <v>44376</v>
      </c>
      <c r="D21" s="17">
        <v>44378</v>
      </c>
    </row>
    <row r="22" spans="1:4" s="14" customFormat="1" ht="15" customHeight="1" x14ac:dyDescent="0.25">
      <c r="A22" s="14" t="s">
        <v>1123</v>
      </c>
      <c r="B22" s="31">
        <v>-35183</v>
      </c>
      <c r="C22" s="27">
        <v>44376</v>
      </c>
      <c r="D22" s="17">
        <v>44378</v>
      </c>
    </row>
    <row r="23" spans="1:4" s="14" customFormat="1" ht="15" customHeight="1" x14ac:dyDescent="0.25">
      <c r="A23" s="14" t="s">
        <v>1124</v>
      </c>
      <c r="B23" s="31">
        <v>-37749</v>
      </c>
      <c r="C23" s="27">
        <v>44376</v>
      </c>
      <c r="D23" s="17">
        <v>44378</v>
      </c>
    </row>
    <row r="24" spans="1:4" s="14" customFormat="1" ht="15" customHeight="1" x14ac:dyDescent="0.25">
      <c r="A24" s="14" t="s">
        <v>1125</v>
      </c>
      <c r="B24" s="31">
        <v>-38755</v>
      </c>
      <c r="C24" s="27">
        <v>44369</v>
      </c>
      <c r="D24" s="17">
        <v>44378</v>
      </c>
    </row>
    <row r="25" spans="1:4" s="14" customFormat="1" ht="15" customHeight="1" x14ac:dyDescent="0.25">
      <c r="A25" s="14" t="s">
        <v>1126</v>
      </c>
      <c r="B25" s="31">
        <v>-42834</v>
      </c>
      <c r="C25" s="27">
        <v>44375</v>
      </c>
      <c r="D25" s="17">
        <v>44378</v>
      </c>
    </row>
    <row r="26" spans="1:4" s="14" customFormat="1" ht="15" customHeight="1" x14ac:dyDescent="0.25">
      <c r="A26" s="14" t="s">
        <v>1127</v>
      </c>
      <c r="B26" s="31">
        <v>-43340</v>
      </c>
      <c r="C26" s="27">
        <v>44376</v>
      </c>
      <c r="D26" s="17">
        <v>44378</v>
      </c>
    </row>
    <row r="27" spans="1:4" s="14" customFormat="1" ht="15" customHeight="1" x14ac:dyDescent="0.25">
      <c r="A27" s="14" t="s">
        <v>1128</v>
      </c>
      <c r="B27" s="31">
        <v>-43340</v>
      </c>
      <c r="C27" s="27">
        <v>44376</v>
      </c>
      <c r="D27" s="17">
        <v>44378</v>
      </c>
    </row>
    <row r="28" spans="1:4" s="14" customFormat="1" ht="15" customHeight="1" x14ac:dyDescent="0.25">
      <c r="B28" s="31"/>
      <c r="C28" s="27"/>
      <c r="D28" s="17"/>
    </row>
    <row r="29" spans="1:4" s="14" customFormat="1" ht="15" customHeight="1" x14ac:dyDescent="0.25">
      <c r="B29" s="31"/>
      <c r="C29" s="27"/>
      <c r="D29" s="17"/>
    </row>
    <row r="30" spans="1:4" s="14" customFormat="1" ht="15" customHeight="1" x14ac:dyDescent="0.25">
      <c r="B30" s="31">
        <f>SUM(B9:B29)</f>
        <v>-632383</v>
      </c>
      <c r="C30" s="16"/>
      <c r="D30" s="23"/>
    </row>
    <row r="31" spans="1:4" s="14" customFormat="1" ht="15" customHeight="1" x14ac:dyDescent="0.25">
      <c r="A31" s="14" t="s">
        <v>2</v>
      </c>
      <c r="B31" s="31"/>
      <c r="C31" s="26" t="s">
        <v>730</v>
      </c>
      <c r="D31" s="28" t="s">
        <v>829</v>
      </c>
    </row>
    <row r="32" spans="1:4" s="14" customFormat="1" ht="15" customHeight="1" x14ac:dyDescent="0.25">
      <c r="A32" s="14" t="s">
        <v>1129</v>
      </c>
      <c r="B32" s="31">
        <v>22946</v>
      </c>
      <c r="C32" s="27">
        <v>44377</v>
      </c>
      <c r="D32" s="23">
        <v>44379</v>
      </c>
    </row>
    <row r="33" spans="1:4" s="14" customFormat="1" ht="15" customHeight="1" x14ac:dyDescent="0.25">
      <c r="A33" s="14" t="s">
        <v>1130</v>
      </c>
      <c r="B33" s="31">
        <v>24164</v>
      </c>
      <c r="C33" s="27">
        <v>44377</v>
      </c>
      <c r="D33" s="23">
        <v>44383</v>
      </c>
    </row>
    <row r="34" spans="1:4" s="14" customFormat="1" ht="15" customHeight="1" x14ac:dyDescent="0.25">
      <c r="A34" s="14" t="s">
        <v>1131</v>
      </c>
      <c r="B34" s="31">
        <v>24896</v>
      </c>
      <c r="C34" s="27">
        <v>44377</v>
      </c>
      <c r="D34" s="23">
        <v>44379</v>
      </c>
    </row>
    <row r="35" spans="1:4" s="14" customFormat="1" ht="15" customHeight="1" x14ac:dyDescent="0.25">
      <c r="A35" s="14" t="s">
        <v>1132</v>
      </c>
      <c r="B35" s="31">
        <v>25423</v>
      </c>
      <c r="C35" s="27">
        <v>44377</v>
      </c>
      <c r="D35" s="23">
        <v>44378</v>
      </c>
    </row>
    <row r="36" spans="1:4" s="14" customFormat="1" ht="15" customHeight="1" x14ac:dyDescent="0.25">
      <c r="A36" s="14" t="s">
        <v>1133</v>
      </c>
      <c r="B36" s="31">
        <v>25423</v>
      </c>
      <c r="C36" s="27">
        <v>44377</v>
      </c>
      <c r="D36" s="23">
        <v>44379</v>
      </c>
    </row>
    <row r="37" spans="1:4" s="14" customFormat="1" ht="15" customHeight="1" x14ac:dyDescent="0.25">
      <c r="A37" s="14" t="s">
        <v>1134</v>
      </c>
      <c r="B37" s="31">
        <v>27226</v>
      </c>
      <c r="C37" s="27">
        <v>44377</v>
      </c>
      <c r="D37" s="23">
        <v>44378</v>
      </c>
    </row>
    <row r="38" spans="1:4" s="14" customFormat="1" ht="15" customHeight="1" x14ac:dyDescent="0.25">
      <c r="A38" s="14" t="s">
        <v>1135</v>
      </c>
      <c r="B38" s="31">
        <v>27226</v>
      </c>
      <c r="C38" s="27">
        <v>44377</v>
      </c>
      <c r="D38" s="23">
        <v>44378</v>
      </c>
    </row>
    <row r="39" spans="1:4" s="14" customFormat="1" ht="15" customHeight="1" x14ac:dyDescent="0.25">
      <c r="A39" s="14" t="s">
        <v>1136</v>
      </c>
      <c r="B39" s="31">
        <v>27753</v>
      </c>
      <c r="C39" s="27">
        <v>44377</v>
      </c>
      <c r="D39" s="23">
        <v>44379</v>
      </c>
    </row>
    <row r="40" spans="1:4" s="14" customFormat="1" ht="15" customHeight="1" x14ac:dyDescent="0.25">
      <c r="A40" s="14" t="s">
        <v>1137</v>
      </c>
      <c r="B40" s="31">
        <v>27850</v>
      </c>
      <c r="C40" s="27">
        <v>44377</v>
      </c>
      <c r="D40" s="23">
        <v>44382</v>
      </c>
    </row>
    <row r="41" spans="1:4" s="14" customFormat="1" ht="15" customHeight="1" x14ac:dyDescent="0.25">
      <c r="A41" s="14" t="s">
        <v>1138</v>
      </c>
      <c r="B41" s="31">
        <v>29322</v>
      </c>
      <c r="C41" s="27">
        <v>44376</v>
      </c>
      <c r="D41" s="23">
        <v>44378</v>
      </c>
    </row>
    <row r="42" spans="1:4" s="14" customFormat="1" ht="15" customHeight="1" x14ac:dyDescent="0.25">
      <c r="A42" s="14" t="s">
        <v>1139</v>
      </c>
      <c r="B42" s="31">
        <v>32164</v>
      </c>
      <c r="C42" s="27">
        <v>44377</v>
      </c>
      <c r="D42" s="23">
        <v>44382</v>
      </c>
    </row>
    <row r="43" spans="1:4" s="14" customFormat="1" ht="15" customHeight="1" x14ac:dyDescent="0.25">
      <c r="A43" s="14" t="s">
        <v>1150</v>
      </c>
      <c r="B43" s="31">
        <v>32347</v>
      </c>
      <c r="C43" s="27">
        <v>44376</v>
      </c>
      <c r="D43" s="23">
        <v>44384</v>
      </c>
    </row>
    <row r="44" spans="1:4" s="14" customFormat="1" ht="15" customHeight="1" x14ac:dyDescent="0.25">
      <c r="A44" s="14" t="s">
        <v>1140</v>
      </c>
      <c r="B44" s="31">
        <v>32464</v>
      </c>
      <c r="C44" s="27">
        <v>44377</v>
      </c>
      <c r="D44" s="23">
        <v>44379</v>
      </c>
    </row>
    <row r="45" spans="1:4" s="14" customFormat="1" ht="15" customHeight="1" x14ac:dyDescent="0.25">
      <c r="A45" s="14" t="s">
        <v>1151</v>
      </c>
      <c r="B45" s="31">
        <v>32527</v>
      </c>
      <c r="C45" s="27">
        <v>44377</v>
      </c>
      <c r="D45" s="23">
        <v>44382</v>
      </c>
    </row>
    <row r="46" spans="1:4" s="14" customFormat="1" ht="15" customHeight="1" x14ac:dyDescent="0.25">
      <c r="A46" s="14" t="s">
        <v>1141</v>
      </c>
      <c r="B46" s="31">
        <v>33215</v>
      </c>
      <c r="C46" s="27">
        <v>44377</v>
      </c>
      <c r="D46" s="23">
        <v>44382</v>
      </c>
    </row>
    <row r="47" spans="1:4" s="14" customFormat="1" ht="15" customHeight="1" x14ac:dyDescent="0.25">
      <c r="A47" s="14" t="s">
        <v>1142</v>
      </c>
      <c r="B47" s="31">
        <v>34928</v>
      </c>
      <c r="C47" s="27">
        <v>44377</v>
      </c>
      <c r="D47" s="23">
        <v>44379</v>
      </c>
    </row>
    <row r="48" spans="1:4" s="14" customFormat="1" ht="15" customHeight="1" x14ac:dyDescent="0.25">
      <c r="A48" s="14" t="s">
        <v>1152</v>
      </c>
      <c r="B48" s="31">
        <v>35183</v>
      </c>
      <c r="C48" s="27">
        <v>44376</v>
      </c>
      <c r="D48" s="23">
        <v>44386</v>
      </c>
    </row>
    <row r="49" spans="1:9" s="14" customFormat="1" ht="15" customHeight="1" x14ac:dyDescent="0.25">
      <c r="A49" s="14" t="s">
        <v>1143</v>
      </c>
      <c r="B49" s="31">
        <v>35713</v>
      </c>
      <c r="C49" s="27">
        <v>44377</v>
      </c>
      <c r="D49" s="23">
        <v>44378</v>
      </c>
    </row>
    <row r="50" spans="1:9" s="14" customFormat="1" ht="15" customHeight="1" x14ac:dyDescent="0.25">
      <c r="A50" s="14" t="s">
        <v>1144</v>
      </c>
      <c r="B50" s="31">
        <v>36753</v>
      </c>
      <c r="C50" s="27">
        <v>44377</v>
      </c>
      <c r="D50" s="23">
        <v>44383</v>
      </c>
    </row>
    <row r="51" spans="1:9" s="14" customFormat="1" ht="15" customHeight="1" x14ac:dyDescent="0.25">
      <c r="A51" s="14" t="s">
        <v>1145</v>
      </c>
      <c r="B51" s="31">
        <v>37219</v>
      </c>
      <c r="C51" s="27">
        <v>44377</v>
      </c>
      <c r="D51" s="23">
        <v>44378</v>
      </c>
    </row>
    <row r="52" spans="1:9" s="14" customFormat="1" ht="15" customHeight="1" x14ac:dyDescent="0.25">
      <c r="A52" s="14" t="s">
        <v>1146</v>
      </c>
      <c r="B52" s="31">
        <v>45960</v>
      </c>
      <c r="C52" s="27">
        <v>44377</v>
      </c>
      <c r="D52" s="23">
        <v>44378</v>
      </c>
    </row>
    <row r="53" spans="1:9" s="14" customFormat="1" ht="15" customHeight="1" x14ac:dyDescent="0.25">
      <c r="A53" s="14" t="s">
        <v>1147</v>
      </c>
      <c r="B53" s="31">
        <v>45960</v>
      </c>
      <c r="C53" s="27">
        <v>44377</v>
      </c>
      <c r="D53" s="23">
        <v>44378</v>
      </c>
    </row>
    <row r="54" spans="1:9" s="14" customFormat="1" ht="15" customHeight="1" x14ac:dyDescent="0.25">
      <c r="A54" s="14" t="s">
        <v>1148</v>
      </c>
      <c r="B54" s="31">
        <v>45960</v>
      </c>
      <c r="C54" s="27">
        <v>44377</v>
      </c>
      <c r="D54" s="23">
        <v>44378</v>
      </c>
    </row>
    <row r="55" spans="1:9" s="14" customFormat="1" ht="15" customHeight="1" x14ac:dyDescent="0.25">
      <c r="A55" s="14" t="s">
        <v>1149</v>
      </c>
      <c r="B55" s="31">
        <v>46088</v>
      </c>
      <c r="C55" s="27">
        <v>44377</v>
      </c>
      <c r="D55" s="23">
        <v>44378</v>
      </c>
    </row>
    <row r="56" spans="1:9" s="14" customFormat="1" ht="15" customHeight="1" x14ac:dyDescent="0.25">
      <c r="B56" s="31"/>
      <c r="C56" s="27"/>
      <c r="D56" s="23"/>
    </row>
    <row r="57" spans="1:9" s="14" customFormat="1" ht="15" customHeight="1" x14ac:dyDescent="0.25">
      <c r="B57" s="31">
        <f>SUM(B32:B56)</f>
        <v>788710</v>
      </c>
      <c r="C57" s="16"/>
      <c r="D57" s="21"/>
      <c r="E57" s="21"/>
      <c r="F57" s="21"/>
    </row>
    <row r="58" spans="1:9" s="16" customFormat="1" ht="15" customHeight="1" x14ac:dyDescent="0.25">
      <c r="A58" s="18" t="s">
        <v>1</v>
      </c>
      <c r="B58" s="19">
        <f>B57+B30</f>
        <v>156327</v>
      </c>
      <c r="D58" s="23"/>
      <c r="E58" s="21"/>
      <c r="F58" s="21"/>
      <c r="G58" s="21"/>
    </row>
    <row r="59" spans="1:9" s="16" customFormat="1" ht="15" customHeight="1" x14ac:dyDescent="0.25">
      <c r="A59" s="14" t="s">
        <v>0</v>
      </c>
      <c r="B59" s="15">
        <f>B58-B7</f>
        <v>0</v>
      </c>
      <c r="D59" s="23"/>
      <c r="E59" s="14"/>
      <c r="F59" s="14"/>
      <c r="G59" s="14"/>
      <c r="H59" s="14"/>
      <c r="I59" s="14"/>
    </row>
    <row r="60" spans="1:9" s="16" customFormat="1" ht="15" customHeight="1" x14ac:dyDescent="0.3">
      <c r="A60" s="1"/>
      <c r="B60" s="3"/>
      <c r="C60" s="2"/>
      <c r="D60" s="23"/>
      <c r="E60" s="14"/>
      <c r="F60" s="14"/>
      <c r="G60" s="14"/>
      <c r="H60" s="14"/>
      <c r="I60" s="14"/>
    </row>
    <row r="61" spans="1:9" s="16" customFormat="1" ht="15" customHeight="1" x14ac:dyDescent="0.3">
      <c r="A61" s="1"/>
      <c r="B61" s="3"/>
      <c r="C61" s="2"/>
      <c r="D61" s="29"/>
      <c r="E61" s="14"/>
      <c r="F61" s="14"/>
      <c r="G61" s="14"/>
      <c r="H61" s="14"/>
      <c r="I61" s="14"/>
    </row>
    <row r="62" spans="1:9" s="2" customFormat="1" ht="20.100000000000001" customHeight="1" x14ac:dyDescent="0.3">
      <c r="A62"/>
      <c r="B62" s="10"/>
      <c r="D62" s="29"/>
      <c r="E62" s="1"/>
      <c r="F62" s="1"/>
      <c r="G62" s="1"/>
      <c r="H62" s="1"/>
      <c r="I62" s="1"/>
    </row>
    <row r="63" spans="1:9" s="2" customFormat="1" ht="20.100000000000001" customHeight="1" x14ac:dyDescent="0.3">
      <c r="A63"/>
      <c r="B63" s="10"/>
      <c r="D63" s="29"/>
      <c r="E63" s="1"/>
      <c r="F63" s="1"/>
      <c r="G63" s="1"/>
      <c r="H63" s="1"/>
      <c r="I63" s="1"/>
    </row>
    <row r="64" spans="1:9" s="2" customFormat="1" ht="20.100000000000001" customHeight="1" x14ac:dyDescent="0.3">
      <c r="A64"/>
      <c r="B64" s="10"/>
      <c r="D64" s="29"/>
      <c r="E64" s="1"/>
      <c r="F64" s="1"/>
      <c r="G64" s="1"/>
      <c r="H64" s="1"/>
      <c r="I64" s="1"/>
    </row>
    <row r="65" spans="1:9" s="2" customFormat="1" ht="20.100000000000001" customHeight="1" x14ac:dyDescent="0.3">
      <c r="A65"/>
      <c r="B65" s="10"/>
      <c r="D65" s="29"/>
      <c r="E65" s="1"/>
      <c r="F65" s="1"/>
      <c r="G65" s="1"/>
      <c r="H65" s="1"/>
      <c r="I65" s="1"/>
    </row>
    <row r="66" spans="1:9" s="2" customFormat="1" ht="20.100000000000001" customHeight="1" x14ac:dyDescent="0.3">
      <c r="A66"/>
      <c r="B66" s="10"/>
      <c r="D66" s="29"/>
      <c r="E66" s="1"/>
      <c r="F66" s="1"/>
      <c r="G66" s="1"/>
      <c r="H66" s="1"/>
      <c r="I66" s="1"/>
    </row>
    <row r="67" spans="1:9" s="2" customFormat="1" ht="20.100000000000001" customHeight="1" x14ac:dyDescent="0.3">
      <c r="A67"/>
      <c r="B67" s="10"/>
      <c r="D67" s="29"/>
      <c r="E67" s="1"/>
      <c r="F67" s="1"/>
      <c r="G67" s="1"/>
      <c r="H67" s="1"/>
      <c r="I67" s="1"/>
    </row>
  </sheetData>
  <pageMargins left="0.7" right="0.7" top="0.75" bottom="0.75" header="0.3" footer="0.3"/>
  <pageSetup scale="79" fitToWidth="0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E953-30C1-41FD-B92F-264FD1563003}">
  <sheetPr>
    <pageSetUpPr fitToPage="1"/>
  </sheetPr>
  <dimension ref="A1:M39"/>
  <sheetViews>
    <sheetView workbookViewId="0">
      <selection activeCell="D23" sqref="D23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44439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3448497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-3203473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-3203473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245024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1154</v>
      </c>
      <c r="B9" s="31">
        <v>-35663</v>
      </c>
      <c r="C9" s="27">
        <v>44439</v>
      </c>
      <c r="D9" s="23">
        <v>44446</v>
      </c>
    </row>
    <row r="10" spans="1:4" s="14" customFormat="1" ht="15" customHeight="1" x14ac:dyDescent="0.25">
      <c r="B10" s="31"/>
      <c r="C10" s="27"/>
      <c r="D10" s="17"/>
    </row>
    <row r="11" spans="1:4" s="14" customFormat="1" ht="15" customHeight="1" x14ac:dyDescent="0.25">
      <c r="B11" s="31"/>
      <c r="C11" s="27"/>
      <c r="D11" s="17"/>
    </row>
    <row r="12" spans="1:4" s="14" customFormat="1" ht="15" customHeight="1" x14ac:dyDescent="0.25">
      <c r="B12" s="31"/>
      <c r="C12" s="27"/>
      <c r="D12" s="17"/>
    </row>
    <row r="13" spans="1:4" s="14" customFormat="1" ht="15" customHeight="1" x14ac:dyDescent="0.25">
      <c r="B13" s="31"/>
      <c r="C13" s="27"/>
      <c r="D13" s="17"/>
    </row>
    <row r="14" spans="1:4" s="14" customFormat="1" ht="15" customHeight="1" x14ac:dyDescent="0.25">
      <c r="B14" s="31">
        <f>SUM(B9:B13)</f>
        <v>-35663</v>
      </c>
      <c r="C14" s="16"/>
      <c r="D14" s="23"/>
    </row>
    <row r="15" spans="1:4" s="14" customFormat="1" ht="15" customHeight="1" x14ac:dyDescent="0.25">
      <c r="A15" s="14" t="s">
        <v>2</v>
      </c>
      <c r="B15" s="31"/>
      <c r="C15" s="26" t="s">
        <v>730</v>
      </c>
      <c r="D15" s="28" t="s">
        <v>829</v>
      </c>
    </row>
    <row r="16" spans="1:4" s="14" customFormat="1" ht="15" customHeight="1" x14ac:dyDescent="0.25">
      <c r="A16" s="14" t="s">
        <v>1158</v>
      </c>
      <c r="B16" s="31">
        <v>22849</v>
      </c>
      <c r="C16" s="27">
        <v>44439</v>
      </c>
      <c r="D16" s="23">
        <v>44446</v>
      </c>
    </row>
    <row r="17" spans="1:13" s="14" customFormat="1" ht="15" customHeight="1" x14ac:dyDescent="0.25">
      <c r="A17" s="14" t="s">
        <v>1155</v>
      </c>
      <c r="B17" s="31">
        <v>22849</v>
      </c>
      <c r="C17" s="27">
        <v>44438</v>
      </c>
      <c r="D17" s="23">
        <v>44441</v>
      </c>
    </row>
    <row r="18" spans="1:13" s="14" customFormat="1" ht="15" customHeight="1" x14ac:dyDescent="0.25">
      <c r="A18" s="14" t="s">
        <v>1156</v>
      </c>
      <c r="B18" s="31">
        <v>22946</v>
      </c>
      <c r="C18" s="27">
        <v>44439</v>
      </c>
      <c r="D18" s="23">
        <v>44443</v>
      </c>
    </row>
    <row r="19" spans="1:13" s="14" customFormat="1" ht="15" customHeight="1" x14ac:dyDescent="0.25">
      <c r="A19" s="14" t="s">
        <v>1159</v>
      </c>
      <c r="B19" s="31">
        <v>23275</v>
      </c>
      <c r="C19" s="27">
        <v>44439</v>
      </c>
      <c r="D19" s="23">
        <v>44446</v>
      </c>
    </row>
    <row r="20" spans="1:13" s="14" customFormat="1" ht="15" customHeight="1" x14ac:dyDescent="0.25">
      <c r="A20" s="14" t="s">
        <v>1160</v>
      </c>
      <c r="B20" s="31">
        <v>30154</v>
      </c>
      <c r="C20" s="27">
        <v>44439</v>
      </c>
      <c r="D20" s="23">
        <v>44446</v>
      </c>
    </row>
    <row r="21" spans="1:13" s="14" customFormat="1" ht="15" customHeight="1" x14ac:dyDescent="0.25">
      <c r="A21" s="14" t="s">
        <v>1161</v>
      </c>
      <c r="B21" s="31">
        <v>30408</v>
      </c>
      <c r="C21" s="27">
        <v>44439</v>
      </c>
      <c r="D21" s="23">
        <v>44446</v>
      </c>
    </row>
    <row r="22" spans="1:13" s="14" customFormat="1" ht="15" customHeight="1" x14ac:dyDescent="0.25">
      <c r="A22" s="14" t="s">
        <v>1162</v>
      </c>
      <c r="B22" s="31">
        <v>30758</v>
      </c>
      <c r="C22" s="27">
        <v>44439</v>
      </c>
      <c r="D22" s="23">
        <v>44446</v>
      </c>
    </row>
    <row r="23" spans="1:13" s="14" customFormat="1" ht="47.25" x14ac:dyDescent="0.25">
      <c r="A23" s="41" t="s">
        <v>1153</v>
      </c>
      <c r="B23" s="42">
        <v>30760</v>
      </c>
      <c r="C23" s="43">
        <v>44432</v>
      </c>
      <c r="D23" s="21" t="s">
        <v>1166</v>
      </c>
    </row>
    <row r="24" spans="1:13" s="14" customFormat="1" ht="15" customHeight="1" x14ac:dyDescent="0.25">
      <c r="A24" s="14" t="s">
        <v>1163</v>
      </c>
      <c r="B24" s="31">
        <v>32768</v>
      </c>
      <c r="C24" s="27">
        <v>44439</v>
      </c>
      <c r="D24" s="23">
        <v>44446</v>
      </c>
    </row>
    <row r="25" spans="1:13" s="14" customFormat="1" ht="15" customHeight="1" x14ac:dyDescent="0.25">
      <c r="A25" s="14" t="s">
        <v>1157</v>
      </c>
      <c r="B25" s="31">
        <v>33920</v>
      </c>
      <c r="C25" s="27">
        <v>44439</v>
      </c>
      <c r="D25" s="23">
        <v>44441</v>
      </c>
    </row>
    <row r="26" spans="1:13" s="14" customFormat="1" ht="15" customHeight="1" x14ac:dyDescent="0.25">
      <c r="B26" s="31"/>
      <c r="C26" s="27"/>
      <c r="D26" s="23"/>
    </row>
    <row r="27" spans="1:13" s="14" customFormat="1" ht="15" customHeight="1" x14ac:dyDescent="0.25">
      <c r="B27" s="31"/>
      <c r="C27" s="27"/>
      <c r="D27" s="23"/>
    </row>
    <row r="28" spans="1:13" s="14" customFormat="1" ht="15" customHeight="1" x14ac:dyDescent="0.25">
      <c r="B28" s="31"/>
      <c r="C28" s="27"/>
      <c r="D28" s="23"/>
    </row>
    <row r="29" spans="1:13" s="14" customFormat="1" ht="15" customHeight="1" x14ac:dyDescent="0.25">
      <c r="B29" s="31">
        <f>SUM(B16:B28)</f>
        <v>280687</v>
      </c>
      <c r="C29" s="16"/>
      <c r="D29" s="21"/>
      <c r="E29" s="21"/>
      <c r="F29" s="21"/>
    </row>
    <row r="30" spans="1:13" s="16" customFormat="1" ht="15" customHeight="1" x14ac:dyDescent="0.25">
      <c r="A30" s="18" t="s">
        <v>1</v>
      </c>
      <c r="B30" s="19">
        <f>B29+B14</f>
        <v>245024</v>
      </c>
      <c r="D30" s="23"/>
      <c r="E30" s="21"/>
      <c r="F30" s="21"/>
      <c r="G30" s="21"/>
    </row>
    <row r="31" spans="1:13" s="16" customFormat="1" ht="15" customHeight="1" x14ac:dyDescent="0.25">
      <c r="A31" s="14" t="s">
        <v>0</v>
      </c>
      <c r="B31" s="15">
        <f>B30-B7</f>
        <v>0</v>
      </c>
      <c r="D31" s="23"/>
      <c r="E31" s="14"/>
      <c r="F31" s="14"/>
      <c r="G31" s="14"/>
      <c r="H31" s="14"/>
      <c r="I31" s="14"/>
    </row>
    <row r="32" spans="1:13" s="16" customFormat="1" ht="15" customHeight="1" x14ac:dyDescent="0.3">
      <c r="A32" s="1"/>
      <c r="B32" s="3"/>
      <c r="C32" s="2"/>
      <c r="D32" s="23"/>
      <c r="E32" s="14"/>
      <c r="F32" s="14"/>
      <c r="G32" s="14"/>
      <c r="I32" s="14"/>
      <c r="M32" s="14" t="s">
        <v>1164</v>
      </c>
    </row>
    <row r="33" spans="1:13" s="16" customFormat="1" ht="15" customHeight="1" x14ac:dyDescent="0.3">
      <c r="A33" s="1"/>
      <c r="B33" s="3"/>
      <c r="C33" s="2"/>
      <c r="D33" s="29"/>
      <c r="E33" s="14"/>
      <c r="F33" s="14"/>
      <c r="G33" s="14"/>
      <c r="I33" s="14"/>
      <c r="M33" s="14" t="s">
        <v>1165</v>
      </c>
    </row>
    <row r="34" spans="1:13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13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13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13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</sheetData>
  <pageMargins left="0.7" right="0.7" top="0.75" bottom="0.75" header="0.3" footer="0.3"/>
  <pageSetup fitToWidth="0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8E7A-B558-4E54-A9CD-0E6CE4162CB4}">
  <sheetPr>
    <pageSetUpPr fitToPage="1"/>
  </sheetPr>
  <dimension ref="A1:M39"/>
  <sheetViews>
    <sheetView workbookViewId="0">
      <selection activeCell="D17" sqref="D17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44469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2698321.7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-2643135.7000000002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-2643135.7000000002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55186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B9" s="31"/>
      <c r="C9" s="27"/>
      <c r="D9" s="23"/>
    </row>
    <row r="10" spans="1:4" s="14" customFormat="1" ht="15" customHeight="1" x14ac:dyDescent="0.25">
      <c r="B10" s="31"/>
      <c r="C10" s="27"/>
      <c r="D10" s="17"/>
    </row>
    <row r="11" spans="1:4" s="14" customFormat="1" ht="15" customHeight="1" x14ac:dyDescent="0.25">
      <c r="B11" s="31"/>
      <c r="C11" s="27"/>
      <c r="D11" s="17"/>
    </row>
    <row r="12" spans="1:4" s="14" customFormat="1" ht="15" customHeight="1" x14ac:dyDescent="0.25">
      <c r="B12" s="31"/>
      <c r="C12" s="27"/>
      <c r="D12" s="17"/>
    </row>
    <row r="13" spans="1:4" s="14" customFormat="1" ht="15" customHeight="1" x14ac:dyDescent="0.25">
      <c r="B13" s="31"/>
      <c r="C13" s="27"/>
      <c r="D13" s="17"/>
    </row>
    <row r="14" spans="1:4" s="14" customFormat="1" ht="15" customHeight="1" x14ac:dyDescent="0.25">
      <c r="B14" s="31">
        <f>SUM(B9:B13)</f>
        <v>0</v>
      </c>
      <c r="C14" s="16"/>
      <c r="D14" s="23"/>
    </row>
    <row r="15" spans="1:4" s="14" customFormat="1" ht="15" customHeight="1" x14ac:dyDescent="0.25">
      <c r="A15" s="14" t="s">
        <v>2</v>
      </c>
      <c r="B15" s="31"/>
      <c r="C15" s="26" t="s">
        <v>730</v>
      </c>
      <c r="D15" s="28" t="s">
        <v>829</v>
      </c>
    </row>
    <row r="16" spans="1:4" s="14" customFormat="1" ht="15.75" x14ac:dyDescent="0.25">
      <c r="A16" s="14" t="s">
        <v>1167</v>
      </c>
      <c r="B16" s="31">
        <v>24426</v>
      </c>
      <c r="C16" s="27">
        <v>44469</v>
      </c>
      <c r="D16" s="23">
        <v>44475</v>
      </c>
    </row>
    <row r="17" spans="1:13" s="14" customFormat="1" ht="64.5" customHeight="1" x14ac:dyDescent="0.25">
      <c r="A17" s="14" t="s">
        <v>1153</v>
      </c>
      <c r="B17" s="31">
        <v>30760</v>
      </c>
      <c r="C17" s="27">
        <v>44432</v>
      </c>
      <c r="D17" s="44" t="s">
        <v>1168</v>
      </c>
      <c r="E17" s="21"/>
    </row>
    <row r="18" spans="1:13" s="14" customFormat="1" ht="15" customHeight="1" x14ac:dyDescent="0.25">
      <c r="B18" s="31"/>
      <c r="C18" s="27"/>
      <c r="D18" s="44"/>
      <c r="E18" s="21"/>
    </row>
    <row r="19" spans="1:13" s="14" customFormat="1" ht="15" customHeight="1" x14ac:dyDescent="0.25">
      <c r="B19" s="31"/>
      <c r="C19" s="27"/>
      <c r="D19" s="23"/>
    </row>
    <row r="20" spans="1:13" s="14" customFormat="1" ht="15" customHeight="1" x14ac:dyDescent="0.25">
      <c r="B20" s="31"/>
      <c r="C20" s="27"/>
      <c r="D20" s="23"/>
    </row>
    <row r="21" spans="1:13" s="14" customFormat="1" ht="15" customHeight="1" x14ac:dyDescent="0.25">
      <c r="B21" s="31"/>
      <c r="C21" s="27"/>
      <c r="D21" s="23"/>
    </row>
    <row r="22" spans="1:13" s="14" customFormat="1" ht="15" customHeight="1" x14ac:dyDescent="0.25">
      <c r="B22" s="31"/>
      <c r="C22" s="27"/>
      <c r="D22" s="23"/>
    </row>
    <row r="23" spans="1:13" s="14" customFormat="1" ht="15.75" x14ac:dyDescent="0.25">
      <c r="A23" s="41"/>
      <c r="B23" s="42"/>
      <c r="C23" s="43"/>
      <c r="D23" s="21"/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/>
      <c r="C25" s="27"/>
      <c r="D25" s="23"/>
    </row>
    <row r="26" spans="1:13" s="14" customFormat="1" ht="15" customHeight="1" x14ac:dyDescent="0.25">
      <c r="B26" s="31"/>
      <c r="C26" s="27"/>
      <c r="D26" s="23"/>
    </row>
    <row r="27" spans="1:13" s="14" customFormat="1" ht="15" customHeight="1" x14ac:dyDescent="0.25">
      <c r="B27" s="31"/>
      <c r="C27" s="27"/>
      <c r="D27" s="23"/>
    </row>
    <row r="28" spans="1:13" s="14" customFormat="1" ht="15" customHeight="1" x14ac:dyDescent="0.25">
      <c r="B28" s="31"/>
      <c r="C28" s="27"/>
      <c r="D28" s="23"/>
    </row>
    <row r="29" spans="1:13" s="14" customFormat="1" ht="15" customHeight="1" x14ac:dyDescent="0.25">
      <c r="B29" s="31">
        <f>SUM(B16:B28)</f>
        <v>55186</v>
      </c>
      <c r="C29" s="16"/>
      <c r="D29" s="21"/>
      <c r="E29" s="21"/>
      <c r="F29" s="21"/>
    </row>
    <row r="30" spans="1:13" s="16" customFormat="1" ht="15" customHeight="1" x14ac:dyDescent="0.25">
      <c r="A30" s="18" t="s">
        <v>1</v>
      </c>
      <c r="B30" s="19">
        <f>B29+B14</f>
        <v>55186</v>
      </c>
      <c r="D30" s="23"/>
      <c r="E30" s="21"/>
      <c r="F30" s="21"/>
      <c r="G30" s="21"/>
    </row>
    <row r="31" spans="1:13" s="16" customFormat="1" ht="15" customHeight="1" x14ac:dyDescent="0.25">
      <c r="A31" s="14" t="s">
        <v>0</v>
      </c>
      <c r="B31" s="15">
        <f>B30-B7</f>
        <v>0</v>
      </c>
      <c r="D31" s="23"/>
      <c r="E31" s="14"/>
      <c r="F31" s="14"/>
      <c r="G31" s="14"/>
      <c r="H31" s="14"/>
      <c r="I31" s="14"/>
    </row>
    <row r="32" spans="1:13" s="16" customFormat="1" ht="15" customHeight="1" x14ac:dyDescent="0.3">
      <c r="A32" s="1"/>
      <c r="B32" s="3"/>
      <c r="C32" s="2"/>
      <c r="D32" s="23"/>
      <c r="E32" s="14"/>
      <c r="F32" s="14"/>
      <c r="G32" s="14"/>
      <c r="I32" s="14"/>
      <c r="M32" s="14" t="s">
        <v>1164</v>
      </c>
    </row>
    <row r="33" spans="1:13" s="16" customFormat="1" ht="15" customHeight="1" x14ac:dyDescent="0.3">
      <c r="A33" s="1"/>
      <c r="B33" s="3"/>
      <c r="C33" s="2"/>
      <c r="D33" s="29"/>
      <c r="E33" s="14"/>
      <c r="F33" s="14"/>
      <c r="G33" s="14"/>
      <c r="I33" s="14"/>
      <c r="M33" s="14" t="s">
        <v>1165</v>
      </c>
    </row>
    <row r="34" spans="1:13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13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13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13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</sheetData>
  <pageMargins left="0.7" right="0.7" top="0.75" bottom="0.75" header="0.3" footer="0.3"/>
  <pageSetup fitToWidth="0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A70CD-33DA-46DA-B1A7-CADE31D13F6C}">
  <sheetPr>
    <pageSetUpPr fitToPage="1"/>
  </sheetPr>
  <dimension ref="A1:M35"/>
  <sheetViews>
    <sheetView workbookViewId="0">
      <selection activeCell="D17" sqref="D17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44500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2239782.7000000002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-2242081.7000000002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-2242081.7000000002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-2299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1169</v>
      </c>
      <c r="B9" s="31">
        <v>-31289</v>
      </c>
      <c r="C9" s="27">
        <v>44499</v>
      </c>
      <c r="D9" s="23">
        <v>44501</v>
      </c>
    </row>
    <row r="10" spans="1:4" s="14" customFormat="1" ht="15" customHeight="1" x14ac:dyDescent="0.25">
      <c r="A10" s="14" t="s">
        <v>1170</v>
      </c>
      <c r="B10" s="31">
        <v>-32647</v>
      </c>
      <c r="C10" s="27">
        <v>44499</v>
      </c>
      <c r="D10" s="17">
        <v>44503</v>
      </c>
    </row>
    <row r="11" spans="1:4" s="14" customFormat="1" ht="15" customHeight="1" x14ac:dyDescent="0.25">
      <c r="B11" s="31"/>
      <c r="C11" s="27"/>
      <c r="D11" s="17"/>
    </row>
    <row r="12" spans="1:4" s="14" customFormat="1" ht="15" customHeight="1" x14ac:dyDescent="0.25">
      <c r="B12" s="31"/>
      <c r="C12" s="27"/>
      <c r="D12" s="17"/>
    </row>
    <row r="13" spans="1:4" s="14" customFormat="1" ht="15" customHeight="1" x14ac:dyDescent="0.25">
      <c r="B13" s="31"/>
      <c r="C13" s="27"/>
      <c r="D13" s="17"/>
    </row>
    <row r="14" spans="1:4" s="14" customFormat="1" ht="15" customHeight="1" x14ac:dyDescent="0.25">
      <c r="B14" s="31">
        <f>SUM(B9:B13)</f>
        <v>-63936</v>
      </c>
      <c r="C14" s="16"/>
      <c r="D14" s="23"/>
    </row>
    <row r="15" spans="1:4" s="14" customFormat="1" ht="15" customHeight="1" x14ac:dyDescent="0.25">
      <c r="A15" s="14" t="s">
        <v>2</v>
      </c>
      <c r="B15" s="31"/>
      <c r="C15" s="26" t="s">
        <v>730</v>
      </c>
      <c r="D15" s="28" t="s">
        <v>829</v>
      </c>
    </row>
    <row r="16" spans="1:4" s="14" customFormat="1" ht="15.75" x14ac:dyDescent="0.25">
      <c r="A16" s="14" t="s">
        <v>1153</v>
      </c>
      <c r="B16" s="31">
        <v>30760</v>
      </c>
      <c r="C16" s="27" t="s">
        <v>1172</v>
      </c>
      <c r="D16" s="23" t="s">
        <v>1173</v>
      </c>
    </row>
    <row r="17" spans="1:13" s="14" customFormat="1" ht="15" customHeight="1" x14ac:dyDescent="0.25">
      <c r="A17" s="14" t="s">
        <v>1171</v>
      </c>
      <c r="B17" s="31">
        <v>30877</v>
      </c>
      <c r="C17" s="27">
        <v>44494</v>
      </c>
      <c r="D17" s="44">
        <v>44503</v>
      </c>
      <c r="E17" s="21"/>
    </row>
    <row r="18" spans="1:13" s="14" customFormat="1" ht="15" customHeight="1" x14ac:dyDescent="0.25">
      <c r="B18" s="31"/>
      <c r="C18" s="27"/>
      <c r="D18" s="23"/>
    </row>
    <row r="19" spans="1:13" s="14" customFormat="1" ht="15" customHeight="1" x14ac:dyDescent="0.25">
      <c r="B19" s="31"/>
      <c r="C19" s="27"/>
      <c r="D19" s="23"/>
    </row>
    <row r="20" spans="1:13" s="14" customFormat="1" ht="15" customHeight="1" x14ac:dyDescent="0.25">
      <c r="B20" s="31"/>
      <c r="C20" s="27"/>
      <c r="D20" s="23"/>
    </row>
    <row r="21" spans="1:13" s="14" customFormat="1" ht="15" customHeight="1" x14ac:dyDescent="0.25">
      <c r="B21" s="31"/>
      <c r="C21" s="27"/>
      <c r="D21" s="23"/>
    </row>
    <row r="22" spans="1:13" s="14" customFormat="1" ht="15" customHeight="1" x14ac:dyDescent="0.25">
      <c r="B22" s="31"/>
      <c r="C22" s="27"/>
      <c r="D22" s="23"/>
    </row>
    <row r="23" spans="1:13" s="14" customFormat="1" ht="15" customHeight="1" x14ac:dyDescent="0.25">
      <c r="B23" s="31"/>
      <c r="C23" s="27"/>
      <c r="D23" s="23"/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>
        <f>SUM(B16:B24)</f>
        <v>61637</v>
      </c>
      <c r="C25" s="16"/>
      <c r="D25" s="21"/>
      <c r="E25" s="21"/>
      <c r="F25" s="21"/>
    </row>
    <row r="26" spans="1:13" s="16" customFormat="1" ht="15" customHeight="1" x14ac:dyDescent="0.25">
      <c r="A26" s="18" t="s">
        <v>1</v>
      </c>
      <c r="B26" s="19">
        <f>B25+B14</f>
        <v>-2299</v>
      </c>
      <c r="D26" s="23"/>
      <c r="E26" s="21"/>
      <c r="F26" s="21"/>
      <c r="G26" s="21"/>
    </row>
    <row r="27" spans="1:13" s="16" customFormat="1" ht="15" customHeight="1" x14ac:dyDescent="0.25">
      <c r="A27" s="14" t="s">
        <v>0</v>
      </c>
      <c r="B27" s="15">
        <f>B26-B7</f>
        <v>0</v>
      </c>
      <c r="D27" s="23"/>
      <c r="E27" s="14"/>
      <c r="F27" s="14"/>
      <c r="G27" s="14"/>
      <c r="H27" s="14"/>
      <c r="I27" s="14"/>
    </row>
    <row r="28" spans="1:13" s="16" customFormat="1" ht="15" customHeight="1" x14ac:dyDescent="0.3">
      <c r="A28" s="1"/>
      <c r="B28" s="3"/>
      <c r="C28" s="2"/>
      <c r="D28" s="23"/>
      <c r="E28" s="14"/>
      <c r="F28" s="14"/>
      <c r="G28" s="14"/>
      <c r="I28" s="14"/>
      <c r="M28" s="14" t="s">
        <v>1164</v>
      </c>
    </row>
    <row r="29" spans="1:13" s="16" customFormat="1" ht="15" customHeight="1" x14ac:dyDescent="0.3">
      <c r="A29" s="1"/>
      <c r="B29" s="3"/>
      <c r="C29" s="2"/>
      <c r="D29" s="29"/>
      <c r="E29" s="14"/>
      <c r="F29" s="14"/>
      <c r="G29" s="14"/>
      <c r="I29" s="14"/>
      <c r="M29" s="14" t="s">
        <v>1165</v>
      </c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</sheetData>
  <pageMargins left="0.7" right="0.7" top="0.75" bottom="0.75" header="0.3" footer="0.3"/>
  <pageSetup fitToWidth="0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8DDC-6116-4B10-A935-826D9BB9CA0D}">
  <sheetPr>
    <pageSetUpPr fitToPage="1"/>
  </sheetPr>
  <dimension ref="A1:M35"/>
  <sheetViews>
    <sheetView workbookViewId="0">
      <selection activeCell="D19" sqref="D19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44530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1464932.3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-1373677.3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-1373677.3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91255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B9" s="31"/>
      <c r="C9" s="27"/>
      <c r="D9" s="23"/>
    </row>
    <row r="10" spans="1:4" s="14" customFormat="1" ht="15" customHeight="1" x14ac:dyDescent="0.25">
      <c r="B10" s="31"/>
      <c r="C10" s="27"/>
      <c r="D10" s="17"/>
    </row>
    <row r="11" spans="1:4" s="14" customFormat="1" ht="15" customHeight="1" x14ac:dyDescent="0.25">
      <c r="B11" s="31"/>
      <c r="C11" s="27"/>
      <c r="D11" s="17"/>
    </row>
    <row r="12" spans="1:4" s="14" customFormat="1" ht="15" customHeight="1" x14ac:dyDescent="0.25">
      <c r="B12" s="31"/>
      <c r="C12" s="27"/>
      <c r="D12" s="17"/>
    </row>
    <row r="13" spans="1:4" s="14" customFormat="1" ht="15" customHeight="1" x14ac:dyDescent="0.25">
      <c r="B13" s="31"/>
      <c r="C13" s="27"/>
      <c r="D13" s="17"/>
    </row>
    <row r="14" spans="1:4" s="14" customFormat="1" ht="15" customHeight="1" x14ac:dyDescent="0.25">
      <c r="B14" s="31">
        <f>SUM(B9:B13)</f>
        <v>0</v>
      </c>
      <c r="C14" s="16"/>
      <c r="D14" s="23"/>
    </row>
    <row r="15" spans="1:4" s="14" customFormat="1" ht="15" customHeight="1" x14ac:dyDescent="0.25">
      <c r="A15" s="14" t="s">
        <v>2</v>
      </c>
      <c r="B15" s="31"/>
      <c r="C15" s="26" t="s">
        <v>730</v>
      </c>
      <c r="D15" s="28" t="s">
        <v>829</v>
      </c>
    </row>
    <row r="16" spans="1:4" s="14" customFormat="1" ht="15.75" x14ac:dyDescent="0.25">
      <c r="A16" s="14" t="s">
        <v>1174</v>
      </c>
      <c r="B16" s="31">
        <v>27359</v>
      </c>
      <c r="C16" s="27">
        <v>44529</v>
      </c>
      <c r="D16" s="23">
        <v>44531</v>
      </c>
    </row>
    <row r="17" spans="1:13" s="14" customFormat="1" ht="15" customHeight="1" x14ac:dyDescent="0.25">
      <c r="A17" s="14" t="s">
        <v>1175</v>
      </c>
      <c r="B17" s="31">
        <v>30488</v>
      </c>
      <c r="C17" s="27">
        <v>44529</v>
      </c>
      <c r="D17" s="44">
        <v>44537</v>
      </c>
      <c r="E17" s="21"/>
    </row>
    <row r="18" spans="1:13" s="14" customFormat="1" ht="15" customHeight="1" x14ac:dyDescent="0.25">
      <c r="A18" s="14" t="s">
        <v>1176</v>
      </c>
      <c r="B18" s="31">
        <v>33408</v>
      </c>
      <c r="C18" s="27">
        <v>44522</v>
      </c>
      <c r="D18" s="23">
        <v>44531</v>
      </c>
    </row>
    <row r="19" spans="1:13" s="14" customFormat="1" ht="15" customHeight="1" x14ac:dyDescent="0.25">
      <c r="B19" s="31"/>
      <c r="C19" s="27"/>
      <c r="D19" s="23"/>
    </row>
    <row r="20" spans="1:13" s="14" customFormat="1" ht="15" customHeight="1" x14ac:dyDescent="0.25">
      <c r="B20" s="31"/>
      <c r="C20" s="27"/>
      <c r="D20" s="23"/>
    </row>
    <row r="21" spans="1:13" s="14" customFormat="1" ht="15" customHeight="1" x14ac:dyDescent="0.25">
      <c r="B21" s="31"/>
      <c r="C21" s="27"/>
      <c r="D21" s="23"/>
    </row>
    <row r="22" spans="1:13" s="14" customFormat="1" ht="15" customHeight="1" x14ac:dyDescent="0.25">
      <c r="B22" s="31"/>
      <c r="C22" s="27"/>
      <c r="D22" s="23"/>
    </row>
    <row r="23" spans="1:13" s="14" customFormat="1" ht="15" customHeight="1" x14ac:dyDescent="0.25">
      <c r="B23" s="31"/>
      <c r="C23" s="27"/>
      <c r="D23" s="23"/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>
        <f>SUM(B16:B24)</f>
        <v>91255</v>
      </c>
      <c r="C25" s="16"/>
      <c r="D25" s="21"/>
      <c r="E25" s="21"/>
      <c r="F25" s="21"/>
    </row>
    <row r="26" spans="1:13" s="16" customFormat="1" ht="15" customHeight="1" x14ac:dyDescent="0.25">
      <c r="A26" s="18" t="s">
        <v>1</v>
      </c>
      <c r="B26" s="19">
        <f>B25+B14</f>
        <v>91255</v>
      </c>
      <c r="D26" s="23"/>
      <c r="E26" s="21"/>
      <c r="F26" s="21"/>
      <c r="G26" s="21"/>
    </row>
    <row r="27" spans="1:13" s="16" customFormat="1" ht="15" customHeight="1" x14ac:dyDescent="0.25">
      <c r="A27" s="14" t="s">
        <v>0</v>
      </c>
      <c r="B27" s="15">
        <f>B26-B7</f>
        <v>0</v>
      </c>
      <c r="D27" s="23"/>
      <c r="E27" s="14"/>
      <c r="F27" s="14"/>
      <c r="G27" s="14"/>
      <c r="H27" s="14"/>
      <c r="I27" s="14"/>
    </row>
    <row r="28" spans="1:13" s="16" customFormat="1" ht="15" customHeight="1" x14ac:dyDescent="0.3">
      <c r="A28" s="1"/>
      <c r="B28" s="3"/>
      <c r="C28" s="2"/>
      <c r="D28" s="23"/>
      <c r="E28" s="14"/>
      <c r="F28" s="14"/>
      <c r="G28" s="14"/>
      <c r="I28" s="14"/>
      <c r="M28" s="14" t="s">
        <v>1164</v>
      </c>
    </row>
    <row r="29" spans="1:13" s="16" customFormat="1" ht="15" customHeight="1" x14ac:dyDescent="0.3">
      <c r="A29" s="1"/>
      <c r="B29" s="3"/>
      <c r="C29" s="2"/>
      <c r="D29" s="29"/>
      <c r="E29" s="14"/>
      <c r="F29" s="14"/>
      <c r="G29" s="14"/>
      <c r="I29" s="14"/>
      <c r="M29" s="14" t="s">
        <v>1165</v>
      </c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</sheetData>
  <pageMargins left="0.7" right="0.7" top="0.75" bottom="0.75" header="0.3" footer="0.3"/>
  <pageSetup fitToWidth="0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0EBE-BFB3-4BC1-AEF9-9FFF574C6F73}">
  <sheetPr>
    <pageSetUpPr fitToPage="1"/>
  </sheetPr>
  <dimension ref="A1:M39"/>
  <sheetViews>
    <sheetView workbookViewId="0">
      <selection activeCell="D18" sqref="D18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44561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1580132.8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-1721799.8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-1721799.8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-141667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1177</v>
      </c>
      <c r="B9" s="31">
        <v>-24404</v>
      </c>
      <c r="C9" s="27">
        <v>44561</v>
      </c>
      <c r="D9" s="23">
        <v>44564</v>
      </c>
    </row>
    <row r="10" spans="1:4" s="14" customFormat="1" ht="15" customHeight="1" x14ac:dyDescent="0.25">
      <c r="A10" s="14" t="s">
        <v>1178</v>
      </c>
      <c r="B10" s="31">
        <v>-24576</v>
      </c>
      <c r="C10" s="27">
        <v>44561</v>
      </c>
      <c r="D10" s="17">
        <v>44564</v>
      </c>
    </row>
    <row r="11" spans="1:4" s="14" customFormat="1" ht="15" customHeight="1" x14ac:dyDescent="0.25">
      <c r="A11" s="14" t="s">
        <v>1179</v>
      </c>
      <c r="B11" s="31">
        <v>-27216</v>
      </c>
      <c r="C11" s="27">
        <v>44561</v>
      </c>
      <c r="D11" s="17">
        <v>44564</v>
      </c>
    </row>
    <row r="12" spans="1:4" s="14" customFormat="1" ht="15" customHeight="1" x14ac:dyDescent="0.25">
      <c r="A12" s="14" t="s">
        <v>1180</v>
      </c>
      <c r="B12" s="31">
        <v>-28465</v>
      </c>
      <c r="C12" s="27">
        <v>44561</v>
      </c>
      <c r="D12" s="17">
        <v>44564</v>
      </c>
    </row>
    <row r="13" spans="1:4" s="14" customFormat="1" ht="15" customHeight="1" x14ac:dyDescent="0.25">
      <c r="A13" s="14" t="s">
        <v>1181</v>
      </c>
      <c r="B13" s="31">
        <v>-28465</v>
      </c>
      <c r="C13" s="27">
        <v>44561</v>
      </c>
      <c r="D13" s="17">
        <v>44567</v>
      </c>
    </row>
    <row r="14" spans="1:4" s="14" customFormat="1" ht="15" customHeight="1" x14ac:dyDescent="0.25">
      <c r="A14" s="14" t="s">
        <v>1182</v>
      </c>
      <c r="B14" s="31">
        <v>-29094</v>
      </c>
      <c r="C14" s="27">
        <v>44561</v>
      </c>
      <c r="D14" s="17">
        <v>44566</v>
      </c>
    </row>
    <row r="15" spans="1:4" s="14" customFormat="1" ht="15" customHeight="1" x14ac:dyDescent="0.25">
      <c r="A15" s="14" t="s">
        <v>1183</v>
      </c>
      <c r="B15" s="31">
        <v>-30632</v>
      </c>
      <c r="C15" s="27">
        <v>44561</v>
      </c>
      <c r="D15" s="17">
        <v>44566</v>
      </c>
    </row>
    <row r="16" spans="1:4" s="14" customFormat="1" ht="15" customHeight="1" x14ac:dyDescent="0.25">
      <c r="A16" s="14" t="s">
        <v>1184</v>
      </c>
      <c r="B16" s="31">
        <v>-34307</v>
      </c>
      <c r="C16" s="27">
        <v>44560</v>
      </c>
      <c r="D16" s="17">
        <v>44564</v>
      </c>
    </row>
    <row r="17" spans="1:13" s="14" customFormat="1" ht="15" customHeight="1" x14ac:dyDescent="0.25">
      <c r="A17" s="14" t="s">
        <v>1185</v>
      </c>
      <c r="B17" s="31">
        <v>-37146</v>
      </c>
      <c r="C17" s="27">
        <v>44561</v>
      </c>
      <c r="D17" s="17">
        <v>44199</v>
      </c>
    </row>
    <row r="18" spans="1:13" s="14" customFormat="1" ht="15" customHeight="1" x14ac:dyDescent="0.25">
      <c r="A18" s="14" t="s">
        <v>1186</v>
      </c>
      <c r="B18" s="31">
        <v>-43602</v>
      </c>
      <c r="C18" s="27">
        <v>44559</v>
      </c>
      <c r="D18" s="17">
        <v>44566</v>
      </c>
    </row>
    <row r="19" spans="1:13" s="14" customFormat="1" ht="15" customHeight="1" x14ac:dyDescent="0.25">
      <c r="B19" s="31"/>
      <c r="C19" s="27"/>
      <c r="D19" s="17"/>
    </row>
    <row r="20" spans="1:13" s="14" customFormat="1" ht="15" customHeight="1" x14ac:dyDescent="0.25">
      <c r="B20" s="31">
        <f>SUM(B9:B19)</f>
        <v>-307907</v>
      </c>
      <c r="C20" s="16"/>
      <c r="D20" s="23"/>
    </row>
    <row r="21" spans="1:13" s="14" customFormat="1" ht="15" customHeight="1" x14ac:dyDescent="0.25">
      <c r="A21" s="14" t="s">
        <v>2</v>
      </c>
      <c r="B21" s="31"/>
      <c r="C21" s="26" t="s">
        <v>730</v>
      </c>
      <c r="D21" s="28" t="s">
        <v>829</v>
      </c>
    </row>
    <row r="22" spans="1:13" s="14" customFormat="1" ht="15.75" x14ac:dyDescent="0.25">
      <c r="A22" s="14" t="s">
        <v>1187</v>
      </c>
      <c r="B22" s="31">
        <v>25945</v>
      </c>
      <c r="C22" s="27">
        <v>44558</v>
      </c>
      <c r="D22" s="23">
        <v>44567</v>
      </c>
    </row>
    <row r="23" spans="1:13" s="14" customFormat="1" ht="15" customHeight="1" x14ac:dyDescent="0.25">
      <c r="A23" s="14" t="s">
        <v>1188</v>
      </c>
      <c r="B23" s="31">
        <v>25945</v>
      </c>
      <c r="C23" s="27">
        <v>44558</v>
      </c>
      <c r="D23" s="44">
        <v>44567</v>
      </c>
      <c r="E23" s="21"/>
    </row>
    <row r="24" spans="1:13" s="14" customFormat="1" ht="15" customHeight="1" x14ac:dyDescent="0.25">
      <c r="A24" s="14" t="s">
        <v>1189</v>
      </c>
      <c r="B24" s="31">
        <v>26105</v>
      </c>
      <c r="C24" s="27">
        <v>44558</v>
      </c>
      <c r="D24" s="23">
        <v>44567</v>
      </c>
    </row>
    <row r="25" spans="1:13" s="14" customFormat="1" ht="15" customHeight="1" x14ac:dyDescent="0.25">
      <c r="A25" s="14" t="s">
        <v>1190</v>
      </c>
      <c r="B25" s="31">
        <v>26383</v>
      </c>
      <c r="C25" s="27">
        <v>44558</v>
      </c>
      <c r="D25" s="23">
        <v>44567</v>
      </c>
    </row>
    <row r="26" spans="1:13" s="14" customFormat="1" ht="15" customHeight="1" x14ac:dyDescent="0.25">
      <c r="A26" s="14" t="s">
        <v>1191</v>
      </c>
      <c r="B26" s="31">
        <v>29398</v>
      </c>
      <c r="C26" s="27">
        <v>44897</v>
      </c>
      <c r="D26" s="23">
        <v>44562</v>
      </c>
    </row>
    <row r="27" spans="1:13" s="14" customFormat="1" ht="15" customHeight="1" x14ac:dyDescent="0.25">
      <c r="A27" s="14" t="s">
        <v>1192</v>
      </c>
      <c r="B27" s="31">
        <v>32464</v>
      </c>
      <c r="C27" s="27">
        <v>44559</v>
      </c>
      <c r="D27" s="23">
        <v>44562</v>
      </c>
    </row>
    <row r="28" spans="1:13" s="14" customFormat="1" ht="15" customHeight="1" x14ac:dyDescent="0.25">
      <c r="B28" s="31"/>
      <c r="C28" s="27"/>
      <c r="D28" s="23"/>
    </row>
    <row r="29" spans="1:13" s="14" customFormat="1" ht="15" customHeight="1" x14ac:dyDescent="0.25">
      <c r="B29" s="31">
        <f>SUM(B22:B28)</f>
        <v>166240</v>
      </c>
      <c r="C29" s="16"/>
      <c r="D29" s="21"/>
      <c r="E29" s="21"/>
      <c r="F29" s="21"/>
    </row>
    <row r="30" spans="1:13" s="16" customFormat="1" ht="15" customHeight="1" x14ac:dyDescent="0.25">
      <c r="A30" s="18" t="s">
        <v>1</v>
      </c>
      <c r="B30" s="19">
        <f>B29+B20</f>
        <v>-141667</v>
      </c>
      <c r="D30" s="23"/>
      <c r="E30" s="21"/>
      <c r="F30" s="21"/>
      <c r="G30" s="21"/>
    </row>
    <row r="31" spans="1:13" s="16" customFormat="1" ht="15" customHeight="1" x14ac:dyDescent="0.25">
      <c r="A31" s="14" t="s">
        <v>0</v>
      </c>
      <c r="B31" s="15">
        <f>B30-B7</f>
        <v>0</v>
      </c>
      <c r="D31" s="23"/>
      <c r="E31" s="14"/>
      <c r="F31" s="14"/>
      <c r="G31" s="14"/>
      <c r="H31" s="14"/>
      <c r="I31" s="14"/>
    </row>
    <row r="32" spans="1:13" s="16" customFormat="1" ht="15" customHeight="1" x14ac:dyDescent="0.3">
      <c r="A32" s="1"/>
      <c r="B32" s="3"/>
      <c r="C32" s="2"/>
      <c r="D32" s="23"/>
      <c r="E32" s="14"/>
      <c r="F32" s="14"/>
      <c r="G32" s="14"/>
      <c r="I32" s="14"/>
      <c r="M32" s="14" t="s">
        <v>1164</v>
      </c>
    </row>
    <row r="33" spans="1:13" s="16" customFormat="1" ht="15" customHeight="1" x14ac:dyDescent="0.3">
      <c r="A33" s="1"/>
      <c r="B33" s="3"/>
      <c r="C33" s="2"/>
      <c r="D33" s="29"/>
      <c r="E33" s="14"/>
      <c r="F33" s="14"/>
      <c r="G33" s="14"/>
      <c r="I33" s="14"/>
      <c r="M33" s="14" t="s">
        <v>1165</v>
      </c>
    </row>
    <row r="34" spans="1:13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13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13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13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</sheetData>
  <pageMargins left="0.7" right="0.7" top="0.75" bottom="0.75" header="0.3" footer="0.3"/>
  <pageSetup fitToWidth="0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0F7C-E9BE-409D-9BC9-3212AC89BF15}">
  <sheetPr>
    <pageSetUpPr fitToPage="1"/>
  </sheetPr>
  <dimension ref="A1:M39"/>
  <sheetViews>
    <sheetView workbookViewId="0">
      <selection activeCell="D14" sqref="D14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44592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1075149.1000000001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-1242178.1000000001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-1242178.1000000001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-167029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1193</v>
      </c>
      <c r="B9" s="31">
        <v>-28474</v>
      </c>
      <c r="C9" s="27">
        <v>44592</v>
      </c>
      <c r="D9" s="23">
        <v>44600</v>
      </c>
    </row>
    <row r="10" spans="1:4" s="14" customFormat="1" ht="15" customHeight="1" x14ac:dyDescent="0.25">
      <c r="A10" s="14" t="s">
        <v>1194</v>
      </c>
      <c r="B10" s="31">
        <v>-32479</v>
      </c>
      <c r="C10" s="27">
        <v>44579</v>
      </c>
      <c r="D10" s="17">
        <v>44594</v>
      </c>
    </row>
    <row r="11" spans="1:4" s="14" customFormat="1" ht="15" customHeight="1" x14ac:dyDescent="0.25">
      <c r="A11" s="14" t="s">
        <v>1195</v>
      </c>
      <c r="B11" s="31">
        <v>-32631</v>
      </c>
      <c r="C11" s="27">
        <v>44579</v>
      </c>
      <c r="D11" s="17">
        <v>44594</v>
      </c>
    </row>
    <row r="12" spans="1:4" s="14" customFormat="1" ht="15" customHeight="1" x14ac:dyDescent="0.25">
      <c r="A12" s="14" t="s">
        <v>1196</v>
      </c>
      <c r="B12" s="31">
        <v>-32809</v>
      </c>
      <c r="C12" s="27">
        <v>44579</v>
      </c>
      <c r="D12" s="17">
        <v>44594</v>
      </c>
    </row>
    <row r="13" spans="1:4" s="14" customFormat="1" ht="15" customHeight="1" x14ac:dyDescent="0.25">
      <c r="A13" s="14" t="s">
        <v>1197</v>
      </c>
      <c r="B13" s="31">
        <v>-40636</v>
      </c>
      <c r="C13" s="27">
        <v>44590</v>
      </c>
      <c r="D13" s="17">
        <v>44600</v>
      </c>
    </row>
    <row r="14" spans="1:4" s="14" customFormat="1" ht="15" customHeight="1" x14ac:dyDescent="0.25">
      <c r="B14" s="31"/>
      <c r="C14" s="27"/>
      <c r="D14" s="17"/>
    </row>
    <row r="15" spans="1:4" s="14" customFormat="1" ht="15" customHeight="1" x14ac:dyDescent="0.25">
      <c r="B15" s="31"/>
      <c r="C15" s="27"/>
      <c r="D15" s="17"/>
    </row>
    <row r="16" spans="1:4" s="14" customFormat="1" ht="15" customHeight="1" x14ac:dyDescent="0.25">
      <c r="B16" s="31"/>
      <c r="C16" s="27"/>
      <c r="D16" s="17"/>
    </row>
    <row r="17" spans="1:13" s="14" customFormat="1" ht="15" customHeight="1" x14ac:dyDescent="0.25">
      <c r="B17" s="31"/>
      <c r="C17" s="27"/>
      <c r="D17" s="17"/>
    </row>
    <row r="18" spans="1:13" s="14" customFormat="1" ht="15" customHeight="1" x14ac:dyDescent="0.25">
      <c r="B18" s="31"/>
      <c r="C18" s="27"/>
      <c r="D18" s="17"/>
    </row>
    <row r="19" spans="1:13" s="14" customFormat="1" ht="15" customHeight="1" x14ac:dyDescent="0.25">
      <c r="B19" s="31"/>
      <c r="C19" s="27"/>
      <c r="D19" s="17"/>
    </row>
    <row r="20" spans="1:13" s="14" customFormat="1" ht="15" customHeight="1" x14ac:dyDescent="0.25">
      <c r="B20" s="31">
        <f>SUM(B9:B19)</f>
        <v>-167029</v>
      </c>
      <c r="C20" s="16"/>
      <c r="D20" s="23"/>
    </row>
    <row r="21" spans="1:13" s="14" customFormat="1" ht="15" customHeight="1" x14ac:dyDescent="0.25">
      <c r="A21" s="14" t="s">
        <v>2</v>
      </c>
      <c r="B21" s="31"/>
      <c r="C21" s="26" t="s">
        <v>730</v>
      </c>
      <c r="D21" s="28" t="s">
        <v>829</v>
      </c>
    </row>
    <row r="22" spans="1:13" s="14" customFormat="1" ht="15.75" x14ac:dyDescent="0.25">
      <c r="B22" s="31"/>
      <c r="C22" s="27"/>
      <c r="D22" s="23"/>
    </row>
    <row r="23" spans="1:13" s="14" customFormat="1" ht="15" customHeight="1" x14ac:dyDescent="0.25">
      <c r="B23" s="31"/>
      <c r="C23" s="27"/>
      <c r="D23" s="44"/>
      <c r="E23" s="21"/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/>
      <c r="C25" s="27"/>
      <c r="D25" s="23"/>
    </row>
    <row r="26" spans="1:13" s="14" customFormat="1" ht="15" customHeight="1" x14ac:dyDescent="0.25">
      <c r="B26" s="31"/>
      <c r="C26" s="27"/>
      <c r="D26" s="23"/>
    </row>
    <row r="27" spans="1:13" s="14" customFormat="1" ht="15" customHeight="1" x14ac:dyDescent="0.25">
      <c r="B27" s="31"/>
      <c r="C27" s="27"/>
      <c r="D27" s="23"/>
    </row>
    <row r="28" spans="1:13" s="14" customFormat="1" ht="15" customHeight="1" x14ac:dyDescent="0.25">
      <c r="B28" s="31"/>
      <c r="C28" s="27"/>
      <c r="D28" s="23"/>
    </row>
    <row r="29" spans="1:13" s="14" customFormat="1" ht="15" customHeight="1" x14ac:dyDescent="0.25">
      <c r="B29" s="31">
        <f>SUM(B22:B28)</f>
        <v>0</v>
      </c>
      <c r="C29" s="16"/>
      <c r="D29" s="21"/>
      <c r="E29" s="21"/>
      <c r="F29" s="21"/>
    </row>
    <row r="30" spans="1:13" s="16" customFormat="1" ht="15" customHeight="1" x14ac:dyDescent="0.25">
      <c r="A30" s="18" t="s">
        <v>1</v>
      </c>
      <c r="B30" s="19">
        <f>B29+B20</f>
        <v>-167029</v>
      </c>
      <c r="D30" s="23"/>
      <c r="E30" s="21"/>
      <c r="F30" s="21"/>
      <c r="G30" s="21"/>
    </row>
    <row r="31" spans="1:13" s="16" customFormat="1" ht="15" customHeight="1" x14ac:dyDescent="0.25">
      <c r="A31" s="14" t="s">
        <v>0</v>
      </c>
      <c r="B31" s="15">
        <f>B30-B7</f>
        <v>0</v>
      </c>
      <c r="D31" s="23"/>
      <c r="E31" s="14"/>
      <c r="F31" s="14"/>
      <c r="G31" s="14"/>
      <c r="H31" s="14"/>
      <c r="I31" s="14"/>
    </row>
    <row r="32" spans="1:13" s="16" customFormat="1" ht="15" customHeight="1" x14ac:dyDescent="0.3">
      <c r="A32" s="1"/>
      <c r="B32" s="3"/>
      <c r="C32" s="2"/>
      <c r="D32" s="23"/>
      <c r="E32" s="14"/>
      <c r="F32" s="14"/>
      <c r="G32" s="14"/>
      <c r="I32" s="14"/>
      <c r="M32" s="14" t="s">
        <v>1164</v>
      </c>
    </row>
    <row r="33" spans="1:13" s="16" customFormat="1" ht="15" customHeight="1" x14ac:dyDescent="0.3">
      <c r="A33" s="1"/>
      <c r="B33" s="3"/>
      <c r="C33" s="2"/>
      <c r="D33" s="29"/>
      <c r="E33" s="14"/>
      <c r="F33" s="14"/>
      <c r="G33" s="14"/>
      <c r="I33" s="14"/>
      <c r="M33" s="14" t="s">
        <v>1165</v>
      </c>
    </row>
    <row r="34" spans="1:13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13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13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13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</sheetData>
  <pageMargins left="0.7" right="0.7" top="0.75" bottom="0.75" header="0.3" footer="0.3"/>
  <pageSetup fitToWidth="0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CFC4-AB32-4A87-AF9F-33FB44B0F625}">
  <sheetPr>
    <pageSetUpPr fitToPage="1"/>
  </sheetPr>
  <dimension ref="A1:M35"/>
  <sheetViews>
    <sheetView workbookViewId="0">
      <selection activeCell="F1" sqref="F1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44620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1594965.3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-1816813.3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-1816813.3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-221848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1198</v>
      </c>
      <c r="B9" s="31">
        <v>-27216</v>
      </c>
      <c r="C9" s="27">
        <v>44617</v>
      </c>
      <c r="D9" s="23">
        <v>44627</v>
      </c>
    </row>
    <row r="10" spans="1:4" s="14" customFormat="1" ht="15" customHeight="1" x14ac:dyDescent="0.25">
      <c r="A10" s="14" t="s">
        <v>1199</v>
      </c>
      <c r="B10" s="31">
        <v>-28322</v>
      </c>
      <c r="C10" s="27">
        <v>44617</v>
      </c>
      <c r="D10" s="17">
        <v>44627</v>
      </c>
    </row>
    <row r="11" spans="1:4" s="14" customFormat="1" ht="15" customHeight="1" x14ac:dyDescent="0.25">
      <c r="A11" s="14" t="s">
        <v>1200</v>
      </c>
      <c r="B11" s="31">
        <v>-29780</v>
      </c>
      <c r="C11" s="27">
        <v>44617</v>
      </c>
      <c r="D11" s="17">
        <v>44627</v>
      </c>
    </row>
    <row r="12" spans="1:4" s="14" customFormat="1" ht="15" customHeight="1" x14ac:dyDescent="0.25">
      <c r="A12" s="14" t="s">
        <v>1201</v>
      </c>
      <c r="B12" s="31">
        <v>-30032</v>
      </c>
      <c r="C12" s="27">
        <v>44620</v>
      </c>
      <c r="D12" s="17">
        <v>44627</v>
      </c>
    </row>
    <row r="13" spans="1:4" s="14" customFormat="1" ht="15" customHeight="1" x14ac:dyDescent="0.25">
      <c r="A13" s="14" t="s">
        <v>1202</v>
      </c>
      <c r="B13" s="31">
        <v>-31227</v>
      </c>
      <c r="C13" s="27">
        <v>44618</v>
      </c>
      <c r="D13" s="17">
        <v>44627</v>
      </c>
    </row>
    <row r="14" spans="1:4" s="14" customFormat="1" ht="15" customHeight="1" x14ac:dyDescent="0.25">
      <c r="A14" s="14" t="s">
        <v>1203</v>
      </c>
      <c r="B14" s="31">
        <v>-32266</v>
      </c>
      <c r="C14" s="27">
        <v>44620</v>
      </c>
      <c r="D14" s="16" t="s">
        <v>1207</v>
      </c>
    </row>
    <row r="15" spans="1:4" s="14" customFormat="1" ht="15" customHeight="1" x14ac:dyDescent="0.25">
      <c r="A15" s="14" t="s">
        <v>1204</v>
      </c>
      <c r="B15" s="31">
        <v>-35165</v>
      </c>
      <c r="C15" s="27">
        <v>44617</v>
      </c>
      <c r="D15" s="17">
        <v>44627</v>
      </c>
    </row>
    <row r="16" spans="1:4" s="14" customFormat="1" ht="15" customHeight="1" x14ac:dyDescent="0.25">
      <c r="A16" s="14" t="s">
        <v>1205</v>
      </c>
      <c r="B16" s="31">
        <v>-36527</v>
      </c>
      <c r="C16" s="27">
        <v>44618</v>
      </c>
      <c r="D16" s="17">
        <v>44627</v>
      </c>
    </row>
    <row r="17" spans="1:13" s="14" customFormat="1" ht="15" customHeight="1" x14ac:dyDescent="0.25">
      <c r="B17" s="31"/>
      <c r="C17" s="27"/>
      <c r="D17" s="17"/>
    </row>
    <row r="18" spans="1:13" s="14" customFormat="1" ht="15" customHeight="1" x14ac:dyDescent="0.25">
      <c r="B18" s="31"/>
      <c r="C18" s="27"/>
      <c r="D18" s="17"/>
    </row>
    <row r="19" spans="1:13" s="14" customFormat="1" ht="15" customHeight="1" x14ac:dyDescent="0.25">
      <c r="B19" s="31"/>
      <c r="C19" s="27"/>
      <c r="D19" s="17"/>
    </row>
    <row r="20" spans="1:13" s="14" customFormat="1" ht="15" customHeight="1" x14ac:dyDescent="0.25">
      <c r="B20" s="31">
        <f>SUM(B9:B19)</f>
        <v>-250535</v>
      </c>
      <c r="C20" s="16"/>
      <c r="D20" s="23"/>
    </row>
    <row r="21" spans="1:13" s="14" customFormat="1" ht="15" customHeight="1" x14ac:dyDescent="0.25">
      <c r="A21" s="14" t="s">
        <v>2</v>
      </c>
      <c r="B21" s="31"/>
      <c r="C21" s="26" t="s">
        <v>730</v>
      </c>
      <c r="D21" s="28" t="s">
        <v>829</v>
      </c>
    </row>
    <row r="22" spans="1:13" s="14" customFormat="1" ht="15.75" x14ac:dyDescent="0.25">
      <c r="A22" s="14" t="s">
        <v>1206</v>
      </c>
      <c r="B22" s="31">
        <v>28687</v>
      </c>
      <c r="C22" s="27">
        <v>44620</v>
      </c>
      <c r="D22" s="23">
        <v>44622</v>
      </c>
    </row>
    <row r="23" spans="1:13" s="14" customFormat="1" ht="15" customHeight="1" x14ac:dyDescent="0.25">
      <c r="B23" s="31"/>
      <c r="C23" s="27"/>
      <c r="D23" s="44"/>
      <c r="E23" s="21"/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>
        <f>SUM(B22:B24)</f>
        <v>28687</v>
      </c>
      <c r="C25" s="16"/>
      <c r="D25" s="21"/>
      <c r="E25" s="21"/>
      <c r="F25" s="21"/>
    </row>
    <row r="26" spans="1:13" s="16" customFormat="1" ht="15" customHeight="1" x14ac:dyDescent="0.25">
      <c r="A26" s="18" t="s">
        <v>1</v>
      </c>
      <c r="B26" s="19">
        <f>B25+B20</f>
        <v>-221848</v>
      </c>
      <c r="D26" s="23"/>
      <c r="E26" s="21"/>
      <c r="F26" s="21"/>
      <c r="G26" s="21"/>
    </row>
    <row r="27" spans="1:13" s="16" customFormat="1" ht="15" customHeight="1" x14ac:dyDescent="0.25">
      <c r="A27" s="14" t="s">
        <v>0</v>
      </c>
      <c r="B27" s="15">
        <f>B26-B7</f>
        <v>0</v>
      </c>
      <c r="D27" s="23"/>
      <c r="E27" s="14"/>
      <c r="F27" s="14"/>
      <c r="G27" s="14"/>
      <c r="H27" s="14"/>
      <c r="I27" s="14"/>
    </row>
    <row r="28" spans="1:13" s="16" customFormat="1" ht="15" customHeight="1" x14ac:dyDescent="0.3">
      <c r="A28" s="1"/>
      <c r="B28" s="3"/>
      <c r="C28" s="2"/>
      <c r="D28" s="23"/>
      <c r="E28" s="14"/>
      <c r="F28" s="14"/>
      <c r="G28" s="14"/>
      <c r="I28" s="14"/>
      <c r="M28" s="14" t="s">
        <v>1164</v>
      </c>
    </row>
    <row r="29" spans="1:13" s="16" customFormat="1" ht="15" customHeight="1" x14ac:dyDescent="0.3">
      <c r="A29" s="1"/>
      <c r="B29" s="3"/>
      <c r="C29" s="2"/>
      <c r="D29" s="29"/>
      <c r="E29" s="14"/>
      <c r="F29" s="14"/>
      <c r="G29" s="14"/>
      <c r="I29" s="14"/>
      <c r="M29" s="14" t="s">
        <v>1165</v>
      </c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</sheetData>
  <pageMargins left="0.7" right="0.7" top="0.75" bottom="0.75" header="0.3" footer="0.3"/>
  <pageSetup scale="88" fitToHeight="0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DC09-08CB-4041-8AC0-527DF9C4815D}">
  <sheetPr>
    <pageSetUpPr fitToPage="1"/>
  </sheetPr>
  <dimension ref="A1:M35"/>
  <sheetViews>
    <sheetView topLeftCell="A15" workbookViewId="0">
      <selection activeCell="D47" sqref="D47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44651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1737816.6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-2089234.6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-2089234.6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-351418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1208</v>
      </c>
      <c r="B9" s="31">
        <v>-22791</v>
      </c>
      <c r="C9" s="27">
        <v>44625</v>
      </c>
      <c r="D9" s="17">
        <v>44655</v>
      </c>
    </row>
    <row r="10" spans="1:4" s="14" customFormat="1" ht="15" customHeight="1" x14ac:dyDescent="0.25">
      <c r="A10" s="14" t="s">
        <v>1209</v>
      </c>
      <c r="B10" s="31">
        <v>-22791</v>
      </c>
      <c r="C10" s="27">
        <v>44627</v>
      </c>
      <c r="D10" s="17">
        <v>44655</v>
      </c>
    </row>
    <row r="11" spans="1:4" s="14" customFormat="1" ht="15" customHeight="1" x14ac:dyDescent="0.25">
      <c r="A11" s="14" t="s">
        <v>1210</v>
      </c>
      <c r="B11" s="31">
        <v>-25726</v>
      </c>
      <c r="C11" s="27">
        <v>44621</v>
      </c>
      <c r="D11" s="17">
        <v>44652</v>
      </c>
    </row>
    <row r="12" spans="1:4" s="14" customFormat="1" ht="15" customHeight="1" x14ac:dyDescent="0.25">
      <c r="A12" s="14" t="s">
        <v>1211</v>
      </c>
      <c r="B12" s="31">
        <v>-32302</v>
      </c>
      <c r="C12" s="27">
        <v>44645</v>
      </c>
      <c r="D12" s="17">
        <v>44663</v>
      </c>
    </row>
    <row r="13" spans="1:4" s="14" customFormat="1" ht="15" customHeight="1" x14ac:dyDescent="0.25">
      <c r="A13" s="14" t="s">
        <v>1212</v>
      </c>
      <c r="B13" s="31">
        <v>-34852</v>
      </c>
      <c r="C13" s="27">
        <v>44641</v>
      </c>
      <c r="D13" s="17">
        <v>44664</v>
      </c>
    </row>
    <row r="14" spans="1:4" s="14" customFormat="1" ht="15" customHeight="1" x14ac:dyDescent="0.25">
      <c r="A14" s="14" t="s">
        <v>1213</v>
      </c>
      <c r="B14" s="31">
        <v>-36467</v>
      </c>
      <c r="C14" s="27">
        <v>44641</v>
      </c>
      <c r="D14" s="17">
        <v>44655</v>
      </c>
    </row>
    <row r="15" spans="1:4" s="14" customFormat="1" ht="15" customHeight="1" x14ac:dyDescent="0.25">
      <c r="A15" s="14" t="s">
        <v>1214</v>
      </c>
      <c r="B15" s="31">
        <v>-36819</v>
      </c>
      <c r="C15" s="27">
        <v>44641</v>
      </c>
      <c r="D15" s="17">
        <v>44662</v>
      </c>
    </row>
    <row r="16" spans="1:4" s="14" customFormat="1" ht="15" customHeight="1" x14ac:dyDescent="0.25">
      <c r="A16" s="14" t="s">
        <v>1215</v>
      </c>
      <c r="B16" s="31">
        <v>-42626</v>
      </c>
      <c r="C16" s="27">
        <v>44642</v>
      </c>
      <c r="D16" s="17">
        <v>44655</v>
      </c>
    </row>
    <row r="17" spans="1:13" s="14" customFormat="1" ht="15" customHeight="1" x14ac:dyDescent="0.25">
      <c r="A17" s="14" t="s">
        <v>1216</v>
      </c>
      <c r="B17" s="31">
        <v>-42638</v>
      </c>
      <c r="C17" s="27">
        <v>44642</v>
      </c>
      <c r="D17" s="17">
        <v>44655</v>
      </c>
    </row>
    <row r="18" spans="1:13" s="14" customFormat="1" ht="15" customHeight="1" x14ac:dyDescent="0.25">
      <c r="A18" s="14" t="s">
        <v>1217</v>
      </c>
      <c r="B18" s="31">
        <v>-42646</v>
      </c>
      <c r="C18" s="27">
        <v>44642</v>
      </c>
      <c r="D18" s="17">
        <v>44655</v>
      </c>
    </row>
    <row r="19" spans="1:13" s="14" customFormat="1" ht="15" customHeight="1" x14ac:dyDescent="0.25">
      <c r="A19" s="14" t="s">
        <v>1218</v>
      </c>
      <c r="B19" s="31">
        <v>-42686</v>
      </c>
      <c r="C19" s="27">
        <v>44642</v>
      </c>
      <c r="D19" s="17">
        <v>44655</v>
      </c>
    </row>
    <row r="20" spans="1:13" s="14" customFormat="1" ht="15" customHeight="1" x14ac:dyDescent="0.25">
      <c r="B20" s="31"/>
      <c r="C20" s="27"/>
      <c r="D20" s="17"/>
    </row>
    <row r="21" spans="1:13" s="14" customFormat="1" ht="15" customHeight="1" x14ac:dyDescent="0.25">
      <c r="B21" s="31">
        <f>SUM(B9:B20)</f>
        <v>-382344</v>
      </c>
      <c r="C21" s="16"/>
      <c r="D21" s="23"/>
    </row>
    <row r="22" spans="1:13" s="14" customFormat="1" ht="15" customHeight="1" x14ac:dyDescent="0.25">
      <c r="A22" s="14" t="s">
        <v>2</v>
      </c>
      <c r="B22" s="31"/>
      <c r="C22" s="26" t="s">
        <v>730</v>
      </c>
      <c r="D22" s="28" t="s">
        <v>829</v>
      </c>
    </row>
    <row r="23" spans="1:13" s="14" customFormat="1" ht="15.75" x14ac:dyDescent="0.25">
      <c r="A23" s="14" t="s">
        <v>1219</v>
      </c>
      <c r="B23" s="31">
        <v>30926</v>
      </c>
      <c r="C23" s="27">
        <v>44648</v>
      </c>
      <c r="D23" s="23">
        <v>44656</v>
      </c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>
        <f>SUM(B23:B24)</f>
        <v>30926</v>
      </c>
      <c r="C25" s="16"/>
      <c r="D25" s="21"/>
      <c r="E25" s="21"/>
      <c r="F25" s="21"/>
    </row>
    <row r="26" spans="1:13" s="16" customFormat="1" ht="15" customHeight="1" x14ac:dyDescent="0.25">
      <c r="A26" s="18" t="s">
        <v>1</v>
      </c>
      <c r="B26" s="19">
        <f>B25+B21</f>
        <v>-351418</v>
      </c>
      <c r="D26" s="23"/>
      <c r="E26" s="21"/>
      <c r="F26" s="21"/>
      <c r="G26" s="21"/>
    </row>
    <row r="27" spans="1:13" s="16" customFormat="1" ht="15" customHeight="1" x14ac:dyDescent="0.25">
      <c r="A27" s="14" t="s">
        <v>0</v>
      </c>
      <c r="B27" s="15">
        <f>B26-B7</f>
        <v>0</v>
      </c>
      <c r="D27" s="23"/>
      <c r="E27" s="14"/>
      <c r="F27" s="14"/>
      <c r="G27" s="14"/>
      <c r="H27" s="14"/>
      <c r="I27" s="14"/>
    </row>
    <row r="28" spans="1:13" s="16" customFormat="1" ht="15" customHeight="1" x14ac:dyDescent="0.3">
      <c r="A28" s="1"/>
      <c r="B28" s="3"/>
      <c r="C28" s="2"/>
      <c r="D28" s="23"/>
      <c r="E28" s="14"/>
      <c r="F28" s="14"/>
      <c r="G28" s="14"/>
      <c r="I28" s="14"/>
      <c r="M28" s="14" t="s">
        <v>1164</v>
      </c>
    </row>
    <row r="29" spans="1:13" s="16" customFormat="1" ht="15" customHeight="1" x14ac:dyDescent="0.3">
      <c r="A29" s="1"/>
      <c r="B29" s="3"/>
      <c r="C29" s="2"/>
      <c r="D29" s="29"/>
      <c r="E29" s="14"/>
      <c r="F29" s="14"/>
      <c r="G29" s="14"/>
      <c r="I29" s="14"/>
      <c r="M29" s="14" t="s">
        <v>1165</v>
      </c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</sheetData>
  <pageMargins left="0.7" right="0.7" top="0.75" bottom="0.75" header="0.3" footer="0.3"/>
  <pageSetup scale="88" fitToHeight="0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87957-CD3A-45B9-8CF0-4D8694E9FD68}">
  <sheetPr>
    <pageSetUpPr fitToPage="1"/>
  </sheetPr>
  <dimension ref="A1:M40"/>
  <sheetViews>
    <sheetView workbookViewId="0">
      <selection activeCell="C28" sqref="C28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44681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1896571.1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-1546306.1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-1546306.1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350265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B9" s="31"/>
      <c r="C9" s="27"/>
      <c r="D9" s="17"/>
    </row>
    <row r="10" spans="1:4" s="14" customFormat="1" ht="15" customHeight="1" x14ac:dyDescent="0.25">
      <c r="B10" s="31"/>
      <c r="C10" s="27"/>
      <c r="D10" s="17"/>
    </row>
    <row r="11" spans="1:4" s="14" customFormat="1" ht="15" customHeight="1" x14ac:dyDescent="0.25">
      <c r="B11" s="31"/>
      <c r="C11" s="27"/>
      <c r="D11" s="17"/>
    </row>
    <row r="12" spans="1:4" s="14" customFormat="1" ht="15" customHeight="1" x14ac:dyDescent="0.25">
      <c r="B12" s="31"/>
      <c r="C12" s="27"/>
      <c r="D12" s="17"/>
    </row>
    <row r="13" spans="1:4" s="14" customFormat="1" ht="15" customHeight="1" x14ac:dyDescent="0.25">
      <c r="B13" s="31"/>
      <c r="C13" s="27"/>
      <c r="D13" s="17"/>
    </row>
    <row r="14" spans="1:4" s="14" customFormat="1" ht="15" customHeight="1" x14ac:dyDescent="0.25">
      <c r="B14" s="31">
        <f>SUM(B9:B13)</f>
        <v>0</v>
      </c>
      <c r="C14" s="16"/>
      <c r="D14" s="23"/>
    </row>
    <row r="15" spans="1:4" s="14" customFormat="1" ht="15" customHeight="1" x14ac:dyDescent="0.25">
      <c r="A15" s="14" t="s">
        <v>2</v>
      </c>
      <c r="B15" s="31"/>
      <c r="C15" s="26" t="s">
        <v>730</v>
      </c>
      <c r="D15" s="28" t="s">
        <v>829</v>
      </c>
    </row>
    <row r="16" spans="1:4" s="14" customFormat="1" ht="15" customHeight="1" x14ac:dyDescent="0.25">
      <c r="A16" s="14" t="s">
        <v>1220</v>
      </c>
      <c r="B16" s="31">
        <v>23568</v>
      </c>
      <c r="C16" s="27">
        <v>44679</v>
      </c>
      <c r="D16" s="23">
        <v>44683</v>
      </c>
    </row>
    <row r="17" spans="1:9" s="14" customFormat="1" ht="15" customHeight="1" x14ac:dyDescent="0.25">
      <c r="A17" s="14" t="s">
        <v>1221</v>
      </c>
      <c r="B17" s="31">
        <v>25199</v>
      </c>
      <c r="C17" s="27">
        <v>44671</v>
      </c>
      <c r="D17" s="23">
        <v>44683</v>
      </c>
    </row>
    <row r="18" spans="1:9" s="14" customFormat="1" ht="15" customHeight="1" x14ac:dyDescent="0.25">
      <c r="A18" s="14" t="s">
        <v>1222</v>
      </c>
      <c r="B18" s="31">
        <v>25199</v>
      </c>
      <c r="C18" s="27">
        <v>44671</v>
      </c>
      <c r="D18" s="23">
        <v>44683</v>
      </c>
    </row>
    <row r="19" spans="1:9" s="14" customFormat="1" ht="15" customHeight="1" x14ac:dyDescent="0.25">
      <c r="A19" s="14" t="s">
        <v>1223</v>
      </c>
      <c r="B19" s="31">
        <v>25726</v>
      </c>
      <c r="C19" s="27">
        <v>44671</v>
      </c>
      <c r="D19" s="23">
        <v>44683</v>
      </c>
    </row>
    <row r="20" spans="1:9" s="14" customFormat="1" ht="15" customHeight="1" x14ac:dyDescent="0.25">
      <c r="A20" s="14" t="s">
        <v>1224</v>
      </c>
      <c r="B20" s="31">
        <v>28510</v>
      </c>
      <c r="C20" s="27">
        <v>44671</v>
      </c>
      <c r="D20" s="23">
        <v>44683</v>
      </c>
    </row>
    <row r="21" spans="1:9" s="14" customFormat="1" ht="15" customHeight="1" x14ac:dyDescent="0.25">
      <c r="A21" s="14" t="s">
        <v>1225</v>
      </c>
      <c r="B21" s="31">
        <v>28781</v>
      </c>
      <c r="C21" s="27">
        <v>44671</v>
      </c>
      <c r="D21" s="23">
        <v>44685</v>
      </c>
    </row>
    <row r="22" spans="1:9" s="14" customFormat="1" ht="15" customHeight="1" x14ac:dyDescent="0.25">
      <c r="A22" s="14" t="s">
        <v>1226</v>
      </c>
      <c r="B22" s="31">
        <v>28901</v>
      </c>
      <c r="C22" s="27">
        <v>44671</v>
      </c>
      <c r="D22" s="23">
        <v>44683</v>
      </c>
    </row>
    <row r="23" spans="1:9" s="14" customFormat="1" ht="15" customHeight="1" x14ac:dyDescent="0.25">
      <c r="A23" s="14" t="s">
        <v>1227</v>
      </c>
      <c r="B23" s="31">
        <v>28992</v>
      </c>
      <c r="C23" s="27">
        <v>44679</v>
      </c>
      <c r="D23" s="23">
        <v>44683</v>
      </c>
    </row>
    <row r="24" spans="1:9" s="14" customFormat="1" ht="15" customHeight="1" x14ac:dyDescent="0.25">
      <c r="A24" s="14" t="s">
        <v>1228</v>
      </c>
      <c r="B24" s="31">
        <v>29292</v>
      </c>
      <c r="C24" s="27">
        <v>44678</v>
      </c>
      <c r="D24" s="23">
        <v>44685</v>
      </c>
    </row>
    <row r="25" spans="1:9" s="14" customFormat="1" ht="15" customHeight="1" x14ac:dyDescent="0.25">
      <c r="A25" s="14" t="s">
        <v>1229</v>
      </c>
      <c r="B25" s="31">
        <v>33449</v>
      </c>
      <c r="C25" s="27">
        <v>44679</v>
      </c>
      <c r="D25" s="23">
        <v>44683</v>
      </c>
    </row>
    <row r="26" spans="1:9" s="14" customFormat="1" ht="15" customHeight="1" x14ac:dyDescent="0.25">
      <c r="A26" s="14" t="s">
        <v>1230</v>
      </c>
      <c r="B26" s="31">
        <v>35572</v>
      </c>
      <c r="C26" s="27">
        <v>44679</v>
      </c>
      <c r="D26" s="23">
        <v>44683</v>
      </c>
    </row>
    <row r="27" spans="1:9" s="14" customFormat="1" ht="15" customHeight="1" x14ac:dyDescent="0.25">
      <c r="A27" s="14" t="s">
        <v>1231</v>
      </c>
      <c r="B27" s="31">
        <v>37076</v>
      </c>
      <c r="C27" s="27">
        <v>44678</v>
      </c>
      <c r="D27" s="23">
        <v>44683</v>
      </c>
    </row>
    <row r="28" spans="1:9" s="14" customFormat="1" ht="15.75" x14ac:dyDescent="0.25">
      <c r="B28" s="31"/>
      <c r="C28" s="27"/>
      <c r="D28" s="23"/>
    </row>
    <row r="29" spans="1:9" s="14" customFormat="1" ht="15" customHeight="1" x14ac:dyDescent="0.25">
      <c r="B29" s="31"/>
      <c r="C29" s="27"/>
      <c r="D29" s="23"/>
    </row>
    <row r="30" spans="1:9" s="14" customFormat="1" ht="15" customHeight="1" x14ac:dyDescent="0.25">
      <c r="B30" s="31">
        <f>SUM(B16:B29)</f>
        <v>350265</v>
      </c>
      <c r="C30" s="16"/>
      <c r="D30" s="21"/>
      <c r="E30" s="21"/>
      <c r="F30" s="21"/>
    </row>
    <row r="31" spans="1:9" s="16" customFormat="1" ht="15" customHeight="1" x14ac:dyDescent="0.25">
      <c r="A31" s="18" t="s">
        <v>1</v>
      </c>
      <c r="B31" s="19">
        <f>B30+B14</f>
        <v>350265</v>
      </c>
      <c r="D31" s="23"/>
      <c r="E31" s="21"/>
      <c r="F31" s="21"/>
      <c r="G31" s="21"/>
    </row>
    <row r="32" spans="1:9" s="16" customFormat="1" ht="15" customHeight="1" x14ac:dyDescent="0.25">
      <c r="A32" s="14" t="s">
        <v>0</v>
      </c>
      <c r="B32" s="15">
        <f>B31-B7</f>
        <v>0</v>
      </c>
      <c r="D32" s="23"/>
      <c r="E32" s="14"/>
      <c r="F32" s="14"/>
      <c r="G32" s="14"/>
      <c r="H32" s="14"/>
      <c r="I32" s="14"/>
    </row>
    <row r="33" spans="1:13" s="16" customFormat="1" ht="15" customHeight="1" x14ac:dyDescent="0.3">
      <c r="A33" s="1"/>
      <c r="B33" s="3"/>
      <c r="C33" s="2"/>
      <c r="D33" s="23"/>
      <c r="E33" s="14"/>
      <c r="F33" s="14"/>
      <c r="G33" s="14"/>
      <c r="I33" s="14"/>
      <c r="M33" s="14" t="s">
        <v>1164</v>
      </c>
    </row>
    <row r="34" spans="1:13" s="16" customFormat="1" ht="15" customHeight="1" x14ac:dyDescent="0.3">
      <c r="A34" s="1"/>
      <c r="B34" s="3"/>
      <c r="C34" s="2"/>
      <c r="D34" s="29"/>
      <c r="E34" s="14"/>
      <c r="F34" s="14"/>
      <c r="G34" s="14"/>
      <c r="I34" s="14"/>
      <c r="M34" s="14" t="s">
        <v>1165</v>
      </c>
    </row>
    <row r="35" spans="1:13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13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13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13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</sheetData>
  <pageMargins left="0.7" right="0.7" top="0.75" bottom="0.75" header="0.3" footer="0.3"/>
  <pageSetup scale="88" fitToHeight="0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A672-FB52-45AC-97D3-976D99622713}">
  <sheetPr>
    <pageSetUpPr fitToPage="1"/>
  </sheetPr>
  <dimension ref="A1:M31"/>
  <sheetViews>
    <sheetView workbookViewId="0">
      <selection activeCell="A2" sqref="A2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44712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409167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-403810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-403810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5357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1232</v>
      </c>
      <c r="B9" s="31">
        <v>-28662</v>
      </c>
      <c r="C9" s="27">
        <v>44691</v>
      </c>
      <c r="D9" s="17">
        <v>44714</v>
      </c>
    </row>
    <row r="10" spans="1:4" s="14" customFormat="1" ht="15" customHeight="1" x14ac:dyDescent="0.25">
      <c r="B10" s="31"/>
      <c r="C10" s="27"/>
      <c r="D10" s="17"/>
    </row>
    <row r="11" spans="1:4" s="14" customFormat="1" ht="15" customHeight="1" x14ac:dyDescent="0.25">
      <c r="B11" s="31"/>
      <c r="C11" s="27"/>
      <c r="D11" s="17"/>
    </row>
    <row r="12" spans="1:4" s="14" customFormat="1" ht="15" customHeight="1" x14ac:dyDescent="0.25">
      <c r="B12" s="31"/>
      <c r="C12" s="27"/>
      <c r="D12" s="17"/>
    </row>
    <row r="13" spans="1:4" s="14" customFormat="1" ht="15" customHeight="1" x14ac:dyDescent="0.25">
      <c r="B13" s="31"/>
      <c r="C13" s="27"/>
      <c r="D13" s="17"/>
    </row>
    <row r="14" spans="1:4" s="14" customFormat="1" ht="15" customHeight="1" x14ac:dyDescent="0.25">
      <c r="B14" s="31">
        <f>SUM(B9:B13)</f>
        <v>-28662</v>
      </c>
      <c r="C14" s="16"/>
      <c r="D14" s="23"/>
    </row>
    <row r="15" spans="1:4" s="14" customFormat="1" ht="15" customHeight="1" x14ac:dyDescent="0.25">
      <c r="A15" s="14" t="s">
        <v>2</v>
      </c>
      <c r="B15" s="31"/>
      <c r="C15" s="26" t="s">
        <v>730</v>
      </c>
      <c r="D15" s="28" t="s">
        <v>829</v>
      </c>
    </row>
    <row r="16" spans="1:4" s="14" customFormat="1" ht="15" customHeight="1" x14ac:dyDescent="0.25">
      <c r="A16" s="14" t="s">
        <v>1233</v>
      </c>
      <c r="B16" s="31">
        <v>34019</v>
      </c>
      <c r="C16" s="27">
        <v>44708</v>
      </c>
      <c r="D16" s="23">
        <v>44718</v>
      </c>
    </row>
    <row r="17" spans="1:13" s="14" customFormat="1" ht="15" customHeight="1" x14ac:dyDescent="0.25">
      <c r="B17" s="31"/>
      <c r="C17" s="27"/>
      <c r="D17" s="23"/>
    </row>
    <row r="18" spans="1:13" s="14" customFormat="1" ht="15" customHeight="1" x14ac:dyDescent="0.25">
      <c r="B18" s="31"/>
      <c r="C18" s="27"/>
      <c r="D18" s="23"/>
    </row>
    <row r="19" spans="1:13" s="14" customFormat="1" ht="15.75" x14ac:dyDescent="0.25">
      <c r="B19" s="31"/>
      <c r="C19" s="27"/>
      <c r="D19" s="23"/>
    </row>
    <row r="20" spans="1:13" s="14" customFormat="1" ht="15" customHeight="1" x14ac:dyDescent="0.25">
      <c r="B20" s="31"/>
      <c r="C20" s="27"/>
      <c r="D20" s="23"/>
    </row>
    <row r="21" spans="1:13" s="14" customFormat="1" ht="15" customHeight="1" x14ac:dyDescent="0.25">
      <c r="B21" s="31">
        <f>SUM(B16:B20)</f>
        <v>34019</v>
      </c>
      <c r="C21" s="16"/>
      <c r="D21" s="21"/>
      <c r="E21" s="21"/>
      <c r="F21" s="21"/>
    </row>
    <row r="22" spans="1:13" s="16" customFormat="1" ht="15" customHeight="1" x14ac:dyDescent="0.25">
      <c r="A22" s="18" t="s">
        <v>1</v>
      </c>
      <c r="B22" s="19">
        <f>B21+B14</f>
        <v>5357</v>
      </c>
      <c r="D22" s="23"/>
      <c r="E22" s="21"/>
      <c r="F22" s="21"/>
      <c r="G22" s="21"/>
    </row>
    <row r="23" spans="1:13" s="16" customFormat="1" ht="15" customHeight="1" x14ac:dyDescent="0.25">
      <c r="A23" s="14" t="s">
        <v>0</v>
      </c>
      <c r="B23" s="15">
        <f>B22-B7</f>
        <v>0</v>
      </c>
      <c r="D23" s="23"/>
      <c r="E23" s="14"/>
      <c r="F23" s="14"/>
      <c r="G23" s="14"/>
      <c r="H23" s="14"/>
      <c r="I23" s="14"/>
    </row>
    <row r="24" spans="1:13" s="16" customFormat="1" ht="15" customHeight="1" x14ac:dyDescent="0.3">
      <c r="A24" s="1"/>
      <c r="B24" s="3"/>
      <c r="C24" s="2"/>
      <c r="D24" s="23"/>
      <c r="E24" s="14"/>
      <c r="F24" s="14"/>
      <c r="G24" s="14"/>
      <c r="I24" s="14"/>
      <c r="M24" s="14" t="s">
        <v>1164</v>
      </c>
    </row>
    <row r="25" spans="1:13" s="16" customFormat="1" ht="15" customHeight="1" x14ac:dyDescent="0.3">
      <c r="A25" s="1"/>
      <c r="B25" s="3"/>
      <c r="C25" s="2"/>
      <c r="D25" s="29"/>
      <c r="E25" s="14"/>
      <c r="F25" s="14"/>
      <c r="G25" s="14"/>
      <c r="I25" s="14"/>
      <c r="M25" s="14" t="s">
        <v>1165</v>
      </c>
    </row>
    <row r="26" spans="1:13" s="2" customFormat="1" ht="20.100000000000001" customHeight="1" x14ac:dyDescent="0.3">
      <c r="A26"/>
      <c r="B26" s="10"/>
      <c r="D26" s="29"/>
      <c r="E26" s="1"/>
      <c r="F26" s="1"/>
      <c r="G26" s="1"/>
      <c r="H26" s="1"/>
      <c r="I26" s="1"/>
    </row>
    <row r="27" spans="1:13" s="2" customFormat="1" ht="20.100000000000001" customHeight="1" x14ac:dyDescent="0.3">
      <c r="A27"/>
      <c r="B27" s="10"/>
      <c r="D27" s="29"/>
      <c r="E27" s="1"/>
      <c r="F27" s="1"/>
      <c r="G27" s="1"/>
      <c r="H27" s="1"/>
      <c r="I27" s="1"/>
    </row>
    <row r="28" spans="1:13" s="2" customFormat="1" ht="20.100000000000001" customHeight="1" x14ac:dyDescent="0.3">
      <c r="A28"/>
      <c r="B28" s="10"/>
      <c r="D28" s="29"/>
      <c r="E28" s="1"/>
      <c r="F28" s="1"/>
      <c r="G28" s="1"/>
      <c r="H28" s="1"/>
      <c r="I28" s="1"/>
    </row>
    <row r="29" spans="1:13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</sheetData>
  <pageMargins left="0.7" right="0.7" top="0.75" bottom="0.75" header="0.3" footer="0.3"/>
  <pageSetup scale="88" fitToHeight="0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A2F26-A31D-4EEE-8870-21114747326B}">
  <sheetPr>
    <pageSetUpPr fitToPage="1"/>
  </sheetPr>
  <dimension ref="A1:M45"/>
  <sheetViews>
    <sheetView workbookViewId="0">
      <selection activeCell="A33" sqref="A33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44742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461182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-1026357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-1026357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-565175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1234</v>
      </c>
      <c r="B9" s="31">
        <v>-26984</v>
      </c>
      <c r="C9" s="27">
        <v>44719</v>
      </c>
      <c r="D9" s="23">
        <v>44747</v>
      </c>
    </row>
    <row r="10" spans="1:4" s="14" customFormat="1" ht="15" customHeight="1" x14ac:dyDescent="0.25">
      <c r="A10" s="14" t="s">
        <v>1235</v>
      </c>
      <c r="B10" s="31">
        <v>-29114</v>
      </c>
      <c r="C10" s="27">
        <v>44741</v>
      </c>
      <c r="D10" s="23">
        <v>44747</v>
      </c>
    </row>
    <row r="11" spans="1:4" s="14" customFormat="1" ht="15" customHeight="1" x14ac:dyDescent="0.25">
      <c r="A11" s="14" t="s">
        <v>1236</v>
      </c>
      <c r="B11" s="31">
        <v>-30409</v>
      </c>
      <c r="C11" s="27">
        <v>44720</v>
      </c>
      <c r="D11" s="23">
        <v>44747</v>
      </c>
    </row>
    <row r="12" spans="1:4" s="14" customFormat="1" ht="15" customHeight="1" x14ac:dyDescent="0.25">
      <c r="A12" s="14" t="s">
        <v>1237</v>
      </c>
      <c r="B12" s="31">
        <v>-31196</v>
      </c>
      <c r="C12" s="27">
        <v>44741</v>
      </c>
      <c r="D12" s="23">
        <v>44743</v>
      </c>
    </row>
    <row r="13" spans="1:4" s="14" customFormat="1" ht="15" customHeight="1" x14ac:dyDescent="0.25">
      <c r="A13" s="14" t="s">
        <v>1238</v>
      </c>
      <c r="B13" s="31">
        <v>-31274</v>
      </c>
      <c r="C13" s="27">
        <v>44741</v>
      </c>
      <c r="D13" s="23">
        <v>44743</v>
      </c>
    </row>
    <row r="14" spans="1:4" s="14" customFormat="1" ht="15" customHeight="1" x14ac:dyDescent="0.25">
      <c r="A14" s="14" t="s">
        <v>1239</v>
      </c>
      <c r="B14" s="31">
        <v>-31533</v>
      </c>
      <c r="C14" s="27">
        <v>44741</v>
      </c>
      <c r="D14" s="23">
        <v>44743</v>
      </c>
    </row>
    <row r="15" spans="1:4" s="14" customFormat="1" ht="15" customHeight="1" x14ac:dyDescent="0.25">
      <c r="A15" s="14" t="s">
        <v>1240</v>
      </c>
      <c r="B15" s="31">
        <v>-32896</v>
      </c>
      <c r="C15" s="27">
        <v>44720</v>
      </c>
      <c r="D15" s="23">
        <v>44747</v>
      </c>
    </row>
    <row r="16" spans="1:4" s="14" customFormat="1" ht="15" customHeight="1" x14ac:dyDescent="0.25">
      <c r="A16" s="14" t="s">
        <v>1241</v>
      </c>
      <c r="B16" s="31">
        <v>-36898</v>
      </c>
      <c r="C16" s="27">
        <v>44741</v>
      </c>
      <c r="D16" s="23">
        <v>44747</v>
      </c>
    </row>
    <row r="17" spans="1:4" s="14" customFormat="1" ht="15" customHeight="1" x14ac:dyDescent="0.25">
      <c r="A17" s="14" t="s">
        <v>1242</v>
      </c>
      <c r="B17" s="31">
        <v>-36898</v>
      </c>
      <c r="C17" s="27">
        <v>44741</v>
      </c>
      <c r="D17" s="23">
        <v>44747</v>
      </c>
    </row>
    <row r="18" spans="1:4" s="14" customFormat="1" ht="15" customHeight="1" x14ac:dyDescent="0.25">
      <c r="A18" s="14" t="s">
        <v>1243</v>
      </c>
      <c r="B18" s="31">
        <v>-37287</v>
      </c>
      <c r="C18" s="27">
        <v>44740</v>
      </c>
      <c r="D18" s="23">
        <v>44747</v>
      </c>
    </row>
    <row r="19" spans="1:4" s="14" customFormat="1" ht="15" customHeight="1" x14ac:dyDescent="0.25">
      <c r="A19" s="14" t="s">
        <v>1244</v>
      </c>
      <c r="B19" s="31">
        <v>-37465</v>
      </c>
      <c r="C19" s="27">
        <v>44740</v>
      </c>
      <c r="D19" s="17">
        <v>44747</v>
      </c>
    </row>
    <row r="20" spans="1:4" s="14" customFormat="1" ht="15" customHeight="1" x14ac:dyDescent="0.25">
      <c r="A20" s="14" t="s">
        <v>1245</v>
      </c>
      <c r="B20" s="31">
        <v>-39116</v>
      </c>
      <c r="C20" s="27">
        <v>44741</v>
      </c>
      <c r="D20" s="17">
        <v>44747</v>
      </c>
    </row>
    <row r="21" spans="1:4" s="14" customFormat="1" ht="15" customHeight="1" x14ac:dyDescent="0.25">
      <c r="A21" s="14" t="s">
        <v>1246</v>
      </c>
      <c r="B21" s="31">
        <v>-39334</v>
      </c>
      <c r="C21" s="27">
        <v>44720</v>
      </c>
      <c r="D21" s="17">
        <v>44747</v>
      </c>
    </row>
    <row r="22" spans="1:4" s="14" customFormat="1" ht="15" customHeight="1" x14ac:dyDescent="0.25">
      <c r="A22" s="14" t="s">
        <v>1247</v>
      </c>
      <c r="B22" s="31">
        <v>-39456</v>
      </c>
      <c r="C22" s="27">
        <v>44720</v>
      </c>
      <c r="D22" s="17">
        <v>44747</v>
      </c>
    </row>
    <row r="23" spans="1:4" s="14" customFormat="1" ht="15" customHeight="1" x14ac:dyDescent="0.25">
      <c r="A23" s="14" t="s">
        <v>1248</v>
      </c>
      <c r="B23" s="31">
        <v>-41306</v>
      </c>
      <c r="C23" s="27">
        <v>44741</v>
      </c>
      <c r="D23" s="17">
        <v>44747</v>
      </c>
    </row>
    <row r="24" spans="1:4" s="14" customFormat="1" ht="15" customHeight="1" x14ac:dyDescent="0.25">
      <c r="A24" s="14" t="s">
        <v>1249</v>
      </c>
      <c r="B24" s="31">
        <v>-42506</v>
      </c>
      <c r="C24" s="27">
        <v>44740</v>
      </c>
      <c r="D24" s="17">
        <v>44747</v>
      </c>
    </row>
    <row r="25" spans="1:4" s="14" customFormat="1" ht="15" customHeight="1" x14ac:dyDescent="0.25">
      <c r="A25" s="14" t="s">
        <v>1251</v>
      </c>
      <c r="B25" s="31">
        <v>-42946</v>
      </c>
      <c r="C25" s="27">
        <v>44740</v>
      </c>
      <c r="D25" s="17">
        <v>44747</v>
      </c>
    </row>
    <row r="26" spans="1:4" s="14" customFormat="1" ht="15" customHeight="1" x14ac:dyDescent="0.25">
      <c r="A26" s="14" t="s">
        <v>1250</v>
      </c>
      <c r="B26" s="31">
        <v>-43124</v>
      </c>
      <c r="C26" s="27">
        <v>44740</v>
      </c>
      <c r="D26" s="17">
        <v>44747</v>
      </c>
    </row>
    <row r="27" spans="1:4" s="14" customFormat="1" ht="15" customHeight="1" x14ac:dyDescent="0.25">
      <c r="B27" s="31"/>
      <c r="C27" s="27"/>
      <c r="D27" s="17"/>
    </row>
    <row r="28" spans="1:4" s="14" customFormat="1" ht="15" customHeight="1" x14ac:dyDescent="0.25">
      <c r="B28" s="31">
        <f>SUM(B9:B27)</f>
        <v>-649742</v>
      </c>
      <c r="C28" s="16"/>
      <c r="D28" s="23"/>
    </row>
    <row r="29" spans="1:4" s="14" customFormat="1" ht="15" customHeight="1" x14ac:dyDescent="0.25">
      <c r="A29" s="14" t="s">
        <v>2</v>
      </c>
      <c r="B29" s="31"/>
      <c r="C29" s="26" t="s">
        <v>730</v>
      </c>
      <c r="D29" s="28" t="s">
        <v>829</v>
      </c>
    </row>
    <row r="30" spans="1:4" s="14" customFormat="1" ht="15" customHeight="1" x14ac:dyDescent="0.25">
      <c r="A30" s="14" t="s">
        <v>1253</v>
      </c>
      <c r="B30" s="31">
        <v>26597</v>
      </c>
      <c r="C30" s="27">
        <v>44739</v>
      </c>
      <c r="D30" s="23">
        <v>44753</v>
      </c>
    </row>
    <row r="31" spans="1:4" s="14" customFormat="1" ht="15" customHeight="1" x14ac:dyDescent="0.25">
      <c r="A31" s="14" t="s">
        <v>1252</v>
      </c>
      <c r="B31" s="31">
        <v>28978</v>
      </c>
      <c r="C31" s="27">
        <v>44739</v>
      </c>
      <c r="D31" s="23">
        <v>44749</v>
      </c>
    </row>
    <row r="32" spans="1:4" s="14" customFormat="1" ht="15" customHeight="1" x14ac:dyDescent="0.25">
      <c r="A32" s="14" t="s">
        <v>1254</v>
      </c>
      <c r="B32" s="31">
        <v>28992</v>
      </c>
      <c r="C32" s="27">
        <v>44739</v>
      </c>
      <c r="D32" s="23">
        <v>44753</v>
      </c>
    </row>
    <row r="33" spans="1:13" s="14" customFormat="1" ht="15.75" x14ac:dyDescent="0.25">
      <c r="B33" s="31"/>
      <c r="C33" s="27"/>
      <c r="D33" s="23"/>
    </row>
    <row r="34" spans="1:13" s="14" customFormat="1" ht="15" customHeight="1" x14ac:dyDescent="0.25">
      <c r="B34" s="31"/>
      <c r="C34" s="27"/>
      <c r="D34" s="23"/>
    </row>
    <row r="35" spans="1:13" s="14" customFormat="1" ht="15" customHeight="1" x14ac:dyDescent="0.25">
      <c r="B35" s="31">
        <f>SUM(B30:B34)</f>
        <v>84567</v>
      </c>
      <c r="C35" s="16"/>
      <c r="D35" s="21"/>
      <c r="E35" s="21"/>
      <c r="F35" s="21"/>
    </row>
    <row r="36" spans="1:13" s="16" customFormat="1" ht="15" customHeight="1" x14ac:dyDescent="0.25">
      <c r="A36" s="18" t="s">
        <v>1</v>
      </c>
      <c r="B36" s="19">
        <f>B35+B28</f>
        <v>-565175</v>
      </c>
      <c r="D36" s="23"/>
      <c r="E36" s="21"/>
      <c r="F36" s="21"/>
      <c r="G36" s="21"/>
    </row>
    <row r="37" spans="1:13" s="16" customFormat="1" ht="15" customHeight="1" x14ac:dyDescent="0.25">
      <c r="A37" s="14" t="s">
        <v>0</v>
      </c>
      <c r="B37" s="15">
        <f>B36-B7</f>
        <v>0</v>
      </c>
      <c r="D37" s="23"/>
      <c r="E37" s="14"/>
      <c r="F37" s="14"/>
      <c r="G37" s="14"/>
      <c r="H37" s="14"/>
      <c r="I37" s="14"/>
    </row>
    <row r="38" spans="1:13" s="16" customFormat="1" ht="15" customHeight="1" x14ac:dyDescent="0.3">
      <c r="A38" s="1"/>
      <c r="B38" s="3"/>
      <c r="C38" s="2"/>
      <c r="D38" s="23"/>
      <c r="E38" s="14"/>
      <c r="F38" s="14"/>
      <c r="G38" s="14"/>
      <c r="I38" s="14"/>
      <c r="M38" s="14" t="s">
        <v>1164</v>
      </c>
    </row>
    <row r="39" spans="1:13" s="16" customFormat="1" ht="15" customHeight="1" x14ac:dyDescent="0.3">
      <c r="A39" s="1"/>
      <c r="B39" s="3"/>
      <c r="C39" s="2"/>
      <c r="D39" s="29"/>
      <c r="E39" s="14"/>
      <c r="F39" s="14"/>
      <c r="G39" s="14"/>
      <c r="I39" s="14"/>
      <c r="M39" s="14" t="s">
        <v>1165</v>
      </c>
    </row>
    <row r="40" spans="1:13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  <row r="41" spans="1:13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  <row r="42" spans="1:13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  <row r="43" spans="1:13" s="2" customFormat="1" ht="20.100000000000001" customHeight="1" x14ac:dyDescent="0.3">
      <c r="A43"/>
      <c r="B43" s="10"/>
      <c r="D43" s="29"/>
      <c r="E43" s="1"/>
      <c r="F43" s="1"/>
      <c r="G43" s="1"/>
      <c r="H43" s="1"/>
      <c r="I43" s="1"/>
    </row>
    <row r="44" spans="1:13" s="2" customFormat="1" ht="20.100000000000001" customHeight="1" x14ac:dyDescent="0.3">
      <c r="A44"/>
      <c r="B44" s="10"/>
      <c r="D44" s="29"/>
      <c r="E44" s="1"/>
      <c r="F44" s="1"/>
      <c r="G44" s="1"/>
      <c r="H44" s="1"/>
      <c r="I44" s="1"/>
    </row>
    <row r="45" spans="1:13" s="2" customFormat="1" ht="20.100000000000001" customHeight="1" x14ac:dyDescent="0.3">
      <c r="A45"/>
      <c r="B45" s="10"/>
      <c r="D45" s="29"/>
      <c r="E45" s="1"/>
      <c r="F45" s="1"/>
      <c r="G45" s="1"/>
      <c r="H45" s="1"/>
      <c r="I45" s="1"/>
    </row>
  </sheetData>
  <pageMargins left="0.7" right="0.7" top="0.75" bottom="0.75" header="0.3" footer="0.3"/>
  <pageSetup scale="88" fitToHeight="0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46E1-1945-4709-A2D6-BF7DAD0BB16F}">
  <sheetPr>
    <pageSetUpPr fitToPage="1"/>
  </sheetPr>
  <dimension ref="A1:M28"/>
  <sheetViews>
    <sheetView workbookViewId="0">
      <selection activeCell="D16" sqref="D16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44773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1637668.6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-1546356.6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-1546356.6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91312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1256</v>
      </c>
      <c r="B9" s="31">
        <v>-37287</v>
      </c>
      <c r="C9" s="27">
        <v>44769</v>
      </c>
      <c r="D9" s="23">
        <v>44774</v>
      </c>
    </row>
    <row r="10" spans="1:4" s="14" customFormat="1" ht="15" customHeight="1" x14ac:dyDescent="0.25">
      <c r="B10" s="31"/>
      <c r="C10" s="27"/>
      <c r="D10" s="17"/>
    </row>
    <row r="11" spans="1:4" s="14" customFormat="1" ht="15" customHeight="1" x14ac:dyDescent="0.25">
      <c r="B11" s="31">
        <f>SUM(B9:B10)</f>
        <v>-37287</v>
      </c>
      <c r="C11" s="16"/>
      <c r="D11" s="23"/>
    </row>
    <row r="12" spans="1:4" s="14" customFormat="1" ht="15" customHeight="1" x14ac:dyDescent="0.25">
      <c r="A12" s="14" t="s">
        <v>2</v>
      </c>
      <c r="B12" s="31"/>
      <c r="C12" s="26" t="s">
        <v>730</v>
      </c>
      <c r="D12" s="28" t="s">
        <v>829</v>
      </c>
    </row>
    <row r="13" spans="1:4" s="14" customFormat="1" ht="15" customHeight="1" x14ac:dyDescent="0.25">
      <c r="A13" s="14" t="s">
        <v>1258</v>
      </c>
      <c r="B13" s="31">
        <v>29152</v>
      </c>
      <c r="C13" s="27">
        <v>44753</v>
      </c>
      <c r="D13" s="23">
        <v>44778</v>
      </c>
    </row>
    <row r="14" spans="1:4" s="14" customFormat="1" ht="15" customHeight="1" x14ac:dyDescent="0.25">
      <c r="A14" s="14" t="s">
        <v>1255</v>
      </c>
      <c r="B14" s="31">
        <v>31216</v>
      </c>
      <c r="C14" s="27">
        <v>44753</v>
      </c>
      <c r="D14" s="23" t="s">
        <v>1260</v>
      </c>
    </row>
    <row r="15" spans="1:4" s="14" customFormat="1" ht="15" customHeight="1" x14ac:dyDescent="0.25">
      <c r="A15" s="14" t="s">
        <v>1259</v>
      </c>
      <c r="B15" s="31">
        <v>33609</v>
      </c>
      <c r="C15" s="27">
        <v>44753</v>
      </c>
      <c r="D15" s="23">
        <v>44778</v>
      </c>
    </row>
    <row r="16" spans="1:4" s="14" customFormat="1" ht="15.75" x14ac:dyDescent="0.25">
      <c r="A16" s="14" t="s">
        <v>1257</v>
      </c>
      <c r="B16" s="31">
        <v>34622</v>
      </c>
      <c r="C16" s="27">
        <v>44770</v>
      </c>
      <c r="D16" s="23">
        <v>44774</v>
      </c>
    </row>
    <row r="17" spans="1:13" s="14" customFormat="1" ht="15" customHeight="1" x14ac:dyDescent="0.25">
      <c r="B17" s="31"/>
      <c r="C17" s="27"/>
      <c r="D17" s="23"/>
    </row>
    <row r="18" spans="1:13" s="14" customFormat="1" ht="15" customHeight="1" x14ac:dyDescent="0.25">
      <c r="B18" s="31">
        <f>SUM(B13:B17)</f>
        <v>128599</v>
      </c>
      <c r="C18" s="16"/>
      <c r="D18" s="21"/>
      <c r="E18" s="21"/>
      <c r="F18" s="21"/>
    </row>
    <row r="19" spans="1:13" s="16" customFormat="1" ht="15" customHeight="1" x14ac:dyDescent="0.25">
      <c r="A19" s="18" t="s">
        <v>1</v>
      </c>
      <c r="B19" s="19">
        <f>B18+B11</f>
        <v>91312</v>
      </c>
      <c r="D19" s="23"/>
      <c r="E19" s="21"/>
      <c r="F19" s="21"/>
      <c r="G19" s="21"/>
    </row>
    <row r="20" spans="1:13" s="16" customFormat="1" ht="15" customHeight="1" x14ac:dyDescent="0.25">
      <c r="A20" s="14" t="s">
        <v>0</v>
      </c>
      <c r="B20" s="15">
        <f>B19-B7</f>
        <v>0</v>
      </c>
      <c r="D20" s="23"/>
      <c r="E20" s="14"/>
      <c r="F20" s="14"/>
      <c r="G20" s="14"/>
      <c r="H20" s="14"/>
      <c r="I20" s="14"/>
    </row>
    <row r="21" spans="1:13" s="16" customFormat="1" ht="15" customHeight="1" x14ac:dyDescent="0.3">
      <c r="A21" s="1"/>
      <c r="B21" s="3"/>
      <c r="C21" s="2"/>
      <c r="D21" s="23"/>
      <c r="E21" s="14"/>
      <c r="F21" s="14"/>
      <c r="G21" s="14"/>
      <c r="I21" s="14"/>
      <c r="M21" s="14" t="s">
        <v>1164</v>
      </c>
    </row>
    <row r="22" spans="1:13" s="16" customFormat="1" ht="15" customHeight="1" x14ac:dyDescent="0.3">
      <c r="A22" s="1"/>
      <c r="B22" s="3"/>
      <c r="C22" s="2"/>
      <c r="D22" s="29"/>
      <c r="E22" s="14"/>
      <c r="F22" s="14"/>
      <c r="G22" s="14"/>
      <c r="I22" s="14"/>
      <c r="M22" s="14" t="s">
        <v>1165</v>
      </c>
    </row>
    <row r="23" spans="1:13" s="2" customFormat="1" ht="20.100000000000001" customHeight="1" x14ac:dyDescent="0.3">
      <c r="A23"/>
      <c r="B23" s="10"/>
      <c r="D23" s="29"/>
      <c r="E23" s="1"/>
      <c r="F23" s="1"/>
      <c r="G23" s="1"/>
      <c r="H23" s="1"/>
      <c r="I23" s="1"/>
    </row>
    <row r="24" spans="1:13" s="2" customFormat="1" ht="20.100000000000001" customHeight="1" x14ac:dyDescent="0.3">
      <c r="A24"/>
      <c r="B24" s="10"/>
      <c r="D24" s="29"/>
      <c r="E24" s="1"/>
      <c r="F24" s="1"/>
      <c r="G24" s="1"/>
      <c r="H24" s="1"/>
      <c r="I24" s="1"/>
    </row>
    <row r="25" spans="1:13" s="2" customFormat="1" ht="20.100000000000001" customHeight="1" x14ac:dyDescent="0.3">
      <c r="A25"/>
      <c r="B25" s="10"/>
      <c r="D25" s="29"/>
      <c r="E25" s="1"/>
      <c r="F25" s="1"/>
      <c r="G25" s="1"/>
      <c r="H25" s="1"/>
      <c r="I25" s="1"/>
    </row>
    <row r="26" spans="1:13" s="2" customFormat="1" ht="20.100000000000001" customHeight="1" x14ac:dyDescent="0.3">
      <c r="A26"/>
      <c r="B26" s="10"/>
      <c r="D26" s="29"/>
      <c r="E26" s="1"/>
      <c r="F26" s="1"/>
      <c r="G26" s="1"/>
      <c r="H26" s="1"/>
      <c r="I26" s="1"/>
    </row>
    <row r="27" spans="1:13" s="2" customFormat="1" ht="20.100000000000001" customHeight="1" x14ac:dyDescent="0.3">
      <c r="A27"/>
      <c r="B27" s="10"/>
      <c r="D27" s="29"/>
      <c r="E27" s="1"/>
      <c r="F27" s="1"/>
      <c r="G27" s="1"/>
      <c r="H27" s="1"/>
      <c r="I27" s="1"/>
    </row>
    <row r="28" spans="1:13" s="2" customFormat="1" ht="20.100000000000001" customHeight="1" x14ac:dyDescent="0.3">
      <c r="A28"/>
      <c r="B28" s="10"/>
      <c r="D28" s="29"/>
      <c r="E28" s="1"/>
      <c r="F28" s="1"/>
      <c r="G28" s="1"/>
      <c r="H28" s="1"/>
      <c r="I28" s="1"/>
    </row>
  </sheetData>
  <pageMargins left="0.7" right="0.7" top="0.75" bottom="0.75" header="0.3" footer="0.3"/>
  <pageSetup scale="88" fitToHeight="0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859E-EC36-4E0C-8C72-852067F7A358}">
  <sheetPr>
    <pageSetUpPr fitToPage="1"/>
  </sheetPr>
  <dimension ref="A1:M33"/>
  <sheetViews>
    <sheetView workbookViewId="0"/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44804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2665073.2000000002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-2903659.2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-2903659.2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-238586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1261</v>
      </c>
      <c r="B9" s="31">
        <v>-33620</v>
      </c>
      <c r="C9" s="27">
        <v>44803</v>
      </c>
      <c r="D9" s="23">
        <v>44810</v>
      </c>
    </row>
    <row r="10" spans="1:4" s="14" customFormat="1" ht="15" customHeight="1" x14ac:dyDescent="0.25">
      <c r="A10" s="14" t="s">
        <v>1262</v>
      </c>
      <c r="B10" s="31">
        <v>-34084</v>
      </c>
      <c r="C10" s="27">
        <v>44803</v>
      </c>
      <c r="D10" s="23">
        <v>44810</v>
      </c>
    </row>
    <row r="11" spans="1:4" s="14" customFormat="1" ht="15" customHeight="1" x14ac:dyDescent="0.25">
      <c r="A11" s="14" t="s">
        <v>1263</v>
      </c>
      <c r="B11" s="31">
        <v>-37799</v>
      </c>
      <c r="C11" s="27">
        <v>44803</v>
      </c>
      <c r="D11" s="23">
        <v>44810</v>
      </c>
    </row>
    <row r="12" spans="1:4" s="14" customFormat="1" ht="15" customHeight="1" x14ac:dyDescent="0.25">
      <c r="A12" s="14" t="s">
        <v>1264</v>
      </c>
      <c r="B12" s="31">
        <v>-38059</v>
      </c>
      <c r="C12" s="27">
        <v>44803</v>
      </c>
      <c r="D12" s="23">
        <v>44810</v>
      </c>
    </row>
    <row r="13" spans="1:4" s="14" customFormat="1" ht="15" customHeight="1" x14ac:dyDescent="0.25">
      <c r="A13" s="14" t="s">
        <v>1265</v>
      </c>
      <c r="B13" s="31">
        <v>-38419</v>
      </c>
      <c r="C13" s="27">
        <v>44803</v>
      </c>
      <c r="D13" s="23">
        <v>44810</v>
      </c>
    </row>
    <row r="14" spans="1:4" s="14" customFormat="1" ht="15" customHeight="1" x14ac:dyDescent="0.25">
      <c r="A14" s="14" t="s">
        <v>1266</v>
      </c>
      <c r="B14" s="31">
        <v>-38619</v>
      </c>
      <c r="C14" s="27">
        <v>44803</v>
      </c>
      <c r="D14" s="23">
        <v>44810</v>
      </c>
    </row>
    <row r="15" spans="1:4" s="14" customFormat="1" ht="15" customHeight="1" x14ac:dyDescent="0.25">
      <c r="A15" s="14" t="s">
        <v>1267</v>
      </c>
      <c r="B15" s="31">
        <v>-40726</v>
      </c>
      <c r="C15" s="27">
        <v>44798</v>
      </c>
      <c r="D15" s="23">
        <v>44806</v>
      </c>
    </row>
    <row r="16" spans="1:4" s="14" customFormat="1" ht="15" customHeight="1" x14ac:dyDescent="0.25">
      <c r="A16" s="14" t="s">
        <v>1268</v>
      </c>
      <c r="B16" s="31">
        <v>-42005</v>
      </c>
      <c r="C16" s="27">
        <v>44798</v>
      </c>
      <c r="D16" s="23">
        <v>44806</v>
      </c>
    </row>
    <row r="17" spans="1:13" s="14" customFormat="1" ht="15" customHeight="1" x14ac:dyDescent="0.25">
      <c r="B17" s="31"/>
      <c r="C17" s="27"/>
      <c r="D17" s="17"/>
    </row>
    <row r="18" spans="1:13" s="14" customFormat="1" ht="15" customHeight="1" x14ac:dyDescent="0.25">
      <c r="B18" s="31">
        <f>SUM(B9:B17)</f>
        <v>-303331</v>
      </c>
      <c r="C18" s="16"/>
      <c r="D18" s="23"/>
    </row>
    <row r="19" spans="1:13" s="14" customFormat="1" ht="15" customHeight="1" x14ac:dyDescent="0.25">
      <c r="A19" s="14" t="s">
        <v>2</v>
      </c>
      <c r="B19" s="31"/>
      <c r="C19" s="26" t="s">
        <v>730</v>
      </c>
      <c r="D19" s="28" t="s">
        <v>829</v>
      </c>
    </row>
    <row r="20" spans="1:13" s="14" customFormat="1" ht="15" customHeight="1" x14ac:dyDescent="0.25">
      <c r="A20" s="14" t="s">
        <v>1269</v>
      </c>
      <c r="B20" s="31">
        <v>31216</v>
      </c>
      <c r="C20" s="27">
        <v>44753</v>
      </c>
      <c r="D20" s="23" t="s">
        <v>1271</v>
      </c>
    </row>
    <row r="21" spans="1:13" s="14" customFormat="1" ht="15" customHeight="1" x14ac:dyDescent="0.25">
      <c r="A21" s="14" t="s">
        <v>1270</v>
      </c>
      <c r="B21" s="31">
        <v>33529</v>
      </c>
      <c r="C21" s="27">
        <v>44799</v>
      </c>
      <c r="D21" s="23">
        <v>44810</v>
      </c>
    </row>
    <row r="22" spans="1:13" s="14" customFormat="1" ht="15" customHeight="1" x14ac:dyDescent="0.25">
      <c r="B22" s="31"/>
      <c r="C22" s="27"/>
      <c r="D22" s="23"/>
    </row>
    <row r="23" spans="1:13" s="14" customFormat="1" ht="15" customHeight="1" x14ac:dyDescent="0.25">
      <c r="B23" s="31">
        <f>SUM(B20:B22)</f>
        <v>64745</v>
      </c>
      <c r="C23" s="16"/>
      <c r="D23" s="21"/>
      <c r="E23" s="21"/>
      <c r="F23" s="21"/>
    </row>
    <row r="24" spans="1:13" s="16" customFormat="1" ht="15" customHeight="1" x14ac:dyDescent="0.25">
      <c r="A24" s="18" t="s">
        <v>1</v>
      </c>
      <c r="B24" s="19">
        <f>B23+B18</f>
        <v>-238586</v>
      </c>
      <c r="D24" s="23"/>
      <c r="E24" s="21"/>
      <c r="F24" s="21"/>
      <c r="G24" s="21"/>
    </row>
    <row r="25" spans="1:13" s="16" customFormat="1" ht="15" customHeight="1" x14ac:dyDescent="0.25">
      <c r="A25" s="14" t="s">
        <v>0</v>
      </c>
      <c r="B25" s="15">
        <f>B24-B7</f>
        <v>0</v>
      </c>
      <c r="D25" s="23"/>
      <c r="E25" s="14"/>
      <c r="F25" s="14"/>
      <c r="G25" s="14"/>
      <c r="H25" s="14"/>
      <c r="I25" s="14"/>
    </row>
    <row r="26" spans="1:13" s="16" customFormat="1" ht="15" customHeight="1" x14ac:dyDescent="0.3">
      <c r="A26" s="1"/>
      <c r="B26" s="3"/>
      <c r="C26" s="2"/>
      <c r="D26" s="23"/>
      <c r="E26" s="14"/>
      <c r="F26" s="14"/>
      <c r="G26" s="14"/>
      <c r="I26" s="14"/>
      <c r="M26" s="14" t="s">
        <v>1164</v>
      </c>
    </row>
    <row r="27" spans="1:13" s="16" customFormat="1" ht="15" customHeight="1" x14ac:dyDescent="0.3">
      <c r="A27" s="1"/>
      <c r="B27" s="3"/>
      <c r="C27" s="2"/>
      <c r="D27" s="29"/>
      <c r="E27" s="14"/>
      <c r="F27" s="14"/>
      <c r="G27" s="14"/>
      <c r="I27" s="14"/>
      <c r="M27" s="14" t="s">
        <v>1165</v>
      </c>
    </row>
    <row r="28" spans="1:13" s="2" customFormat="1" ht="20.100000000000001" customHeight="1" x14ac:dyDescent="0.3">
      <c r="A28"/>
      <c r="B28" s="10"/>
      <c r="D28" s="29"/>
      <c r="E28" s="1"/>
      <c r="F28" s="1"/>
      <c r="G28" s="1"/>
      <c r="H28" s="1"/>
      <c r="I28" s="1"/>
    </row>
    <row r="29" spans="1:13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</sheetData>
  <pageMargins left="0.7" right="0.7" top="0.75" bottom="0.75" header="0.3" footer="0.3"/>
  <pageSetup scale="80" fitToHeight="0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5857-2E11-42E6-8252-26D421CD0340}">
  <sheetPr>
    <pageSetUpPr fitToPage="1"/>
  </sheetPr>
  <dimension ref="A1:M33"/>
  <sheetViews>
    <sheetView workbookViewId="0">
      <selection activeCell="D19" sqref="D19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44834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3495250.8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-3276693.8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-3276693.8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218557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1272</v>
      </c>
      <c r="B9" s="31">
        <v>-33276</v>
      </c>
      <c r="C9" s="27">
        <v>44824</v>
      </c>
      <c r="D9" s="23">
        <v>44840</v>
      </c>
    </row>
    <row r="10" spans="1:4" s="14" customFormat="1" ht="15" customHeight="1" x14ac:dyDescent="0.25">
      <c r="A10" s="14" t="s">
        <v>1273</v>
      </c>
      <c r="B10" s="31">
        <v>-33668</v>
      </c>
      <c r="C10" s="27">
        <v>44830</v>
      </c>
      <c r="D10" s="23">
        <v>44839</v>
      </c>
    </row>
    <row r="11" spans="1:4" s="14" customFormat="1" ht="15" customHeight="1" x14ac:dyDescent="0.25">
      <c r="B11" s="31"/>
      <c r="C11" s="27"/>
      <c r="D11" s="17"/>
    </row>
    <row r="12" spans="1:4" s="14" customFormat="1" ht="15" customHeight="1" x14ac:dyDescent="0.25">
      <c r="B12" s="31">
        <f>SUM(B9:B11)</f>
        <v>-66944</v>
      </c>
      <c r="C12" s="16"/>
      <c r="D12" s="23"/>
    </row>
    <row r="13" spans="1:4" s="14" customFormat="1" ht="15" customHeight="1" x14ac:dyDescent="0.25">
      <c r="A13" s="14" t="s">
        <v>2</v>
      </c>
      <c r="B13" s="31"/>
      <c r="C13" s="26" t="s">
        <v>730</v>
      </c>
      <c r="D13" s="28" t="s">
        <v>829</v>
      </c>
    </row>
    <row r="14" spans="1:4" s="14" customFormat="1" ht="15" customHeight="1" x14ac:dyDescent="0.25">
      <c r="A14" s="14" t="s">
        <v>1274</v>
      </c>
      <c r="B14" s="31">
        <v>31216</v>
      </c>
      <c r="C14" s="27" t="s">
        <v>1283</v>
      </c>
      <c r="D14" s="23" t="s">
        <v>1275</v>
      </c>
    </row>
    <row r="15" spans="1:4" s="14" customFormat="1" ht="15" customHeight="1" x14ac:dyDescent="0.25">
      <c r="A15" s="14" t="s">
        <v>1276</v>
      </c>
      <c r="B15" s="31">
        <v>32462</v>
      </c>
      <c r="C15" s="27">
        <v>44833</v>
      </c>
      <c r="D15" s="23">
        <v>44839</v>
      </c>
    </row>
    <row r="16" spans="1:4" s="14" customFormat="1" ht="15" customHeight="1" x14ac:dyDescent="0.25">
      <c r="A16" s="14" t="s">
        <v>1277</v>
      </c>
      <c r="B16" s="31">
        <v>32892</v>
      </c>
      <c r="C16" s="27">
        <v>44833</v>
      </c>
      <c r="D16" s="23">
        <v>44839</v>
      </c>
    </row>
    <row r="17" spans="1:13" s="14" customFormat="1" ht="15" customHeight="1" x14ac:dyDescent="0.25">
      <c r="A17" s="14" t="s">
        <v>1278</v>
      </c>
      <c r="B17" s="31">
        <v>33668</v>
      </c>
      <c r="C17" s="27">
        <v>44833</v>
      </c>
      <c r="D17" s="23">
        <v>44839</v>
      </c>
    </row>
    <row r="18" spans="1:13" s="14" customFormat="1" ht="15" customHeight="1" x14ac:dyDescent="0.25">
      <c r="A18" s="14" t="s">
        <v>1279</v>
      </c>
      <c r="B18" s="31">
        <v>33772</v>
      </c>
      <c r="C18" s="27">
        <v>44830</v>
      </c>
      <c r="D18" s="23" t="s">
        <v>1284</v>
      </c>
    </row>
    <row r="19" spans="1:13" s="14" customFormat="1" ht="15" customHeight="1" x14ac:dyDescent="0.25">
      <c r="A19" s="14" t="s">
        <v>1280</v>
      </c>
      <c r="B19" s="31">
        <v>37939</v>
      </c>
      <c r="C19" s="27">
        <v>44823</v>
      </c>
      <c r="D19" s="23">
        <v>44839</v>
      </c>
    </row>
    <row r="20" spans="1:13" s="14" customFormat="1" ht="15" customHeight="1" x14ac:dyDescent="0.25">
      <c r="A20" s="14" t="s">
        <v>1281</v>
      </c>
      <c r="B20" s="31">
        <v>40867</v>
      </c>
      <c r="C20" s="27">
        <v>44823</v>
      </c>
      <c r="D20" s="23">
        <v>44839</v>
      </c>
    </row>
    <row r="21" spans="1:13" s="14" customFormat="1" ht="15" customHeight="1" x14ac:dyDescent="0.25">
      <c r="A21" s="14" t="s">
        <v>1282</v>
      </c>
      <c r="B21" s="31">
        <v>42685</v>
      </c>
      <c r="C21" s="27">
        <v>44823</v>
      </c>
      <c r="D21" s="23">
        <v>44839</v>
      </c>
    </row>
    <row r="22" spans="1:13" s="14" customFormat="1" ht="15" customHeight="1" x14ac:dyDescent="0.25">
      <c r="B22" s="31"/>
      <c r="C22" s="27"/>
      <c r="D22" s="23"/>
    </row>
    <row r="23" spans="1:13" s="14" customFormat="1" ht="15" customHeight="1" x14ac:dyDescent="0.25">
      <c r="B23" s="31">
        <f>SUM(B14:B22)</f>
        <v>285501</v>
      </c>
      <c r="C23" s="16"/>
      <c r="D23" s="21"/>
      <c r="E23" s="21"/>
      <c r="F23" s="21"/>
    </row>
    <row r="24" spans="1:13" s="16" customFormat="1" ht="15" customHeight="1" x14ac:dyDescent="0.25">
      <c r="A24" s="18" t="s">
        <v>1</v>
      </c>
      <c r="B24" s="19">
        <f>B23+B12</f>
        <v>218557</v>
      </c>
      <c r="D24" s="23"/>
      <c r="E24" s="21"/>
      <c r="F24" s="21"/>
      <c r="G24" s="21"/>
    </row>
    <row r="25" spans="1:13" s="16" customFormat="1" ht="15" customHeight="1" x14ac:dyDescent="0.25">
      <c r="A25" s="14" t="s">
        <v>0</v>
      </c>
      <c r="B25" s="15">
        <f>B24-B7</f>
        <v>0</v>
      </c>
      <c r="D25" s="23"/>
      <c r="E25" s="14"/>
      <c r="F25" s="14"/>
      <c r="G25" s="14"/>
      <c r="H25" s="14"/>
      <c r="I25" s="14"/>
    </row>
    <row r="26" spans="1:13" s="16" customFormat="1" ht="15" customHeight="1" x14ac:dyDescent="0.3">
      <c r="A26" s="1"/>
      <c r="B26" s="3"/>
      <c r="C26" s="2"/>
      <c r="D26" s="23"/>
      <c r="E26" s="14"/>
      <c r="F26" s="14"/>
      <c r="G26" s="14"/>
      <c r="I26" s="14"/>
      <c r="M26" s="14" t="s">
        <v>1164</v>
      </c>
    </row>
    <row r="27" spans="1:13" s="16" customFormat="1" ht="15" customHeight="1" x14ac:dyDescent="0.3">
      <c r="A27" s="1"/>
      <c r="B27" s="3"/>
      <c r="C27" s="2"/>
      <c r="D27" s="29"/>
      <c r="E27" s="14"/>
      <c r="F27" s="14"/>
      <c r="G27" s="14"/>
      <c r="I27" s="14"/>
      <c r="M27" s="14" t="s">
        <v>1165</v>
      </c>
    </row>
    <row r="28" spans="1:13" s="2" customFormat="1" ht="20.100000000000001" customHeight="1" x14ac:dyDescent="0.3">
      <c r="A28"/>
      <c r="B28" s="10"/>
      <c r="D28" s="29"/>
      <c r="E28" s="1"/>
      <c r="F28" s="1"/>
      <c r="G28" s="1"/>
      <c r="H28" s="1"/>
      <c r="I28" s="1"/>
    </row>
    <row r="29" spans="1:13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</sheetData>
  <pageMargins left="0.7" right="0.7" top="0.75" bottom="0.75" header="0.3" footer="0.3"/>
  <pageSetup scale="80" fitToHeight="0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FA45-DAD8-4D6F-85D7-25B68D38473F}">
  <sheetPr>
    <pageSetUpPr fitToPage="1"/>
  </sheetPr>
  <dimension ref="A1:M36"/>
  <sheetViews>
    <sheetView workbookViewId="0">
      <selection activeCell="D24" sqref="D24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44865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2375204.4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-2278321.4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-2278321.4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96883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1285</v>
      </c>
      <c r="B9" s="31">
        <v>-25189</v>
      </c>
      <c r="C9" s="27">
        <v>44865</v>
      </c>
      <c r="D9" s="23">
        <v>44866</v>
      </c>
    </row>
    <row r="10" spans="1:4" s="14" customFormat="1" ht="15" customHeight="1" x14ac:dyDescent="0.25">
      <c r="A10" s="14" t="s">
        <v>1286</v>
      </c>
      <c r="B10" s="31">
        <v>-25428</v>
      </c>
      <c r="C10" s="27">
        <v>44865</v>
      </c>
      <c r="D10" s="23">
        <v>44866</v>
      </c>
    </row>
    <row r="11" spans="1:4" s="14" customFormat="1" ht="15" customHeight="1" x14ac:dyDescent="0.25">
      <c r="A11" s="14" t="s">
        <v>1287</v>
      </c>
      <c r="B11" s="31">
        <v>-26647</v>
      </c>
      <c r="C11" s="27">
        <v>44865</v>
      </c>
      <c r="D11" s="23">
        <v>44866</v>
      </c>
    </row>
    <row r="12" spans="1:4" s="14" customFormat="1" ht="15" customHeight="1" x14ac:dyDescent="0.25">
      <c r="A12" s="14" t="s">
        <v>1288</v>
      </c>
      <c r="B12" s="31">
        <v>-33152</v>
      </c>
      <c r="C12" s="27">
        <v>44862</v>
      </c>
      <c r="D12" s="23">
        <v>44873</v>
      </c>
    </row>
    <row r="13" spans="1:4" s="14" customFormat="1" ht="15" customHeight="1" x14ac:dyDescent="0.25">
      <c r="B13" s="31"/>
      <c r="C13" s="27"/>
      <c r="D13" s="23"/>
    </row>
    <row r="14" spans="1:4" s="14" customFormat="1" ht="15" customHeight="1" x14ac:dyDescent="0.25">
      <c r="B14" s="31"/>
      <c r="C14" s="27"/>
      <c r="D14" s="17"/>
    </row>
    <row r="15" spans="1:4" s="14" customFormat="1" ht="15" customHeight="1" x14ac:dyDescent="0.25">
      <c r="B15" s="31">
        <f>SUM(B9:B14)</f>
        <v>-110416</v>
      </c>
      <c r="C15" s="16"/>
      <c r="D15" s="23"/>
    </row>
    <row r="16" spans="1:4" s="14" customFormat="1" ht="15" customHeight="1" x14ac:dyDescent="0.25">
      <c r="A16" s="14" t="s">
        <v>2</v>
      </c>
      <c r="B16" s="31"/>
      <c r="C16" s="26" t="s">
        <v>730</v>
      </c>
      <c r="D16" s="28" t="s">
        <v>829</v>
      </c>
    </row>
    <row r="17" spans="1:13" s="14" customFormat="1" ht="15" customHeight="1" x14ac:dyDescent="0.25">
      <c r="A17" s="14" t="s">
        <v>1289</v>
      </c>
      <c r="B17" s="31">
        <v>24005</v>
      </c>
      <c r="C17" s="27">
        <v>44858</v>
      </c>
      <c r="D17" s="23">
        <v>44873</v>
      </c>
    </row>
    <row r="18" spans="1:13" s="14" customFormat="1" ht="15" customHeight="1" x14ac:dyDescent="0.25">
      <c r="A18" s="14" t="s">
        <v>1290</v>
      </c>
      <c r="B18" s="31">
        <v>24045</v>
      </c>
      <c r="C18" s="27">
        <v>44858</v>
      </c>
      <c r="D18" s="23">
        <v>44869</v>
      </c>
    </row>
    <row r="19" spans="1:13" s="14" customFormat="1" ht="15" customHeight="1" x14ac:dyDescent="0.25">
      <c r="A19" s="14" t="s">
        <v>1291</v>
      </c>
      <c r="B19" s="31">
        <v>25508</v>
      </c>
      <c r="C19" s="27">
        <v>44854</v>
      </c>
      <c r="D19" s="23">
        <v>44874</v>
      </c>
    </row>
    <row r="20" spans="1:13" s="14" customFormat="1" ht="15" customHeight="1" x14ac:dyDescent="0.25">
      <c r="A20" s="14" t="s">
        <v>1292</v>
      </c>
      <c r="B20" s="31">
        <v>25701</v>
      </c>
      <c r="C20" s="27">
        <v>44858</v>
      </c>
      <c r="D20" s="23">
        <v>44869</v>
      </c>
    </row>
    <row r="21" spans="1:13" s="14" customFormat="1" ht="15" customHeight="1" x14ac:dyDescent="0.25">
      <c r="A21" s="14" t="s">
        <v>1293</v>
      </c>
      <c r="B21" s="31">
        <v>26647</v>
      </c>
      <c r="C21" s="27">
        <v>44858</v>
      </c>
      <c r="D21" s="23">
        <v>44873</v>
      </c>
    </row>
    <row r="22" spans="1:13" s="14" customFormat="1" ht="15" customHeight="1" x14ac:dyDescent="0.25">
      <c r="A22" s="14" t="s">
        <v>1294</v>
      </c>
      <c r="B22" s="31">
        <v>26690</v>
      </c>
      <c r="C22" s="27">
        <v>44861</v>
      </c>
      <c r="D22" s="23" t="s">
        <v>1297</v>
      </c>
    </row>
    <row r="23" spans="1:13" s="14" customFormat="1" ht="15" customHeight="1" x14ac:dyDescent="0.25">
      <c r="A23" s="14" t="s">
        <v>1295</v>
      </c>
      <c r="B23" s="31">
        <v>26690</v>
      </c>
      <c r="C23" s="27">
        <v>44861</v>
      </c>
      <c r="D23" s="23" t="s">
        <v>1297</v>
      </c>
    </row>
    <row r="24" spans="1:13" s="14" customFormat="1" ht="15" customHeight="1" x14ac:dyDescent="0.25">
      <c r="A24" s="14" t="s">
        <v>1296</v>
      </c>
      <c r="B24" s="31">
        <v>28013</v>
      </c>
      <c r="C24" s="27">
        <v>44858</v>
      </c>
      <c r="D24" s="23">
        <v>44869</v>
      </c>
    </row>
    <row r="25" spans="1:13" s="14" customFormat="1" ht="15" customHeight="1" x14ac:dyDescent="0.25">
      <c r="B25" s="31"/>
      <c r="C25" s="27"/>
      <c r="D25" s="23"/>
    </row>
    <row r="26" spans="1:13" s="14" customFormat="1" ht="15" customHeight="1" x14ac:dyDescent="0.25">
      <c r="B26" s="31">
        <f>SUM(B17:B25)</f>
        <v>207299</v>
      </c>
      <c r="C26" s="16"/>
      <c r="D26" s="21"/>
      <c r="E26" s="21"/>
      <c r="F26" s="21"/>
    </row>
    <row r="27" spans="1:13" s="16" customFormat="1" ht="15" customHeight="1" x14ac:dyDescent="0.25">
      <c r="A27" s="18" t="s">
        <v>1</v>
      </c>
      <c r="B27" s="19">
        <f>B26+B15</f>
        <v>96883</v>
      </c>
      <c r="D27" s="23"/>
      <c r="E27" s="21"/>
      <c r="F27" s="21"/>
      <c r="G27" s="21"/>
    </row>
    <row r="28" spans="1:13" s="16" customFormat="1" ht="15" customHeight="1" x14ac:dyDescent="0.25">
      <c r="A28" s="14" t="s">
        <v>0</v>
      </c>
      <c r="B28" s="15">
        <f>B27-B7</f>
        <v>0</v>
      </c>
      <c r="D28" s="23"/>
      <c r="E28" s="14"/>
      <c r="F28" s="14"/>
      <c r="G28" s="14"/>
      <c r="H28" s="14"/>
      <c r="I28" s="14"/>
    </row>
    <row r="29" spans="1:13" s="16" customFormat="1" ht="15" customHeight="1" x14ac:dyDescent="0.3">
      <c r="A29" s="1"/>
      <c r="B29" s="3"/>
      <c r="C29" s="2"/>
      <c r="D29" s="23"/>
      <c r="E29" s="14"/>
      <c r="F29" s="14"/>
      <c r="G29" s="14"/>
      <c r="I29" s="14"/>
      <c r="M29" s="14" t="s">
        <v>1164</v>
      </c>
    </row>
    <row r="30" spans="1:13" s="16" customFormat="1" ht="15" customHeight="1" x14ac:dyDescent="0.3">
      <c r="A30" s="1"/>
      <c r="B30" s="3"/>
      <c r="C30" s="2"/>
      <c r="D30" s="29"/>
      <c r="E30" s="14"/>
      <c r="F30" s="14"/>
      <c r="G30" s="14"/>
      <c r="I30" s="14"/>
      <c r="M30" s="14" t="s">
        <v>1165</v>
      </c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</sheetData>
  <pageMargins left="0.7" right="0.7" top="0.75" bottom="0.75" header="0.3" footer="0.3"/>
  <pageSetup scale="80" fitToHeight="0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767C-A3DD-4768-B1BB-D35B3B112A9B}">
  <sheetPr>
    <pageSetUpPr fitToPage="1"/>
  </sheetPr>
  <dimension ref="A1:M38"/>
  <sheetViews>
    <sheetView workbookViewId="0">
      <selection activeCell="H22" sqref="H22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44895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3118069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-2644212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-2644212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473857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B9" s="31"/>
      <c r="C9" s="27"/>
      <c r="D9" s="23"/>
    </row>
    <row r="10" spans="1:4" s="14" customFormat="1" ht="15" customHeight="1" x14ac:dyDescent="0.25">
      <c r="B10" s="31"/>
      <c r="C10" s="27"/>
      <c r="D10" s="17"/>
    </row>
    <row r="11" spans="1:4" s="14" customFormat="1" ht="15" customHeight="1" x14ac:dyDescent="0.25">
      <c r="B11" s="31">
        <f>SUM(B9:B10)</f>
        <v>0</v>
      </c>
      <c r="C11" s="16"/>
      <c r="D11" s="23"/>
    </row>
    <row r="12" spans="1:4" s="14" customFormat="1" ht="15" customHeight="1" x14ac:dyDescent="0.25">
      <c r="A12" s="14" t="s">
        <v>2</v>
      </c>
      <c r="B12" s="31"/>
      <c r="C12" s="26" t="s">
        <v>730</v>
      </c>
      <c r="D12" s="28" t="s">
        <v>829</v>
      </c>
    </row>
    <row r="13" spans="1:4" s="14" customFormat="1" ht="15" customHeight="1" x14ac:dyDescent="0.25">
      <c r="A13" s="14" t="s">
        <v>1298</v>
      </c>
      <c r="B13" s="31">
        <v>28954</v>
      </c>
      <c r="C13" s="27">
        <v>44895</v>
      </c>
      <c r="D13" s="23">
        <v>44900</v>
      </c>
    </row>
    <row r="14" spans="1:4" s="14" customFormat="1" ht="15" customHeight="1" x14ac:dyDescent="0.25">
      <c r="A14" s="14" t="s">
        <v>1299</v>
      </c>
      <c r="B14" s="31">
        <v>29592</v>
      </c>
      <c r="C14" s="27">
        <v>44895</v>
      </c>
      <c r="D14" s="23">
        <v>44900</v>
      </c>
    </row>
    <row r="15" spans="1:4" s="14" customFormat="1" ht="15" customHeight="1" x14ac:dyDescent="0.25">
      <c r="A15" s="14" t="s">
        <v>1300</v>
      </c>
      <c r="B15" s="31">
        <v>30724</v>
      </c>
      <c r="C15" s="27">
        <v>44875</v>
      </c>
      <c r="D15" s="23" t="s">
        <v>1312</v>
      </c>
    </row>
    <row r="16" spans="1:4" s="14" customFormat="1" ht="15" customHeight="1" x14ac:dyDescent="0.25">
      <c r="A16" s="14" t="s">
        <v>1301</v>
      </c>
      <c r="B16" s="31">
        <v>31056</v>
      </c>
      <c r="C16" s="27">
        <v>44893</v>
      </c>
      <c r="D16" s="23">
        <v>44900</v>
      </c>
    </row>
    <row r="17" spans="1:13" s="14" customFormat="1" ht="15" customHeight="1" x14ac:dyDescent="0.25">
      <c r="A17" s="14" t="s">
        <v>1302</v>
      </c>
      <c r="B17" s="31">
        <v>32582</v>
      </c>
      <c r="C17" s="27">
        <v>44895</v>
      </c>
      <c r="D17" s="23">
        <v>44900</v>
      </c>
    </row>
    <row r="18" spans="1:13" s="14" customFormat="1" ht="15" customHeight="1" x14ac:dyDescent="0.25">
      <c r="A18" s="14" t="s">
        <v>1303</v>
      </c>
      <c r="B18" s="31">
        <v>33368</v>
      </c>
      <c r="C18" s="27">
        <v>44895</v>
      </c>
      <c r="D18" s="23">
        <v>44903</v>
      </c>
    </row>
    <row r="19" spans="1:13" s="14" customFormat="1" ht="15" customHeight="1" x14ac:dyDescent="0.25">
      <c r="A19" s="14" t="s">
        <v>1304</v>
      </c>
      <c r="B19" s="31">
        <v>33608</v>
      </c>
      <c r="C19" s="27">
        <v>44895</v>
      </c>
      <c r="D19" s="23">
        <v>44900</v>
      </c>
    </row>
    <row r="20" spans="1:13" s="14" customFormat="1" ht="15" customHeight="1" x14ac:dyDescent="0.25">
      <c r="A20" s="14" t="s">
        <v>1305</v>
      </c>
      <c r="B20" s="31">
        <v>35562</v>
      </c>
      <c r="C20" s="27">
        <v>44893</v>
      </c>
      <c r="D20" s="23">
        <v>44900</v>
      </c>
    </row>
    <row r="21" spans="1:13" s="14" customFormat="1" ht="15" customHeight="1" x14ac:dyDescent="0.25">
      <c r="A21" s="14" t="s">
        <v>1306</v>
      </c>
      <c r="B21" s="31">
        <v>35913</v>
      </c>
      <c r="C21" s="27">
        <v>44895</v>
      </c>
      <c r="D21" s="23">
        <v>44900</v>
      </c>
    </row>
    <row r="22" spans="1:13" s="14" customFormat="1" ht="15" customHeight="1" x14ac:dyDescent="0.25">
      <c r="A22" s="14" t="s">
        <v>1307</v>
      </c>
      <c r="B22" s="31">
        <v>36235</v>
      </c>
      <c r="C22" s="27">
        <v>44895</v>
      </c>
      <c r="D22" s="23">
        <v>44903</v>
      </c>
    </row>
    <row r="23" spans="1:13" s="14" customFormat="1" ht="15" customHeight="1" x14ac:dyDescent="0.25">
      <c r="A23" s="14" t="s">
        <v>1308</v>
      </c>
      <c r="B23" s="31">
        <v>36238</v>
      </c>
      <c r="C23" s="27">
        <v>44893</v>
      </c>
      <c r="D23" s="23">
        <v>44900</v>
      </c>
    </row>
    <row r="24" spans="1:13" s="14" customFormat="1" ht="15" customHeight="1" x14ac:dyDescent="0.25">
      <c r="A24" s="14" t="s">
        <v>1309</v>
      </c>
      <c r="B24" s="31">
        <v>36411</v>
      </c>
      <c r="C24" s="27">
        <v>44895</v>
      </c>
      <c r="D24" s="23">
        <v>44900</v>
      </c>
    </row>
    <row r="25" spans="1:13" s="14" customFormat="1" ht="15" customHeight="1" x14ac:dyDescent="0.25">
      <c r="A25" s="14" t="s">
        <v>1310</v>
      </c>
      <c r="B25" s="31">
        <v>36643</v>
      </c>
      <c r="C25" s="27">
        <v>44895</v>
      </c>
      <c r="D25" s="23">
        <v>44903</v>
      </c>
    </row>
    <row r="26" spans="1:13" s="14" customFormat="1" ht="15" customHeight="1" x14ac:dyDescent="0.25">
      <c r="A26" s="14" t="s">
        <v>1311</v>
      </c>
      <c r="B26" s="31">
        <v>36971</v>
      </c>
      <c r="C26" s="27">
        <v>44895</v>
      </c>
      <c r="D26" s="23">
        <v>44903</v>
      </c>
    </row>
    <row r="27" spans="1:13" s="14" customFormat="1" ht="15" customHeight="1" x14ac:dyDescent="0.25">
      <c r="B27" s="31"/>
      <c r="C27" s="27"/>
      <c r="D27" s="23"/>
    </row>
    <row r="28" spans="1:13" s="14" customFormat="1" ht="15" customHeight="1" x14ac:dyDescent="0.25">
      <c r="B28" s="31">
        <f>SUM(B13:B27)</f>
        <v>473857</v>
      </c>
      <c r="C28" s="16"/>
      <c r="D28" s="21"/>
      <c r="E28" s="21"/>
      <c r="F28" s="21"/>
    </row>
    <row r="29" spans="1:13" s="16" customFormat="1" ht="15" customHeight="1" x14ac:dyDescent="0.25">
      <c r="A29" s="18" t="s">
        <v>1</v>
      </c>
      <c r="B29" s="19">
        <f>B28+B11</f>
        <v>473857</v>
      </c>
      <c r="D29" s="23"/>
      <c r="E29" s="21"/>
      <c r="F29" s="21"/>
      <c r="G29" s="21"/>
    </row>
    <row r="30" spans="1:13" s="16" customFormat="1" ht="15" customHeight="1" x14ac:dyDescent="0.25">
      <c r="A30" s="14" t="s">
        <v>0</v>
      </c>
      <c r="B30" s="15">
        <f>B29-B7</f>
        <v>0</v>
      </c>
      <c r="D30" s="23"/>
      <c r="E30" s="14"/>
      <c r="F30" s="14"/>
      <c r="G30" s="14"/>
      <c r="H30" s="14"/>
      <c r="I30" s="14"/>
    </row>
    <row r="31" spans="1:13" s="16" customFormat="1" ht="15" customHeight="1" x14ac:dyDescent="0.3">
      <c r="A31" s="1"/>
      <c r="B31" s="3"/>
      <c r="C31" s="2"/>
      <c r="D31" s="23"/>
      <c r="E31" s="14"/>
      <c r="F31" s="14"/>
      <c r="G31" s="14"/>
      <c r="I31" s="14"/>
      <c r="M31" s="14" t="s">
        <v>1164</v>
      </c>
    </row>
    <row r="32" spans="1:13" s="16" customFormat="1" ht="15" customHeight="1" x14ac:dyDescent="0.3">
      <c r="A32" s="1"/>
      <c r="B32" s="3"/>
      <c r="C32" s="2"/>
      <c r="D32" s="29"/>
      <c r="E32" s="14"/>
      <c r="F32" s="14"/>
      <c r="G32" s="14"/>
      <c r="I32" s="14"/>
      <c r="M32" s="14" t="s">
        <v>1165</v>
      </c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9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</sheetData>
  <pageMargins left="0.7" right="0.7" top="0.75" bottom="0.75" header="0.3" footer="0.3"/>
  <pageSetup scale="80" fitToHeight="0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2A09-E92F-47F6-97C1-30B4BDDD3A99}">
  <sheetPr>
    <pageSetUpPr fitToPage="1"/>
  </sheetPr>
  <dimension ref="A1:M32"/>
  <sheetViews>
    <sheetView workbookViewId="0">
      <selection activeCell="D23" sqref="D23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44957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5045749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-4791716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-4791716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254033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B9" s="31"/>
      <c r="C9" s="27"/>
      <c r="D9" s="17"/>
    </row>
    <row r="10" spans="1:4" s="14" customFormat="1" ht="15" customHeight="1" x14ac:dyDescent="0.25">
      <c r="B10" s="31">
        <f>SUM(B9:B9)</f>
        <v>0</v>
      </c>
      <c r="C10" s="16"/>
      <c r="D10" s="23"/>
    </row>
    <row r="11" spans="1:4" s="14" customFormat="1" ht="15" customHeight="1" x14ac:dyDescent="0.25">
      <c r="A11" s="14" t="s">
        <v>2</v>
      </c>
      <c r="B11" s="31"/>
      <c r="C11" s="26" t="s">
        <v>730</v>
      </c>
      <c r="D11" s="28" t="s">
        <v>829</v>
      </c>
    </row>
    <row r="12" spans="1:4" s="14" customFormat="1" ht="15" customHeight="1" x14ac:dyDescent="0.25">
      <c r="A12" s="14" t="s">
        <v>1314</v>
      </c>
      <c r="B12" s="31">
        <v>24390</v>
      </c>
      <c r="C12" s="27">
        <v>44950</v>
      </c>
      <c r="D12" s="23">
        <v>44964</v>
      </c>
    </row>
    <row r="13" spans="1:4" s="14" customFormat="1" ht="15" customHeight="1" x14ac:dyDescent="0.25">
      <c r="A13" s="14" t="s">
        <v>1315</v>
      </c>
      <c r="B13" s="31">
        <v>24622</v>
      </c>
      <c r="C13" s="27">
        <v>44950</v>
      </c>
      <c r="D13" s="23">
        <v>44964</v>
      </c>
    </row>
    <row r="14" spans="1:4" s="14" customFormat="1" ht="15" customHeight="1" x14ac:dyDescent="0.25">
      <c r="A14" s="14" t="s">
        <v>1321</v>
      </c>
      <c r="B14" s="31">
        <v>25946</v>
      </c>
      <c r="C14" s="27">
        <v>44957</v>
      </c>
      <c r="D14" s="23">
        <v>44977</v>
      </c>
    </row>
    <row r="15" spans="1:4" s="14" customFormat="1" ht="15" customHeight="1" x14ac:dyDescent="0.25">
      <c r="A15" s="14" t="s">
        <v>1316</v>
      </c>
      <c r="B15" s="31">
        <v>26496</v>
      </c>
      <c r="C15" s="27">
        <v>44951</v>
      </c>
      <c r="D15" s="23">
        <v>44960</v>
      </c>
    </row>
    <row r="16" spans="1:4" s="14" customFormat="1" ht="15" customHeight="1" x14ac:dyDescent="0.25">
      <c r="A16" s="14" t="s">
        <v>1317</v>
      </c>
      <c r="B16" s="31">
        <v>26733</v>
      </c>
      <c r="C16" s="27">
        <v>44951</v>
      </c>
      <c r="D16" s="23">
        <v>44960</v>
      </c>
    </row>
    <row r="17" spans="1:13" s="14" customFormat="1" ht="15" customHeight="1" x14ac:dyDescent="0.25">
      <c r="A17" s="14" t="s">
        <v>1318</v>
      </c>
      <c r="B17" s="31">
        <v>28672</v>
      </c>
      <c r="C17" s="27">
        <v>44950</v>
      </c>
      <c r="D17" s="23">
        <v>44964</v>
      </c>
    </row>
    <row r="18" spans="1:13" s="14" customFormat="1" ht="15" customHeight="1" x14ac:dyDescent="0.25">
      <c r="A18" s="14" t="s">
        <v>1319</v>
      </c>
      <c r="B18" s="31">
        <v>29752</v>
      </c>
      <c r="C18" s="27">
        <v>44951</v>
      </c>
      <c r="D18" s="23">
        <v>44960</v>
      </c>
    </row>
    <row r="19" spans="1:13" s="14" customFormat="1" ht="15" customHeight="1" x14ac:dyDescent="0.25">
      <c r="A19" s="14" t="s">
        <v>1320</v>
      </c>
      <c r="B19" s="31">
        <v>33380</v>
      </c>
      <c r="C19" s="27">
        <v>44953</v>
      </c>
      <c r="D19" s="23">
        <v>44971</v>
      </c>
    </row>
    <row r="20" spans="1:13" s="14" customFormat="1" ht="15" customHeight="1" x14ac:dyDescent="0.25">
      <c r="A20" s="14" t="s">
        <v>1313</v>
      </c>
      <c r="B20" s="31">
        <v>34042</v>
      </c>
      <c r="C20" s="27">
        <v>44956</v>
      </c>
      <c r="D20" s="23" t="s">
        <v>1322</v>
      </c>
    </row>
    <row r="21" spans="1:13" s="14" customFormat="1" ht="15" customHeight="1" x14ac:dyDescent="0.25">
      <c r="B21" s="31"/>
      <c r="C21" s="27"/>
      <c r="D21" s="23"/>
    </row>
    <row r="22" spans="1:13" s="14" customFormat="1" ht="15" customHeight="1" x14ac:dyDescent="0.25">
      <c r="B22" s="31">
        <f>SUM(B12:B21)</f>
        <v>254033</v>
      </c>
      <c r="C22" s="16"/>
      <c r="D22" s="21"/>
      <c r="E22" s="21"/>
      <c r="F22" s="21"/>
    </row>
    <row r="23" spans="1:13" s="16" customFormat="1" ht="15" customHeight="1" x14ac:dyDescent="0.25">
      <c r="A23" s="18" t="s">
        <v>1</v>
      </c>
      <c r="B23" s="19">
        <f>B22+B10</f>
        <v>254033</v>
      </c>
      <c r="D23" s="23"/>
      <c r="E23" s="21"/>
      <c r="F23" s="21"/>
      <c r="G23" s="21"/>
    </row>
    <row r="24" spans="1:13" s="16" customFormat="1" ht="15" customHeight="1" x14ac:dyDescent="0.25">
      <c r="A24" s="14" t="s">
        <v>0</v>
      </c>
      <c r="B24" s="15">
        <f>B23-B7</f>
        <v>0</v>
      </c>
      <c r="D24" s="23"/>
      <c r="E24" s="14"/>
      <c r="F24" s="14"/>
      <c r="G24" s="14"/>
      <c r="H24" s="14"/>
      <c r="I24" s="14"/>
    </row>
    <row r="25" spans="1:13" s="16" customFormat="1" ht="15" customHeight="1" x14ac:dyDescent="0.3">
      <c r="A25" s="1"/>
      <c r="B25" s="3"/>
      <c r="C25" s="2"/>
      <c r="D25" s="23"/>
      <c r="E25" s="14"/>
      <c r="F25" s="14"/>
      <c r="G25" s="14"/>
      <c r="I25" s="14"/>
      <c r="M25" s="14" t="s">
        <v>1164</v>
      </c>
    </row>
    <row r="26" spans="1:13" s="16" customFormat="1" ht="15" customHeight="1" x14ac:dyDescent="0.3">
      <c r="A26" s="1"/>
      <c r="B26" s="3"/>
      <c r="C26" s="2"/>
      <c r="D26" s="29"/>
      <c r="E26" s="14"/>
      <c r="F26" s="14"/>
      <c r="G26" s="14"/>
      <c r="I26" s="14"/>
      <c r="M26" s="14" t="s">
        <v>1165</v>
      </c>
    </row>
    <row r="27" spans="1:13" s="2" customFormat="1" ht="20.100000000000001" customHeight="1" x14ac:dyDescent="0.3">
      <c r="A27"/>
      <c r="B27" s="10"/>
      <c r="D27" s="29"/>
      <c r="E27" s="1"/>
      <c r="F27" s="1"/>
      <c r="G27" s="1"/>
      <c r="H27" s="1"/>
      <c r="I27" s="1"/>
    </row>
    <row r="28" spans="1:13" s="2" customFormat="1" ht="20.100000000000001" customHeight="1" x14ac:dyDescent="0.3">
      <c r="A28"/>
      <c r="B28" s="10"/>
      <c r="D28" s="29"/>
      <c r="E28" s="1"/>
      <c r="F28" s="1"/>
      <c r="G28" s="1"/>
      <c r="H28" s="1"/>
      <c r="I28" s="1"/>
    </row>
    <row r="29" spans="1:13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</sheetData>
  <pageMargins left="0.7" right="0.7" top="0.75" bottom="0.75" header="0.3" footer="0.3"/>
  <pageSetup scale="80" fitToHeight="0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523B-9959-41A2-BF9A-2FB6410F387D}">
  <sheetPr>
    <pageSetUpPr fitToPage="1"/>
  </sheetPr>
  <dimension ref="A1:M37"/>
  <sheetViews>
    <sheetView workbookViewId="0">
      <selection activeCell="D20" sqref="D20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44985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3215899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-3158956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-3158956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56943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1323</v>
      </c>
      <c r="B9" s="31">
        <v>-29122</v>
      </c>
      <c r="C9" s="27">
        <v>44984</v>
      </c>
      <c r="D9" s="23">
        <v>44986</v>
      </c>
    </row>
    <row r="10" spans="1:4" s="14" customFormat="1" ht="15" customHeight="1" x14ac:dyDescent="0.25">
      <c r="A10" s="14" t="s">
        <v>1324</v>
      </c>
      <c r="B10" s="31">
        <v>-35601</v>
      </c>
      <c r="C10" s="27">
        <v>44984</v>
      </c>
      <c r="D10" s="23">
        <v>44986</v>
      </c>
    </row>
    <row r="11" spans="1:4" s="14" customFormat="1" ht="15" customHeight="1" x14ac:dyDescent="0.25">
      <c r="B11" s="31"/>
      <c r="C11" s="27"/>
      <c r="D11" s="23"/>
    </row>
    <row r="12" spans="1:4" s="14" customFormat="1" ht="15" customHeight="1" x14ac:dyDescent="0.25">
      <c r="B12" s="31"/>
      <c r="C12" s="27"/>
      <c r="D12" s="23"/>
    </row>
    <row r="13" spans="1:4" s="14" customFormat="1" ht="15" customHeight="1" x14ac:dyDescent="0.25">
      <c r="B13" s="31"/>
      <c r="C13" s="27"/>
      <c r="D13" s="23"/>
    </row>
    <row r="14" spans="1:4" s="14" customFormat="1" ht="15" customHeight="1" x14ac:dyDescent="0.25">
      <c r="B14" s="31"/>
      <c r="C14" s="27"/>
      <c r="D14" s="17"/>
    </row>
    <row r="15" spans="1:4" s="14" customFormat="1" ht="15" customHeight="1" x14ac:dyDescent="0.25">
      <c r="B15" s="31">
        <f>SUM(B9:B14)</f>
        <v>-64723</v>
      </c>
      <c r="C15" s="16"/>
      <c r="D15" s="23"/>
    </row>
    <row r="16" spans="1:4" s="14" customFormat="1" ht="15" customHeight="1" x14ac:dyDescent="0.25">
      <c r="A16" s="14" t="s">
        <v>2</v>
      </c>
      <c r="B16" s="31"/>
      <c r="C16" s="26" t="s">
        <v>730</v>
      </c>
      <c r="D16" s="28" t="s">
        <v>829</v>
      </c>
    </row>
    <row r="17" spans="1:13" s="14" customFormat="1" ht="15" customHeight="1" x14ac:dyDescent="0.25">
      <c r="A17" s="14" t="s">
        <v>1325</v>
      </c>
      <c r="B17" s="31">
        <v>23569</v>
      </c>
      <c r="C17" s="27">
        <v>44985</v>
      </c>
      <c r="D17" s="23">
        <v>44989</v>
      </c>
    </row>
    <row r="18" spans="1:13" s="14" customFormat="1" ht="15" customHeight="1" x14ac:dyDescent="0.25">
      <c r="A18" s="14" t="s">
        <v>1326</v>
      </c>
      <c r="B18" s="31">
        <v>29239</v>
      </c>
      <c r="C18" s="27">
        <v>44985</v>
      </c>
      <c r="D18" s="23">
        <v>44989</v>
      </c>
    </row>
    <row r="19" spans="1:13" s="14" customFormat="1" ht="15" customHeight="1" x14ac:dyDescent="0.25">
      <c r="A19" s="14" t="s">
        <v>1327</v>
      </c>
      <c r="B19" s="31">
        <v>34042</v>
      </c>
      <c r="C19" s="27">
        <v>44956</v>
      </c>
      <c r="D19" s="23" t="s">
        <v>1329</v>
      </c>
    </row>
    <row r="20" spans="1:13" s="14" customFormat="1" ht="15" customHeight="1" x14ac:dyDescent="0.25">
      <c r="A20" s="14" t="s">
        <v>1328</v>
      </c>
      <c r="B20" s="31">
        <v>34816</v>
      </c>
      <c r="C20" s="27">
        <v>44985</v>
      </c>
      <c r="D20" s="23">
        <v>44995</v>
      </c>
    </row>
    <row r="21" spans="1:13" s="14" customFormat="1" ht="15" customHeight="1" x14ac:dyDescent="0.25">
      <c r="B21" s="31"/>
      <c r="C21" s="27"/>
      <c r="D21" s="23"/>
    </row>
    <row r="22" spans="1:13" s="14" customFormat="1" ht="15" customHeight="1" x14ac:dyDescent="0.25">
      <c r="B22" s="31"/>
      <c r="C22" s="27"/>
      <c r="D22" s="23"/>
    </row>
    <row r="23" spans="1:13" s="14" customFormat="1" ht="15" customHeight="1" x14ac:dyDescent="0.25">
      <c r="B23" s="31"/>
      <c r="C23" s="27"/>
      <c r="D23" s="23"/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/>
      <c r="C25" s="27"/>
      <c r="D25" s="23"/>
    </row>
    <row r="26" spans="1:13" s="14" customFormat="1" ht="15" customHeight="1" x14ac:dyDescent="0.25">
      <c r="B26" s="31"/>
      <c r="C26" s="27"/>
      <c r="D26" s="23"/>
    </row>
    <row r="27" spans="1:13" s="14" customFormat="1" ht="15" customHeight="1" x14ac:dyDescent="0.25">
      <c r="B27" s="31">
        <f>SUM(B17:B26)</f>
        <v>121666</v>
      </c>
      <c r="C27" s="16"/>
      <c r="D27" s="21"/>
      <c r="E27" s="21"/>
      <c r="F27" s="21"/>
    </row>
    <row r="28" spans="1:13" s="16" customFormat="1" ht="15" customHeight="1" x14ac:dyDescent="0.25">
      <c r="A28" s="18" t="s">
        <v>1</v>
      </c>
      <c r="B28" s="19">
        <f>B27+B15</f>
        <v>56943</v>
      </c>
      <c r="D28" s="23"/>
      <c r="E28" s="21"/>
      <c r="F28" s="21"/>
      <c r="G28" s="21"/>
    </row>
    <row r="29" spans="1:13" s="16" customFormat="1" ht="15" customHeight="1" x14ac:dyDescent="0.25">
      <c r="A29" s="14" t="s">
        <v>0</v>
      </c>
      <c r="B29" s="15">
        <f>B28-B7</f>
        <v>0</v>
      </c>
      <c r="D29" s="23"/>
      <c r="E29" s="14"/>
      <c r="F29" s="14"/>
      <c r="G29" s="14"/>
      <c r="H29" s="14"/>
      <c r="I29" s="14"/>
    </row>
    <row r="30" spans="1:13" s="16" customFormat="1" ht="15" customHeight="1" x14ac:dyDescent="0.3">
      <c r="A30" s="1"/>
      <c r="B30" s="3"/>
      <c r="C30" s="2"/>
      <c r="D30" s="23"/>
      <c r="E30" s="14"/>
      <c r="F30" s="14"/>
      <c r="G30" s="14"/>
      <c r="I30" s="14"/>
      <c r="M30" s="14" t="s">
        <v>1164</v>
      </c>
    </row>
    <row r="31" spans="1:13" s="16" customFormat="1" ht="15" customHeight="1" x14ac:dyDescent="0.3">
      <c r="A31" s="1"/>
      <c r="B31" s="3"/>
      <c r="C31" s="2"/>
      <c r="D31" s="29"/>
      <c r="E31" s="14"/>
      <c r="F31" s="14"/>
      <c r="G31" s="14"/>
      <c r="I31" s="14"/>
      <c r="M31" s="14" t="s">
        <v>1165</v>
      </c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</sheetData>
  <pageMargins left="0.7" right="0.7" top="0.75" bottom="0.75" header="0.3" footer="0.3"/>
  <pageSetup scale="80" fitToHeight="0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DD9A-30E5-4831-8102-994029EC37A0}">
  <sheetPr>
    <pageSetUpPr fitToPage="1"/>
  </sheetPr>
  <dimension ref="A1:M47"/>
  <sheetViews>
    <sheetView workbookViewId="0">
      <selection activeCell="J24" sqref="J24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45046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4164381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-4198255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-4198255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-33874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1330</v>
      </c>
      <c r="B9" s="31">
        <v>-29596</v>
      </c>
      <c r="C9" s="27">
        <v>45043</v>
      </c>
      <c r="D9" s="23">
        <v>45047</v>
      </c>
    </row>
    <row r="10" spans="1:4" s="14" customFormat="1" ht="15" customHeight="1" x14ac:dyDescent="0.25">
      <c r="A10" s="14" t="s">
        <v>1331</v>
      </c>
      <c r="B10" s="31">
        <v>-30168</v>
      </c>
      <c r="C10" s="27">
        <v>45035</v>
      </c>
      <c r="D10" s="23">
        <v>45047</v>
      </c>
    </row>
    <row r="11" spans="1:4" s="14" customFormat="1" ht="15" customHeight="1" x14ac:dyDescent="0.25">
      <c r="A11" s="14" t="s">
        <v>1332</v>
      </c>
      <c r="B11" s="31">
        <v>-34162</v>
      </c>
      <c r="C11" s="27">
        <v>45035</v>
      </c>
      <c r="D11" s="23">
        <v>45047</v>
      </c>
    </row>
    <row r="12" spans="1:4" s="14" customFormat="1" ht="15" customHeight="1" x14ac:dyDescent="0.25">
      <c r="A12" s="14" t="s">
        <v>1337</v>
      </c>
      <c r="B12" s="31">
        <v>-38087</v>
      </c>
      <c r="C12" s="27">
        <v>45043</v>
      </c>
      <c r="D12" s="23">
        <v>45047</v>
      </c>
    </row>
    <row r="13" spans="1:4" s="14" customFormat="1" ht="15" customHeight="1" x14ac:dyDescent="0.25">
      <c r="A13" s="14" t="s">
        <v>1333</v>
      </c>
      <c r="B13" s="31">
        <v>-38117</v>
      </c>
      <c r="C13" s="27">
        <v>45035</v>
      </c>
      <c r="D13" s="23">
        <v>45047</v>
      </c>
    </row>
    <row r="14" spans="1:4" s="14" customFormat="1" ht="15" customHeight="1" x14ac:dyDescent="0.25">
      <c r="A14" s="14" t="s">
        <v>1345</v>
      </c>
      <c r="B14" s="31">
        <v>-38119</v>
      </c>
      <c r="C14" s="27">
        <v>45045</v>
      </c>
      <c r="D14" s="23">
        <v>45048</v>
      </c>
    </row>
    <row r="15" spans="1:4" s="14" customFormat="1" ht="15" customHeight="1" x14ac:dyDescent="0.25">
      <c r="A15" s="14" t="s">
        <v>1334</v>
      </c>
      <c r="B15" s="31">
        <v>-38377</v>
      </c>
      <c r="C15" s="27">
        <v>45045</v>
      </c>
      <c r="D15" s="23">
        <v>45049</v>
      </c>
    </row>
    <row r="16" spans="1:4" s="14" customFormat="1" ht="15" customHeight="1" x14ac:dyDescent="0.25">
      <c r="A16" s="14" t="s">
        <v>1335</v>
      </c>
      <c r="B16" s="31">
        <v>-41295</v>
      </c>
      <c r="C16" s="27">
        <v>45045</v>
      </c>
      <c r="D16" s="23">
        <v>45049</v>
      </c>
    </row>
    <row r="17" spans="1:4" s="14" customFormat="1" ht="15" customHeight="1" x14ac:dyDescent="0.25">
      <c r="A17" s="14" t="s">
        <v>1336</v>
      </c>
      <c r="B17" s="31">
        <v>-41866</v>
      </c>
      <c r="C17" s="27">
        <v>45045</v>
      </c>
      <c r="D17" s="23">
        <v>45048</v>
      </c>
    </row>
    <row r="18" spans="1:4" s="14" customFormat="1" ht="15" customHeight="1" x14ac:dyDescent="0.25">
      <c r="B18" s="31"/>
      <c r="C18" s="27"/>
      <c r="D18" s="17"/>
    </row>
    <row r="19" spans="1:4" s="14" customFormat="1" ht="15" customHeight="1" x14ac:dyDescent="0.25">
      <c r="B19" s="31">
        <f>SUM(B9:B18)</f>
        <v>-329787</v>
      </c>
      <c r="C19" s="16"/>
      <c r="D19" s="23"/>
    </row>
    <row r="20" spans="1:4" s="14" customFormat="1" ht="15" customHeight="1" x14ac:dyDescent="0.25">
      <c r="A20" s="14" t="s">
        <v>2</v>
      </c>
      <c r="B20" s="31"/>
      <c r="C20" s="26" t="s">
        <v>730</v>
      </c>
      <c r="D20" s="28" t="s">
        <v>829</v>
      </c>
    </row>
    <row r="21" spans="1:4" s="14" customFormat="1" ht="15" customHeight="1" x14ac:dyDescent="0.25">
      <c r="A21" s="14" t="s">
        <v>1338</v>
      </c>
      <c r="B21" s="31">
        <v>31272</v>
      </c>
      <c r="C21" s="27">
        <v>45043</v>
      </c>
      <c r="D21" s="23">
        <v>45047</v>
      </c>
    </row>
    <row r="22" spans="1:4" s="14" customFormat="1" ht="15" customHeight="1" x14ac:dyDescent="0.25">
      <c r="A22" s="14" t="s">
        <v>1339</v>
      </c>
      <c r="B22" s="31">
        <v>31997</v>
      </c>
      <c r="C22" s="27">
        <v>45044</v>
      </c>
      <c r="D22" s="23">
        <v>45047</v>
      </c>
    </row>
    <row r="23" spans="1:4" s="14" customFormat="1" ht="15" customHeight="1" x14ac:dyDescent="0.25">
      <c r="A23" s="14" t="s">
        <v>1327</v>
      </c>
      <c r="B23" s="31">
        <v>34042</v>
      </c>
      <c r="C23" s="27">
        <v>44956</v>
      </c>
      <c r="D23" s="23" t="s">
        <v>1346</v>
      </c>
    </row>
    <row r="24" spans="1:4" s="14" customFormat="1" ht="15" customHeight="1" x14ac:dyDescent="0.25">
      <c r="A24" s="14" t="s">
        <v>1340</v>
      </c>
      <c r="B24" s="31">
        <v>35781</v>
      </c>
      <c r="C24" s="27">
        <v>45044</v>
      </c>
      <c r="D24" s="23">
        <v>45051</v>
      </c>
    </row>
    <row r="25" spans="1:4" s="14" customFormat="1" ht="15" customHeight="1" x14ac:dyDescent="0.25">
      <c r="A25" s="14" t="s">
        <v>1341</v>
      </c>
      <c r="B25" s="31">
        <v>36535</v>
      </c>
      <c r="C25" s="27">
        <v>45043</v>
      </c>
      <c r="D25" s="23">
        <v>45047</v>
      </c>
    </row>
    <row r="26" spans="1:4" s="14" customFormat="1" ht="15" customHeight="1" x14ac:dyDescent="0.25">
      <c r="A26" s="14" t="s">
        <v>1342</v>
      </c>
      <c r="B26" s="31">
        <v>38094</v>
      </c>
      <c r="C26" s="27">
        <v>45044</v>
      </c>
      <c r="D26" s="23">
        <v>45050</v>
      </c>
    </row>
    <row r="27" spans="1:4" s="14" customFormat="1" ht="15" customHeight="1" x14ac:dyDescent="0.25">
      <c r="A27" s="14" t="s">
        <v>1343</v>
      </c>
      <c r="B27" s="31">
        <v>42026</v>
      </c>
      <c r="C27" s="27">
        <v>45041</v>
      </c>
      <c r="D27" s="23">
        <v>45049</v>
      </c>
    </row>
    <row r="28" spans="1:4" s="14" customFormat="1" ht="15" customHeight="1" x14ac:dyDescent="0.25">
      <c r="A28" s="14" t="s">
        <v>1344</v>
      </c>
      <c r="B28" s="31">
        <v>46166</v>
      </c>
      <c r="C28" s="27">
        <v>45044</v>
      </c>
      <c r="D28" s="23">
        <v>45047</v>
      </c>
    </row>
    <row r="29" spans="1:4" s="14" customFormat="1" ht="15" customHeight="1" x14ac:dyDescent="0.25">
      <c r="B29" s="31"/>
      <c r="C29" s="27"/>
      <c r="D29" s="23"/>
    </row>
    <row r="30" spans="1:4" s="14" customFormat="1" ht="15" customHeight="1" x14ac:dyDescent="0.25">
      <c r="B30" s="31"/>
      <c r="C30" s="27"/>
      <c r="D30" s="23"/>
    </row>
    <row r="31" spans="1:4" s="14" customFormat="1" ht="15" customHeight="1" x14ac:dyDescent="0.25">
      <c r="B31" s="31"/>
      <c r="C31" s="27"/>
      <c r="D31" s="23"/>
    </row>
    <row r="32" spans="1:4" s="14" customFormat="1" ht="15" customHeight="1" x14ac:dyDescent="0.25">
      <c r="B32" s="31"/>
      <c r="C32" s="27"/>
      <c r="D32" s="23"/>
    </row>
    <row r="33" spans="1:13" s="14" customFormat="1" ht="15" customHeight="1" x14ac:dyDescent="0.25">
      <c r="B33" s="31"/>
      <c r="C33" s="27"/>
      <c r="D33" s="23"/>
    </row>
    <row r="34" spans="1:13" s="14" customFormat="1" ht="15" customHeight="1" x14ac:dyDescent="0.25">
      <c r="B34" s="31"/>
      <c r="C34" s="27"/>
      <c r="D34" s="23"/>
    </row>
    <row r="35" spans="1:13" s="14" customFormat="1" ht="15" customHeight="1" x14ac:dyDescent="0.25">
      <c r="B35" s="31"/>
      <c r="C35" s="27"/>
      <c r="D35" s="23"/>
    </row>
    <row r="36" spans="1:13" s="14" customFormat="1" ht="15" customHeight="1" x14ac:dyDescent="0.25">
      <c r="B36" s="31"/>
      <c r="C36" s="27"/>
      <c r="D36" s="23"/>
    </row>
    <row r="37" spans="1:13" s="14" customFormat="1" ht="15" customHeight="1" x14ac:dyDescent="0.25">
      <c r="B37" s="31">
        <f>SUM(B21:B36)</f>
        <v>295913</v>
      </c>
      <c r="C37" s="16"/>
      <c r="D37" s="21"/>
      <c r="E37" s="21"/>
      <c r="F37" s="21"/>
    </row>
    <row r="38" spans="1:13" s="16" customFormat="1" ht="15" customHeight="1" x14ac:dyDescent="0.25">
      <c r="A38" s="18" t="s">
        <v>1</v>
      </c>
      <c r="B38" s="19">
        <f>B37+B19</f>
        <v>-33874</v>
      </c>
      <c r="D38" s="23"/>
      <c r="E38" s="21"/>
      <c r="F38" s="21"/>
      <c r="G38" s="21"/>
    </row>
    <row r="39" spans="1:13" s="16" customFormat="1" ht="15" customHeight="1" x14ac:dyDescent="0.25">
      <c r="A39" s="14" t="s">
        <v>0</v>
      </c>
      <c r="B39" s="15">
        <f>B38-B7</f>
        <v>0</v>
      </c>
      <c r="D39" s="23"/>
      <c r="E39" s="14"/>
      <c r="F39" s="14"/>
      <c r="G39" s="14"/>
      <c r="H39" s="14"/>
      <c r="I39" s="14"/>
    </row>
    <row r="40" spans="1:13" s="16" customFormat="1" ht="15" customHeight="1" x14ac:dyDescent="0.3">
      <c r="A40" s="1"/>
      <c r="B40" s="3"/>
      <c r="C40" s="2"/>
      <c r="D40" s="23"/>
      <c r="E40" s="14"/>
      <c r="F40" s="14"/>
      <c r="G40" s="14"/>
      <c r="I40" s="14"/>
      <c r="M40" s="14" t="s">
        <v>1164</v>
      </c>
    </row>
    <row r="41" spans="1:13" s="16" customFormat="1" ht="15" customHeight="1" x14ac:dyDescent="0.3">
      <c r="A41" s="1"/>
      <c r="B41" s="3"/>
      <c r="C41" s="2"/>
      <c r="D41" s="29"/>
      <c r="E41" s="14"/>
      <c r="F41" s="14"/>
      <c r="G41" s="14"/>
      <c r="I41" s="14"/>
      <c r="M41" s="14" t="s">
        <v>1165</v>
      </c>
    </row>
    <row r="42" spans="1:13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  <row r="43" spans="1:13" s="2" customFormat="1" ht="20.100000000000001" customHeight="1" x14ac:dyDescent="0.3">
      <c r="A43"/>
      <c r="B43" s="10"/>
      <c r="D43" s="29"/>
      <c r="E43" s="1"/>
      <c r="F43" s="1"/>
      <c r="G43" s="1"/>
      <c r="H43" s="1"/>
      <c r="I43" s="1"/>
    </row>
    <row r="44" spans="1:13" s="2" customFormat="1" ht="20.100000000000001" customHeight="1" x14ac:dyDescent="0.3">
      <c r="A44"/>
      <c r="B44" s="10"/>
      <c r="D44" s="29"/>
      <c r="E44" s="1"/>
      <c r="F44" s="1"/>
      <c r="G44" s="1"/>
      <c r="H44" s="1"/>
      <c r="I44" s="1"/>
    </row>
    <row r="45" spans="1:13" s="2" customFormat="1" ht="20.100000000000001" customHeight="1" x14ac:dyDescent="0.3">
      <c r="A45"/>
      <c r="B45" s="10"/>
      <c r="D45" s="29"/>
      <c r="E45" s="1"/>
      <c r="F45" s="1"/>
      <c r="G45" s="1"/>
      <c r="H45" s="1"/>
      <c r="I45" s="1"/>
    </row>
    <row r="46" spans="1:13" s="2" customFormat="1" ht="20.100000000000001" customHeight="1" x14ac:dyDescent="0.3">
      <c r="A46"/>
      <c r="B46" s="10"/>
      <c r="D46" s="29"/>
      <c r="E46" s="1"/>
      <c r="F46" s="1"/>
      <c r="G46" s="1"/>
      <c r="H46" s="1"/>
      <c r="I46" s="1"/>
    </row>
    <row r="47" spans="1:13" s="2" customFormat="1" ht="20.100000000000001" customHeight="1" x14ac:dyDescent="0.3">
      <c r="A47"/>
      <c r="B47" s="10"/>
      <c r="D47" s="29"/>
      <c r="E47" s="1"/>
      <c r="F47" s="1"/>
      <c r="G47" s="1"/>
      <c r="H47" s="1"/>
      <c r="I47" s="1"/>
    </row>
  </sheetData>
  <pageMargins left="0.7" right="0.7" top="0.75" bottom="0.75" header="0.3" footer="0.3"/>
  <pageSetup scale="80" fitToHeight="0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C4CA-989A-4D3E-8B61-53E0A1D9F8EC}">
  <sheetPr>
    <pageSetUpPr fitToPage="1"/>
  </sheetPr>
  <dimension ref="A1:M39"/>
  <sheetViews>
    <sheetView workbookViewId="0">
      <selection activeCell="O30" sqref="O30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45077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4009029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-4054561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-4054561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-45532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1347</v>
      </c>
      <c r="B9" s="31">
        <v>-25740</v>
      </c>
      <c r="C9" s="27">
        <v>45073</v>
      </c>
      <c r="D9" s="23">
        <v>45084</v>
      </c>
    </row>
    <row r="10" spans="1:4" s="14" customFormat="1" ht="15" customHeight="1" x14ac:dyDescent="0.25">
      <c r="A10" s="14" t="s">
        <v>1348</v>
      </c>
      <c r="B10" s="31">
        <v>-26306</v>
      </c>
      <c r="C10" s="27">
        <v>45049</v>
      </c>
      <c r="D10" s="23">
        <v>45083</v>
      </c>
    </row>
    <row r="11" spans="1:4" s="14" customFormat="1" ht="15" customHeight="1" x14ac:dyDescent="0.25">
      <c r="A11" s="14" t="s">
        <v>1349</v>
      </c>
      <c r="B11" s="31">
        <v>-30542</v>
      </c>
      <c r="C11" s="27">
        <v>45049</v>
      </c>
      <c r="D11" s="23">
        <v>45079</v>
      </c>
    </row>
    <row r="12" spans="1:4" s="14" customFormat="1" ht="15" customHeight="1" x14ac:dyDescent="0.25">
      <c r="A12" s="14" t="s">
        <v>1360</v>
      </c>
      <c r="B12" s="31">
        <v>-36263</v>
      </c>
      <c r="C12" s="27">
        <v>45077</v>
      </c>
      <c r="D12" s="23">
        <v>45082</v>
      </c>
    </row>
    <row r="13" spans="1:4" s="14" customFormat="1" ht="15" customHeight="1" x14ac:dyDescent="0.25">
      <c r="A13" s="14" t="s">
        <v>1350</v>
      </c>
      <c r="B13" s="31">
        <v>-38275</v>
      </c>
      <c r="C13" s="27">
        <v>45076</v>
      </c>
      <c r="D13" s="23">
        <v>45082</v>
      </c>
    </row>
    <row r="14" spans="1:4" s="14" customFormat="1" ht="15" customHeight="1" x14ac:dyDescent="0.25">
      <c r="A14" s="14" t="s">
        <v>1351</v>
      </c>
      <c r="B14" s="31">
        <v>-40328</v>
      </c>
      <c r="C14" s="27">
        <v>45077</v>
      </c>
      <c r="D14" s="23">
        <v>45079</v>
      </c>
    </row>
    <row r="15" spans="1:4" s="14" customFormat="1" ht="15" customHeight="1" x14ac:dyDescent="0.25">
      <c r="A15" s="14" t="s">
        <v>1352</v>
      </c>
      <c r="B15" s="31">
        <v>-41295</v>
      </c>
      <c r="C15" s="27">
        <v>45076</v>
      </c>
      <c r="D15" s="23">
        <v>45082</v>
      </c>
    </row>
    <row r="16" spans="1:4" s="14" customFormat="1" ht="15" customHeight="1" x14ac:dyDescent="0.25">
      <c r="B16" s="31"/>
      <c r="C16" s="27"/>
      <c r="D16" s="23"/>
    </row>
    <row r="17" spans="1:13" s="14" customFormat="1" ht="15" customHeight="1" x14ac:dyDescent="0.25">
      <c r="B17" s="31"/>
      <c r="C17" s="27"/>
      <c r="D17" s="23"/>
    </row>
    <row r="18" spans="1:13" s="14" customFormat="1" ht="15" customHeight="1" x14ac:dyDescent="0.25">
      <c r="B18" s="31"/>
      <c r="C18" s="27"/>
      <c r="D18" s="17"/>
    </row>
    <row r="19" spans="1:13" s="14" customFormat="1" ht="15" customHeight="1" x14ac:dyDescent="0.25">
      <c r="B19" s="31">
        <f>SUM(B9:B18)</f>
        <v>-238749</v>
      </c>
      <c r="C19" s="16"/>
      <c r="D19" s="23"/>
    </row>
    <row r="20" spans="1:13" s="14" customFormat="1" ht="15" customHeight="1" x14ac:dyDescent="0.25">
      <c r="A20" s="14" t="s">
        <v>2</v>
      </c>
      <c r="B20" s="31"/>
      <c r="C20" s="26" t="s">
        <v>730</v>
      </c>
      <c r="D20" s="28" t="s">
        <v>829</v>
      </c>
    </row>
    <row r="21" spans="1:13" s="14" customFormat="1" ht="15" customHeight="1" x14ac:dyDescent="0.25">
      <c r="A21" s="14" t="s">
        <v>1353</v>
      </c>
      <c r="B21" s="31">
        <v>26440</v>
      </c>
      <c r="C21" s="27">
        <v>45076</v>
      </c>
      <c r="D21" s="23">
        <v>45079</v>
      </c>
    </row>
    <row r="22" spans="1:13" s="14" customFormat="1" ht="15" customHeight="1" x14ac:dyDescent="0.25">
      <c r="A22" s="14" t="s">
        <v>1354</v>
      </c>
      <c r="B22" s="31">
        <v>29072</v>
      </c>
      <c r="C22" s="27">
        <v>45076</v>
      </c>
      <c r="D22" s="23">
        <v>45079</v>
      </c>
    </row>
    <row r="23" spans="1:13" s="14" customFormat="1" ht="15" customHeight="1" x14ac:dyDescent="0.25">
      <c r="A23" s="14" t="s">
        <v>1355</v>
      </c>
      <c r="B23" s="31">
        <v>29852</v>
      </c>
      <c r="C23" s="27">
        <v>45076</v>
      </c>
      <c r="D23" s="23">
        <v>45082</v>
      </c>
    </row>
    <row r="24" spans="1:13" s="14" customFormat="1" ht="15" customHeight="1" x14ac:dyDescent="0.25">
      <c r="A24" s="14" t="s">
        <v>1356</v>
      </c>
      <c r="B24" s="31">
        <v>35493</v>
      </c>
      <c r="C24" s="27">
        <v>45077</v>
      </c>
      <c r="D24" s="23">
        <v>45082</v>
      </c>
    </row>
    <row r="25" spans="1:13" s="14" customFormat="1" ht="15" customHeight="1" x14ac:dyDescent="0.25">
      <c r="A25" s="14" t="s">
        <v>1357</v>
      </c>
      <c r="B25" s="31">
        <v>35733</v>
      </c>
      <c r="C25" s="27">
        <v>45076</v>
      </c>
      <c r="D25" s="23">
        <v>45078</v>
      </c>
    </row>
    <row r="26" spans="1:13" s="14" customFormat="1" ht="15" customHeight="1" x14ac:dyDescent="0.25">
      <c r="A26" s="14" t="s">
        <v>1358</v>
      </c>
      <c r="B26" s="31">
        <v>36627</v>
      </c>
      <c r="C26" s="27">
        <v>45076</v>
      </c>
      <c r="D26" s="23" t="s">
        <v>1359</v>
      </c>
    </row>
    <row r="27" spans="1:13" s="14" customFormat="1" ht="15" customHeight="1" x14ac:dyDescent="0.25">
      <c r="B27" s="31"/>
      <c r="C27" s="27"/>
      <c r="D27" s="23"/>
    </row>
    <row r="28" spans="1:13" s="14" customFormat="1" ht="15" customHeight="1" x14ac:dyDescent="0.25">
      <c r="B28" s="31"/>
      <c r="C28" s="27"/>
      <c r="D28" s="23"/>
    </row>
    <row r="29" spans="1:13" s="14" customFormat="1" ht="15" customHeight="1" x14ac:dyDescent="0.25">
      <c r="B29" s="31">
        <f>SUM(B21:B28)</f>
        <v>193217</v>
      </c>
      <c r="C29" s="16"/>
      <c r="D29" s="21"/>
      <c r="E29" s="21"/>
      <c r="F29" s="21"/>
    </row>
    <row r="30" spans="1:13" s="16" customFormat="1" ht="15" customHeight="1" x14ac:dyDescent="0.25">
      <c r="A30" s="18" t="s">
        <v>1</v>
      </c>
      <c r="B30" s="19">
        <f>B29+B19</f>
        <v>-45532</v>
      </c>
      <c r="D30" s="23"/>
      <c r="E30" s="21"/>
      <c r="F30" s="21"/>
      <c r="G30" s="21"/>
    </row>
    <row r="31" spans="1:13" s="16" customFormat="1" ht="15" customHeight="1" x14ac:dyDescent="0.25">
      <c r="A31" s="14" t="s">
        <v>0</v>
      </c>
      <c r="B31" s="15">
        <f>B30-B7</f>
        <v>0</v>
      </c>
      <c r="D31" s="23"/>
      <c r="E31" s="14"/>
      <c r="F31" s="14"/>
      <c r="G31" s="14"/>
      <c r="H31" s="14"/>
      <c r="I31" s="14"/>
    </row>
    <row r="32" spans="1:13" s="16" customFormat="1" ht="15" customHeight="1" x14ac:dyDescent="0.3">
      <c r="A32" s="1"/>
      <c r="B32" s="3"/>
      <c r="C32" s="2"/>
      <c r="D32" s="23"/>
      <c r="E32" s="14"/>
      <c r="F32" s="14"/>
      <c r="G32" s="14"/>
      <c r="I32" s="14"/>
      <c r="M32" s="14" t="s">
        <v>1164</v>
      </c>
    </row>
    <row r="33" spans="1:13" s="16" customFormat="1" ht="15" customHeight="1" x14ac:dyDescent="0.3">
      <c r="A33" s="1"/>
      <c r="B33" s="3"/>
      <c r="C33" s="2"/>
      <c r="D33" s="29"/>
      <c r="E33" s="14"/>
      <c r="F33" s="14"/>
      <c r="G33" s="14"/>
      <c r="I33" s="14"/>
      <c r="M33" s="14" t="s">
        <v>1165</v>
      </c>
    </row>
    <row r="34" spans="1:13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13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13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13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</sheetData>
  <pageMargins left="0.7" right="0.7" top="0.75" bottom="0.75" header="0.3" footer="0.3"/>
  <pageSetup scale="80" fitToHeight="0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6922-E7B1-4634-A681-8017712EB2C2}">
  <sheetPr>
    <pageSetUpPr fitToPage="1"/>
  </sheetPr>
  <dimension ref="A1:M42"/>
  <sheetViews>
    <sheetView workbookViewId="0">
      <selection activeCell="D28" sqref="D28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45107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3794934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-3675054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-3675054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119880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1361</v>
      </c>
      <c r="B9" s="31">
        <v>-33340</v>
      </c>
      <c r="C9" s="27">
        <v>45097</v>
      </c>
      <c r="D9" s="23">
        <v>45110</v>
      </c>
    </row>
    <row r="10" spans="1:4" s="14" customFormat="1" ht="15" customHeight="1" x14ac:dyDescent="0.25">
      <c r="A10" s="14" t="s">
        <v>1362</v>
      </c>
      <c r="B10" s="31">
        <v>-37827</v>
      </c>
      <c r="C10" s="27">
        <v>45103</v>
      </c>
      <c r="D10" s="23">
        <v>45110</v>
      </c>
    </row>
    <row r="11" spans="1:4" s="14" customFormat="1" ht="15" customHeight="1" x14ac:dyDescent="0.25">
      <c r="A11" s="14" t="s">
        <v>1363</v>
      </c>
      <c r="B11" s="31">
        <v>-41227</v>
      </c>
      <c r="C11" s="27">
        <v>45103</v>
      </c>
      <c r="D11" s="23">
        <v>45110</v>
      </c>
    </row>
    <row r="12" spans="1:4" s="14" customFormat="1" ht="15" customHeight="1" x14ac:dyDescent="0.25">
      <c r="B12" s="31"/>
      <c r="C12" s="27"/>
      <c r="D12" s="23"/>
    </row>
    <row r="13" spans="1:4" s="14" customFormat="1" ht="15" customHeight="1" x14ac:dyDescent="0.25">
      <c r="B13" s="31"/>
      <c r="C13" s="27"/>
      <c r="D13" s="23"/>
    </row>
    <row r="14" spans="1:4" s="14" customFormat="1" ht="15" customHeight="1" x14ac:dyDescent="0.25">
      <c r="B14" s="31"/>
      <c r="C14" s="27"/>
      <c r="D14" s="23"/>
    </row>
    <row r="15" spans="1:4" s="14" customFormat="1" ht="15" customHeight="1" x14ac:dyDescent="0.25">
      <c r="B15" s="31"/>
      <c r="C15" s="27"/>
      <c r="D15" s="23"/>
    </row>
    <row r="16" spans="1:4" s="14" customFormat="1" ht="15" customHeight="1" x14ac:dyDescent="0.25">
      <c r="B16" s="31"/>
      <c r="C16" s="27"/>
      <c r="D16" s="23"/>
    </row>
    <row r="17" spans="1:6" s="14" customFormat="1" ht="15" customHeight="1" x14ac:dyDescent="0.25">
      <c r="B17" s="31"/>
      <c r="C17" s="27"/>
      <c r="D17" s="23"/>
    </row>
    <row r="18" spans="1:6" s="14" customFormat="1" ht="15" customHeight="1" x14ac:dyDescent="0.25">
      <c r="B18" s="31"/>
      <c r="C18" s="27"/>
      <c r="D18" s="17"/>
    </row>
    <row r="19" spans="1:6" s="14" customFormat="1" ht="15" customHeight="1" x14ac:dyDescent="0.25">
      <c r="B19" s="31">
        <f>SUM(B9:B18)</f>
        <v>-112394</v>
      </c>
      <c r="C19" s="16"/>
      <c r="D19" s="23"/>
    </row>
    <row r="20" spans="1:6" s="14" customFormat="1" ht="15" customHeight="1" x14ac:dyDescent="0.25">
      <c r="A20" s="14" t="s">
        <v>2</v>
      </c>
      <c r="B20" s="31"/>
      <c r="C20" s="26" t="s">
        <v>730</v>
      </c>
      <c r="D20" s="28" t="s">
        <v>829</v>
      </c>
    </row>
    <row r="21" spans="1:6" s="14" customFormat="1" ht="15" customHeight="1" x14ac:dyDescent="0.25">
      <c r="A21" s="14" t="s">
        <v>1364</v>
      </c>
      <c r="B21" s="31">
        <v>24150</v>
      </c>
      <c r="C21" s="27">
        <v>45103</v>
      </c>
      <c r="D21" s="23">
        <v>45110</v>
      </c>
    </row>
    <row r="22" spans="1:6" s="14" customFormat="1" ht="15" customHeight="1" x14ac:dyDescent="0.25">
      <c r="A22" s="14" t="s">
        <v>1365</v>
      </c>
      <c r="B22" s="31">
        <v>24722</v>
      </c>
      <c r="C22" s="27">
        <v>45103</v>
      </c>
      <c r="D22" s="23">
        <v>45110</v>
      </c>
    </row>
    <row r="23" spans="1:6" s="14" customFormat="1" ht="15" customHeight="1" x14ac:dyDescent="0.25">
      <c r="A23" s="14" t="s">
        <v>1366</v>
      </c>
      <c r="B23" s="31">
        <v>29599</v>
      </c>
      <c r="C23" s="27">
        <v>45106</v>
      </c>
      <c r="D23" s="23">
        <v>45110</v>
      </c>
    </row>
    <row r="24" spans="1:6" s="14" customFormat="1" ht="15" customHeight="1" x14ac:dyDescent="0.25">
      <c r="A24" s="14" t="s">
        <v>1367</v>
      </c>
      <c r="B24" s="31">
        <v>29820</v>
      </c>
      <c r="C24" s="27">
        <v>45083</v>
      </c>
      <c r="D24" s="23" t="s">
        <v>1372</v>
      </c>
    </row>
    <row r="25" spans="1:6" s="14" customFormat="1" ht="15" customHeight="1" x14ac:dyDescent="0.25">
      <c r="A25" s="14" t="s">
        <v>1368</v>
      </c>
      <c r="B25" s="31">
        <v>29868</v>
      </c>
      <c r="C25" s="27">
        <v>45103</v>
      </c>
      <c r="D25" s="23">
        <v>45110</v>
      </c>
    </row>
    <row r="26" spans="1:6" s="14" customFormat="1" ht="15" customHeight="1" x14ac:dyDescent="0.25">
      <c r="A26" s="14" t="s">
        <v>1369</v>
      </c>
      <c r="B26" s="31">
        <v>29912</v>
      </c>
      <c r="C26" s="27">
        <v>45083</v>
      </c>
      <c r="D26" s="23" t="s">
        <v>1372</v>
      </c>
    </row>
    <row r="27" spans="1:6" s="14" customFormat="1" ht="15" customHeight="1" x14ac:dyDescent="0.25">
      <c r="A27" s="14" t="s">
        <v>1370</v>
      </c>
      <c r="B27" s="31">
        <v>31988</v>
      </c>
      <c r="C27" s="27">
        <v>45083</v>
      </c>
      <c r="D27" s="23" t="s">
        <v>1372</v>
      </c>
    </row>
    <row r="28" spans="1:6" s="14" customFormat="1" ht="15" customHeight="1" x14ac:dyDescent="0.25">
      <c r="A28" s="14" t="s">
        <v>1371</v>
      </c>
      <c r="B28" s="31">
        <v>32215</v>
      </c>
      <c r="C28" s="27">
        <v>45106</v>
      </c>
      <c r="D28" s="23">
        <v>45110</v>
      </c>
    </row>
    <row r="29" spans="1:6" s="14" customFormat="1" ht="15" customHeight="1" x14ac:dyDescent="0.25">
      <c r="B29" s="31"/>
      <c r="C29" s="27"/>
      <c r="D29" s="23"/>
    </row>
    <row r="30" spans="1:6" s="14" customFormat="1" ht="15" customHeight="1" x14ac:dyDescent="0.25">
      <c r="B30" s="31"/>
      <c r="C30" s="27"/>
      <c r="D30" s="23"/>
    </row>
    <row r="31" spans="1:6" s="14" customFormat="1" ht="15" customHeight="1" x14ac:dyDescent="0.25">
      <c r="B31" s="31"/>
      <c r="C31" s="27"/>
      <c r="D31" s="23"/>
    </row>
    <row r="32" spans="1:6" s="14" customFormat="1" ht="15" customHeight="1" x14ac:dyDescent="0.25">
      <c r="B32" s="31">
        <f>SUM(B21:B31)</f>
        <v>232274</v>
      </c>
      <c r="C32" s="16"/>
      <c r="D32" s="21"/>
      <c r="E32" s="21"/>
      <c r="F32" s="21"/>
    </row>
    <row r="33" spans="1:13" s="16" customFormat="1" ht="15" customHeight="1" x14ac:dyDescent="0.25">
      <c r="A33" s="18" t="s">
        <v>1</v>
      </c>
      <c r="B33" s="19">
        <f>B32+B19</f>
        <v>119880</v>
      </c>
      <c r="D33" s="23"/>
      <c r="E33" s="21"/>
      <c r="F33" s="21"/>
      <c r="G33" s="21"/>
    </row>
    <row r="34" spans="1:13" s="16" customFormat="1" ht="15" customHeight="1" x14ac:dyDescent="0.25">
      <c r="A34" s="14" t="s">
        <v>0</v>
      </c>
      <c r="B34" s="15">
        <f>B33-B7</f>
        <v>0</v>
      </c>
      <c r="D34" s="23"/>
      <c r="E34" s="14"/>
      <c r="F34" s="14"/>
      <c r="G34" s="14"/>
      <c r="H34" s="14"/>
      <c r="I34" s="14"/>
    </row>
    <row r="35" spans="1:13" s="16" customFormat="1" ht="15" customHeight="1" x14ac:dyDescent="0.3">
      <c r="A35" s="1"/>
      <c r="B35" s="3"/>
      <c r="C35" s="2"/>
      <c r="D35" s="23"/>
      <c r="E35" s="14"/>
      <c r="F35" s="14"/>
      <c r="G35" s="14"/>
      <c r="I35" s="14"/>
      <c r="M35" s="14" t="s">
        <v>1164</v>
      </c>
    </row>
    <row r="36" spans="1:13" s="16" customFormat="1" ht="15" customHeight="1" x14ac:dyDescent="0.3">
      <c r="A36" s="1"/>
      <c r="B36" s="3"/>
      <c r="C36" s="2"/>
      <c r="D36" s="29"/>
      <c r="E36" s="14"/>
      <c r="F36" s="14"/>
      <c r="G36" s="14"/>
      <c r="I36" s="14"/>
      <c r="M36" s="14" t="s">
        <v>1165</v>
      </c>
    </row>
    <row r="37" spans="1:13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13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  <row r="41" spans="1:13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  <row r="42" spans="1:13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</sheetData>
  <pageMargins left="0.7" right="0.7" top="0.75" bottom="0.75" header="0.3" footer="0.3"/>
  <pageSetup scale="80" fitToHeight="0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44A12-356E-4F3C-9C2E-4A5544F4D15A}">
  <sheetPr>
    <pageSetUpPr fitToPage="1"/>
  </sheetPr>
  <dimension ref="A1:M42"/>
  <sheetViews>
    <sheetView workbookViewId="0">
      <selection activeCell="J18" sqref="J18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45138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3512017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-3691132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-3691132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-179115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1373</v>
      </c>
      <c r="B9" s="31">
        <v>-31909</v>
      </c>
      <c r="C9" s="27">
        <v>45138</v>
      </c>
      <c r="D9" s="23">
        <v>45139</v>
      </c>
    </row>
    <row r="10" spans="1:4" s="14" customFormat="1" ht="15" customHeight="1" x14ac:dyDescent="0.25">
      <c r="A10" s="14" t="s">
        <v>1374</v>
      </c>
      <c r="B10" s="31">
        <v>-31997</v>
      </c>
      <c r="C10" s="27">
        <v>45138</v>
      </c>
      <c r="D10" s="23">
        <v>45139</v>
      </c>
    </row>
    <row r="11" spans="1:4" s="14" customFormat="1" ht="15" customHeight="1" x14ac:dyDescent="0.25">
      <c r="A11" s="14" t="s">
        <v>1375</v>
      </c>
      <c r="B11" s="31">
        <v>-33145</v>
      </c>
      <c r="C11" s="27">
        <v>45135</v>
      </c>
      <c r="D11" s="23">
        <v>45141</v>
      </c>
    </row>
    <row r="12" spans="1:4" s="14" customFormat="1" ht="15" customHeight="1" x14ac:dyDescent="0.25">
      <c r="A12" s="14" t="s">
        <v>1376</v>
      </c>
      <c r="B12" s="31">
        <v>-34639</v>
      </c>
      <c r="C12" s="27">
        <v>45138</v>
      </c>
      <c r="D12" s="23">
        <v>45140</v>
      </c>
    </row>
    <row r="13" spans="1:4" s="14" customFormat="1" ht="15" customHeight="1" x14ac:dyDescent="0.25">
      <c r="A13" s="14" t="s">
        <v>1377</v>
      </c>
      <c r="B13" s="31">
        <v>-37040</v>
      </c>
      <c r="C13" s="27">
        <v>45138</v>
      </c>
      <c r="D13" s="23">
        <v>45139</v>
      </c>
    </row>
    <row r="14" spans="1:4" s="14" customFormat="1" ht="15" customHeight="1" x14ac:dyDescent="0.25">
      <c r="A14" s="14" t="s">
        <v>1378</v>
      </c>
      <c r="B14" s="31">
        <v>-38742</v>
      </c>
      <c r="C14" s="27">
        <v>45138</v>
      </c>
      <c r="D14" s="23">
        <v>45141</v>
      </c>
    </row>
    <row r="15" spans="1:4" s="14" customFormat="1" ht="15" customHeight="1" x14ac:dyDescent="0.25">
      <c r="A15" s="14" t="s">
        <v>1379</v>
      </c>
      <c r="B15" s="31">
        <v>-39159</v>
      </c>
      <c r="C15" s="27">
        <v>45138</v>
      </c>
      <c r="D15" s="23">
        <v>45141</v>
      </c>
    </row>
    <row r="16" spans="1:4" s="14" customFormat="1" ht="15" customHeight="1" x14ac:dyDescent="0.25">
      <c r="B16" s="31"/>
      <c r="C16" s="27"/>
      <c r="D16" s="23"/>
    </row>
    <row r="17" spans="1:6" s="14" customFormat="1" ht="15" customHeight="1" x14ac:dyDescent="0.25">
      <c r="B17" s="31"/>
      <c r="C17" s="27"/>
      <c r="D17" s="23"/>
    </row>
    <row r="18" spans="1:6" s="14" customFormat="1" ht="15" customHeight="1" x14ac:dyDescent="0.25">
      <c r="B18" s="31"/>
      <c r="C18" s="27"/>
      <c r="D18" s="17"/>
    </row>
    <row r="19" spans="1:6" s="14" customFormat="1" ht="15" customHeight="1" x14ac:dyDescent="0.25">
      <c r="B19" s="31">
        <f>SUM(B9:B18)</f>
        <v>-246631</v>
      </c>
      <c r="C19" s="16"/>
      <c r="D19" s="23"/>
    </row>
    <row r="20" spans="1:6" s="14" customFormat="1" ht="15" customHeight="1" x14ac:dyDescent="0.25">
      <c r="A20" s="14" t="s">
        <v>2</v>
      </c>
      <c r="B20" s="31"/>
      <c r="C20" s="26" t="s">
        <v>730</v>
      </c>
      <c r="D20" s="28" t="s">
        <v>829</v>
      </c>
    </row>
    <row r="21" spans="1:6" s="14" customFormat="1" ht="15" customHeight="1" x14ac:dyDescent="0.25">
      <c r="A21" s="14" t="s">
        <v>1380</v>
      </c>
      <c r="B21" s="31">
        <v>33420</v>
      </c>
      <c r="C21" s="27">
        <v>45135</v>
      </c>
      <c r="D21" s="23" t="s">
        <v>1382</v>
      </c>
    </row>
    <row r="22" spans="1:6" s="14" customFormat="1" ht="15" customHeight="1" x14ac:dyDescent="0.25">
      <c r="A22" s="14" t="s">
        <v>1381</v>
      </c>
      <c r="B22" s="31">
        <v>34096</v>
      </c>
      <c r="C22" s="27">
        <v>45138</v>
      </c>
      <c r="D22" s="23" t="s">
        <v>1383</v>
      </c>
    </row>
    <row r="23" spans="1:6" s="14" customFormat="1" ht="15" customHeight="1" x14ac:dyDescent="0.25">
      <c r="B23" s="31"/>
      <c r="C23" s="27"/>
      <c r="D23" s="23"/>
    </row>
    <row r="24" spans="1:6" s="14" customFormat="1" ht="15" customHeight="1" x14ac:dyDescent="0.25">
      <c r="B24" s="31"/>
      <c r="C24" s="27"/>
      <c r="D24" s="23"/>
    </row>
    <row r="25" spans="1:6" s="14" customFormat="1" ht="15" customHeight="1" x14ac:dyDescent="0.25">
      <c r="B25" s="31"/>
      <c r="C25" s="27"/>
      <c r="D25" s="23"/>
    </row>
    <row r="26" spans="1:6" s="14" customFormat="1" ht="15" customHeight="1" x14ac:dyDescent="0.25">
      <c r="B26" s="31"/>
      <c r="C26" s="27"/>
      <c r="D26" s="23"/>
    </row>
    <row r="27" spans="1:6" s="14" customFormat="1" ht="15" customHeight="1" x14ac:dyDescent="0.25">
      <c r="B27" s="31"/>
      <c r="C27" s="27"/>
      <c r="D27" s="23"/>
    </row>
    <row r="28" spans="1:6" s="14" customFormat="1" ht="15" customHeight="1" x14ac:dyDescent="0.25">
      <c r="B28" s="31"/>
      <c r="C28" s="27"/>
      <c r="D28" s="23"/>
    </row>
    <row r="29" spans="1:6" s="14" customFormat="1" ht="15" customHeight="1" x14ac:dyDescent="0.25">
      <c r="B29" s="31"/>
      <c r="C29" s="27"/>
      <c r="D29" s="23"/>
    </row>
    <row r="30" spans="1:6" s="14" customFormat="1" ht="15" customHeight="1" x14ac:dyDescent="0.25">
      <c r="B30" s="31"/>
      <c r="C30" s="27"/>
      <c r="D30" s="23"/>
    </row>
    <row r="31" spans="1:6" s="14" customFormat="1" ht="15" customHeight="1" x14ac:dyDescent="0.25">
      <c r="B31" s="31"/>
      <c r="C31" s="27"/>
      <c r="D31" s="23"/>
    </row>
    <row r="32" spans="1:6" s="14" customFormat="1" ht="15" customHeight="1" x14ac:dyDescent="0.25">
      <c r="B32" s="31">
        <f>SUM(B21:B31)</f>
        <v>67516</v>
      </c>
      <c r="C32" s="16"/>
      <c r="D32" s="21"/>
      <c r="E32" s="21"/>
      <c r="F32" s="21"/>
    </row>
    <row r="33" spans="1:13" s="16" customFormat="1" ht="15" customHeight="1" x14ac:dyDescent="0.25">
      <c r="A33" s="18" t="s">
        <v>1</v>
      </c>
      <c r="B33" s="19">
        <f>B32+B19</f>
        <v>-179115</v>
      </c>
      <c r="D33" s="23"/>
      <c r="E33" s="21"/>
      <c r="F33" s="21"/>
      <c r="G33" s="21"/>
    </row>
    <row r="34" spans="1:13" s="16" customFormat="1" ht="15" customHeight="1" x14ac:dyDescent="0.25">
      <c r="A34" s="14" t="s">
        <v>0</v>
      </c>
      <c r="B34" s="15">
        <f>B33-B7</f>
        <v>0</v>
      </c>
      <c r="D34" s="23"/>
      <c r="E34" s="14"/>
      <c r="F34" s="14"/>
      <c r="G34" s="14"/>
      <c r="H34" s="14"/>
      <c r="I34" s="14"/>
    </row>
    <row r="35" spans="1:13" s="16" customFormat="1" ht="15" customHeight="1" x14ac:dyDescent="0.3">
      <c r="A35" s="1"/>
      <c r="B35" s="3"/>
      <c r="C35" s="2"/>
      <c r="D35" s="23"/>
      <c r="E35" s="14"/>
      <c r="F35" s="14"/>
      <c r="G35" s="14"/>
      <c r="I35" s="14"/>
      <c r="M35" s="14" t="s">
        <v>1164</v>
      </c>
    </row>
    <row r="36" spans="1:13" s="16" customFormat="1" ht="15" customHeight="1" x14ac:dyDescent="0.3">
      <c r="A36" s="1"/>
      <c r="B36" s="3"/>
      <c r="C36" s="2"/>
      <c r="D36" s="29"/>
      <c r="E36" s="14"/>
      <c r="F36" s="14"/>
      <c r="G36" s="14"/>
      <c r="I36" s="14"/>
      <c r="M36" s="14" t="s">
        <v>1165</v>
      </c>
    </row>
    <row r="37" spans="1:13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13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  <row r="41" spans="1:13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  <row r="42" spans="1:13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</sheetData>
  <pageMargins left="0.7" right="0.7" top="0.75" bottom="0.75" header="0.3" footer="0.3"/>
  <pageSetup scale="80" fitToHeight="0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40DA-09A1-45F7-BDD8-D4B182E8B7FF}">
  <sheetPr>
    <pageSetUpPr fitToPage="1"/>
  </sheetPr>
  <dimension ref="A1:M42"/>
  <sheetViews>
    <sheetView workbookViewId="0">
      <selection activeCell="D10" sqref="D10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45169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3152769.6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-3250944.6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-3250944.6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-98175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1384</v>
      </c>
      <c r="B9" s="31">
        <v>-32885</v>
      </c>
      <c r="C9" s="27">
        <v>45169</v>
      </c>
      <c r="D9" s="23">
        <v>45184</v>
      </c>
    </row>
    <row r="10" spans="1:4" s="14" customFormat="1" ht="15" customHeight="1" x14ac:dyDescent="0.25">
      <c r="A10" s="14" t="s">
        <v>1385</v>
      </c>
      <c r="B10" s="31">
        <v>-35177</v>
      </c>
      <c r="C10" s="27">
        <v>45167</v>
      </c>
      <c r="D10" s="23">
        <v>45174</v>
      </c>
    </row>
    <row r="11" spans="1:4" s="14" customFormat="1" ht="15" customHeight="1" x14ac:dyDescent="0.25">
      <c r="A11" s="14" t="s">
        <v>1386</v>
      </c>
      <c r="B11" s="31">
        <v>-35257</v>
      </c>
      <c r="C11" s="27">
        <v>45167</v>
      </c>
      <c r="D11" s="23">
        <v>45174</v>
      </c>
    </row>
    <row r="12" spans="1:4" s="14" customFormat="1" ht="15" customHeight="1" x14ac:dyDescent="0.25">
      <c r="A12" s="14" t="s">
        <v>1387</v>
      </c>
      <c r="B12" s="31">
        <v>-36275</v>
      </c>
      <c r="C12" s="27">
        <v>45169</v>
      </c>
      <c r="D12" s="23">
        <v>45174</v>
      </c>
    </row>
    <row r="13" spans="1:4" s="14" customFormat="1" ht="15" customHeight="1" x14ac:dyDescent="0.25">
      <c r="A13" s="14" t="s">
        <v>1388</v>
      </c>
      <c r="B13" s="31">
        <v>-42298</v>
      </c>
      <c r="C13" s="27">
        <v>45169</v>
      </c>
      <c r="D13" s="23">
        <v>45183</v>
      </c>
    </row>
    <row r="14" spans="1:4" s="14" customFormat="1" ht="15" customHeight="1" x14ac:dyDescent="0.25">
      <c r="B14" s="31"/>
      <c r="C14" s="27"/>
      <c r="D14" s="23"/>
    </row>
    <row r="15" spans="1:4" s="14" customFormat="1" ht="15" customHeight="1" x14ac:dyDescent="0.25">
      <c r="B15" s="31"/>
      <c r="C15" s="27"/>
      <c r="D15" s="23"/>
    </row>
    <row r="16" spans="1:4" s="14" customFormat="1" ht="15" customHeight="1" x14ac:dyDescent="0.25">
      <c r="B16" s="31"/>
      <c r="C16" s="27"/>
      <c r="D16" s="23"/>
    </row>
    <row r="17" spans="1:6" s="14" customFormat="1" ht="15" customHeight="1" x14ac:dyDescent="0.25">
      <c r="B17" s="31"/>
      <c r="C17" s="27"/>
      <c r="D17" s="23"/>
    </row>
    <row r="18" spans="1:6" s="14" customFormat="1" ht="15" customHeight="1" x14ac:dyDescent="0.25">
      <c r="B18" s="31"/>
      <c r="C18" s="27"/>
      <c r="D18" s="17"/>
    </row>
    <row r="19" spans="1:6" s="14" customFormat="1" ht="15" customHeight="1" x14ac:dyDescent="0.25">
      <c r="B19" s="31">
        <f>SUM(B9:B18)</f>
        <v>-181892</v>
      </c>
      <c r="C19" s="16"/>
      <c r="D19" s="23"/>
    </row>
    <row r="20" spans="1:6" s="14" customFormat="1" ht="15" customHeight="1" x14ac:dyDescent="0.25">
      <c r="A20" s="14" t="s">
        <v>2</v>
      </c>
      <c r="B20" s="31"/>
      <c r="C20" s="26" t="s">
        <v>730</v>
      </c>
      <c r="D20" s="28" t="s">
        <v>829</v>
      </c>
    </row>
    <row r="21" spans="1:6" s="14" customFormat="1" ht="15" customHeight="1" x14ac:dyDescent="0.25">
      <c r="A21" s="14" t="s">
        <v>1389</v>
      </c>
      <c r="B21" s="31">
        <v>30200</v>
      </c>
      <c r="C21" s="27">
        <v>45169</v>
      </c>
      <c r="D21" s="23">
        <v>45175</v>
      </c>
    </row>
    <row r="22" spans="1:6" s="14" customFormat="1" ht="15" customHeight="1" x14ac:dyDescent="0.25">
      <c r="A22" s="14" t="s">
        <v>1390</v>
      </c>
      <c r="B22" s="31">
        <v>53517</v>
      </c>
      <c r="C22" s="27">
        <v>45168</v>
      </c>
      <c r="D22" s="23">
        <v>45174</v>
      </c>
    </row>
    <row r="23" spans="1:6" s="14" customFormat="1" ht="15" customHeight="1" x14ac:dyDescent="0.25">
      <c r="B23" s="31"/>
      <c r="C23" s="27"/>
      <c r="D23" s="23"/>
    </row>
    <row r="24" spans="1:6" s="14" customFormat="1" ht="15" customHeight="1" x14ac:dyDescent="0.25">
      <c r="B24" s="31"/>
      <c r="C24" s="27"/>
      <c r="D24" s="23"/>
    </row>
    <row r="25" spans="1:6" s="14" customFormat="1" ht="15" customHeight="1" x14ac:dyDescent="0.25">
      <c r="B25" s="31"/>
      <c r="C25" s="27"/>
      <c r="D25" s="23"/>
    </row>
    <row r="26" spans="1:6" s="14" customFormat="1" ht="15" customHeight="1" x14ac:dyDescent="0.25">
      <c r="B26" s="31"/>
      <c r="C26" s="27"/>
      <c r="D26" s="23"/>
    </row>
    <row r="27" spans="1:6" s="14" customFormat="1" ht="15" customHeight="1" x14ac:dyDescent="0.25">
      <c r="B27" s="31"/>
      <c r="C27" s="27"/>
      <c r="D27" s="23"/>
    </row>
    <row r="28" spans="1:6" s="14" customFormat="1" ht="15" customHeight="1" x14ac:dyDescent="0.25">
      <c r="B28" s="31"/>
      <c r="C28" s="27"/>
      <c r="D28" s="23"/>
    </row>
    <row r="29" spans="1:6" s="14" customFormat="1" ht="15" customHeight="1" x14ac:dyDescent="0.25">
      <c r="B29" s="31"/>
      <c r="C29" s="27"/>
      <c r="D29" s="23"/>
    </row>
    <row r="30" spans="1:6" s="14" customFormat="1" ht="15" customHeight="1" x14ac:dyDescent="0.25">
      <c r="B30" s="31"/>
      <c r="C30" s="27"/>
      <c r="D30" s="23"/>
    </row>
    <row r="31" spans="1:6" s="14" customFormat="1" ht="15" customHeight="1" x14ac:dyDescent="0.25">
      <c r="B31" s="31"/>
      <c r="C31" s="27"/>
      <c r="D31" s="23"/>
    </row>
    <row r="32" spans="1:6" s="14" customFormat="1" ht="15" customHeight="1" x14ac:dyDescent="0.25">
      <c r="B32" s="31">
        <f>SUM(B21:B31)</f>
        <v>83717</v>
      </c>
      <c r="C32" s="16"/>
      <c r="D32" s="21"/>
      <c r="E32" s="21"/>
      <c r="F32" s="21"/>
    </row>
    <row r="33" spans="1:13" s="16" customFormat="1" ht="15" customHeight="1" x14ac:dyDescent="0.25">
      <c r="A33" s="18" t="s">
        <v>1</v>
      </c>
      <c r="B33" s="19">
        <f>B32+B19</f>
        <v>-98175</v>
      </c>
      <c r="D33" s="23"/>
      <c r="E33" s="21"/>
      <c r="F33" s="21"/>
      <c r="G33" s="21"/>
    </row>
    <row r="34" spans="1:13" s="16" customFormat="1" ht="15" customHeight="1" x14ac:dyDescent="0.25">
      <c r="A34" s="14" t="s">
        <v>0</v>
      </c>
      <c r="B34" s="15">
        <f>B33-B7</f>
        <v>0</v>
      </c>
      <c r="D34" s="23"/>
      <c r="E34" s="14"/>
      <c r="F34" s="14"/>
      <c r="G34" s="14"/>
      <c r="H34" s="14"/>
      <c r="I34" s="14"/>
    </row>
    <row r="35" spans="1:13" s="16" customFormat="1" ht="15" customHeight="1" x14ac:dyDescent="0.3">
      <c r="A35" s="1"/>
      <c r="B35" s="3"/>
      <c r="C35" s="2"/>
      <c r="D35" s="23"/>
      <c r="E35" s="14"/>
      <c r="F35" s="14"/>
      <c r="G35" s="14"/>
      <c r="I35" s="14"/>
      <c r="M35" s="14" t="s">
        <v>1164</v>
      </c>
    </row>
    <row r="36" spans="1:13" s="16" customFormat="1" ht="15" customHeight="1" x14ac:dyDescent="0.3">
      <c r="A36" s="1"/>
      <c r="B36" s="3"/>
      <c r="C36" s="2"/>
      <c r="D36" s="29"/>
      <c r="E36" s="14"/>
      <c r="F36" s="14"/>
      <c r="G36" s="14"/>
      <c r="I36" s="14"/>
      <c r="M36" s="14" t="s">
        <v>1165</v>
      </c>
    </row>
    <row r="37" spans="1:13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13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  <row r="41" spans="1:13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  <row r="42" spans="1:13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</sheetData>
  <pageMargins left="0.7" right="0.7" top="0.75" bottom="0.75" header="0.3" footer="0.3"/>
  <pageSetup scale="80" fitToHeight="0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0985-A53F-481F-BE07-2B74D17AA989}">
  <sheetPr>
    <pageSetUpPr fitToPage="1"/>
  </sheetPr>
  <dimension ref="A1:M40"/>
  <sheetViews>
    <sheetView workbookViewId="0">
      <selection activeCell="E33" sqref="E33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45199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4603773.2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-5158729.2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-5158729.2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-554956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1391</v>
      </c>
      <c r="B9" s="31">
        <v>-29942</v>
      </c>
      <c r="C9" s="27">
        <v>45198</v>
      </c>
      <c r="D9" s="23">
        <v>45201</v>
      </c>
    </row>
    <row r="10" spans="1:4" s="14" customFormat="1" ht="15" customHeight="1" x14ac:dyDescent="0.25">
      <c r="A10" s="14" t="s">
        <v>1392</v>
      </c>
      <c r="B10" s="31">
        <v>-29942</v>
      </c>
      <c r="C10" s="27">
        <v>45198</v>
      </c>
      <c r="D10" s="23">
        <v>45201</v>
      </c>
    </row>
    <row r="11" spans="1:4" s="14" customFormat="1" ht="15" customHeight="1" x14ac:dyDescent="0.25">
      <c r="A11" s="14" t="s">
        <v>1393</v>
      </c>
      <c r="B11" s="31">
        <v>-29942</v>
      </c>
      <c r="C11" s="27">
        <v>45198</v>
      </c>
      <c r="D11" s="23">
        <v>45201</v>
      </c>
    </row>
    <row r="12" spans="1:4" s="14" customFormat="1" ht="15" customHeight="1" x14ac:dyDescent="0.25">
      <c r="A12" s="14" t="s">
        <v>1394</v>
      </c>
      <c r="B12" s="31">
        <v>-34427</v>
      </c>
      <c r="C12" s="27">
        <v>45198</v>
      </c>
      <c r="D12" s="23">
        <v>45201</v>
      </c>
    </row>
    <row r="13" spans="1:4" s="14" customFormat="1" ht="15" customHeight="1" x14ac:dyDescent="0.25">
      <c r="A13" s="14" t="s">
        <v>1395</v>
      </c>
      <c r="B13" s="31">
        <v>-34933</v>
      </c>
      <c r="C13" s="27">
        <v>45195</v>
      </c>
      <c r="D13" s="23">
        <v>45201</v>
      </c>
    </row>
    <row r="14" spans="1:4" s="14" customFormat="1" ht="15" customHeight="1" x14ac:dyDescent="0.25">
      <c r="A14" s="14" t="s">
        <v>1396</v>
      </c>
      <c r="B14" s="31">
        <v>-34957</v>
      </c>
      <c r="C14" s="27">
        <v>45198</v>
      </c>
      <c r="D14" s="23">
        <v>45201</v>
      </c>
    </row>
    <row r="15" spans="1:4" s="14" customFormat="1" ht="15" customHeight="1" x14ac:dyDescent="0.25">
      <c r="A15" s="14" t="s">
        <v>1397</v>
      </c>
      <c r="B15" s="31">
        <v>-35546</v>
      </c>
      <c r="C15" s="27">
        <v>45194</v>
      </c>
      <c r="D15" s="23">
        <v>45201</v>
      </c>
    </row>
    <row r="16" spans="1:4" s="14" customFormat="1" ht="15" customHeight="1" x14ac:dyDescent="0.25">
      <c r="A16" s="14" t="s">
        <v>1398</v>
      </c>
      <c r="B16" s="31">
        <v>-36962</v>
      </c>
      <c r="C16" s="27">
        <v>45198</v>
      </c>
      <c r="D16" s="23">
        <v>45201</v>
      </c>
    </row>
    <row r="17" spans="1:9" s="14" customFormat="1" ht="15" customHeight="1" x14ac:dyDescent="0.25">
      <c r="A17" s="14" t="s">
        <v>1399</v>
      </c>
      <c r="B17" s="31">
        <v>-38230</v>
      </c>
      <c r="C17" s="27">
        <v>45198</v>
      </c>
      <c r="D17" s="23">
        <v>45201</v>
      </c>
    </row>
    <row r="18" spans="1:9" s="14" customFormat="1" ht="15" customHeight="1" x14ac:dyDescent="0.25">
      <c r="A18" s="14" t="s">
        <v>1400</v>
      </c>
      <c r="B18" s="31">
        <v>-38635</v>
      </c>
      <c r="C18" s="27">
        <v>45191</v>
      </c>
      <c r="D18" s="23">
        <v>45205</v>
      </c>
    </row>
    <row r="19" spans="1:9" s="14" customFormat="1" ht="15" customHeight="1" x14ac:dyDescent="0.25">
      <c r="A19" s="14" t="s">
        <v>1401</v>
      </c>
      <c r="B19" s="31">
        <v>-38760</v>
      </c>
      <c r="C19" s="27">
        <v>45198</v>
      </c>
      <c r="D19" s="23">
        <v>45201</v>
      </c>
    </row>
    <row r="20" spans="1:9" s="14" customFormat="1" ht="15" customHeight="1" x14ac:dyDescent="0.25">
      <c r="A20" s="14" t="s">
        <v>1402</v>
      </c>
      <c r="B20" s="31">
        <v>-41824</v>
      </c>
      <c r="C20" s="27">
        <v>45197</v>
      </c>
      <c r="D20" s="23">
        <v>45202</v>
      </c>
    </row>
    <row r="21" spans="1:9" s="14" customFormat="1" ht="15" customHeight="1" x14ac:dyDescent="0.25">
      <c r="A21" s="14" t="s">
        <v>1403</v>
      </c>
      <c r="B21" s="31">
        <v>-42340</v>
      </c>
      <c r="C21" s="27">
        <v>45195</v>
      </c>
      <c r="D21" s="23">
        <v>45201</v>
      </c>
    </row>
    <row r="22" spans="1:9" s="14" customFormat="1" ht="15" customHeight="1" x14ac:dyDescent="0.25">
      <c r="A22" s="14" t="s">
        <v>1404</v>
      </c>
      <c r="B22" s="31">
        <v>-44258</v>
      </c>
      <c r="C22" s="27">
        <v>45199</v>
      </c>
      <c r="D22" s="23">
        <v>45202</v>
      </c>
    </row>
    <row r="23" spans="1:9" s="14" customFormat="1" ht="15" customHeight="1" x14ac:dyDescent="0.25">
      <c r="A23" s="14" t="s">
        <v>1405</v>
      </c>
      <c r="B23" s="31">
        <v>-44258</v>
      </c>
      <c r="C23" s="27">
        <v>45199</v>
      </c>
      <c r="D23" s="23">
        <v>45202</v>
      </c>
    </row>
    <row r="24" spans="1:9" s="14" customFormat="1" ht="15" customHeight="1" x14ac:dyDescent="0.25">
      <c r="B24" s="31"/>
      <c r="C24" s="27"/>
      <c r="D24" s="17"/>
    </row>
    <row r="25" spans="1:9" s="14" customFormat="1" ht="15" customHeight="1" x14ac:dyDescent="0.25">
      <c r="B25" s="31">
        <f>SUM(B9:B24)</f>
        <v>-554956</v>
      </c>
      <c r="C25" s="16"/>
      <c r="D25" s="23"/>
    </row>
    <row r="26" spans="1:9" s="14" customFormat="1" ht="15" customHeight="1" x14ac:dyDescent="0.25">
      <c r="A26" s="14" t="s">
        <v>2</v>
      </c>
      <c r="B26" s="31"/>
      <c r="C26" s="26" t="s">
        <v>730</v>
      </c>
      <c r="D26" s="28" t="s">
        <v>829</v>
      </c>
    </row>
    <row r="27" spans="1:9" s="14" customFormat="1" ht="15" customHeight="1" x14ac:dyDescent="0.25">
      <c r="B27" s="31"/>
      <c r="C27" s="27"/>
      <c r="D27" s="23"/>
    </row>
    <row r="28" spans="1:9" s="14" customFormat="1" ht="15" customHeight="1" x14ac:dyDescent="0.25">
      <c r="B28" s="31"/>
      <c r="C28" s="27"/>
      <c r="D28" s="23"/>
    </row>
    <row r="29" spans="1:9" s="14" customFormat="1" ht="15" customHeight="1" x14ac:dyDescent="0.25">
      <c r="B29" s="31"/>
      <c r="C29" s="27"/>
      <c r="D29" s="23"/>
    </row>
    <row r="30" spans="1:9" s="14" customFormat="1" ht="15" customHeight="1" x14ac:dyDescent="0.25">
      <c r="B30" s="31">
        <f>SUM(B27:B29)</f>
        <v>0</v>
      </c>
      <c r="C30" s="16"/>
      <c r="D30" s="21"/>
      <c r="E30" s="21"/>
      <c r="F30" s="21"/>
    </row>
    <row r="31" spans="1:9" s="16" customFormat="1" ht="15" customHeight="1" x14ac:dyDescent="0.25">
      <c r="A31" s="18" t="s">
        <v>1</v>
      </c>
      <c r="B31" s="19">
        <f>B30+B25</f>
        <v>-554956</v>
      </c>
      <c r="D31" s="23"/>
      <c r="E31" s="21"/>
      <c r="F31" s="21"/>
      <c r="G31" s="21"/>
    </row>
    <row r="32" spans="1:9" s="16" customFormat="1" ht="15" customHeight="1" x14ac:dyDescent="0.25">
      <c r="A32" s="14" t="s">
        <v>0</v>
      </c>
      <c r="B32" s="15">
        <f>B31-B7</f>
        <v>0</v>
      </c>
      <c r="D32" s="23"/>
      <c r="E32" s="14"/>
      <c r="F32" s="14"/>
      <c r="G32" s="14"/>
      <c r="H32" s="14"/>
      <c r="I32" s="14"/>
    </row>
    <row r="33" spans="1:13" s="16" customFormat="1" ht="15" customHeight="1" x14ac:dyDescent="0.3">
      <c r="A33" s="1"/>
      <c r="B33" s="3"/>
      <c r="C33" s="2"/>
      <c r="D33" s="23"/>
      <c r="E33" s="14"/>
      <c r="F33" s="14"/>
      <c r="G33" s="14"/>
      <c r="I33" s="14"/>
      <c r="M33" s="14" t="s">
        <v>1164</v>
      </c>
    </row>
    <row r="34" spans="1:13" s="16" customFormat="1" ht="15" customHeight="1" x14ac:dyDescent="0.3">
      <c r="A34" s="1"/>
      <c r="B34" s="3"/>
      <c r="C34" s="2"/>
      <c r="D34" s="29"/>
      <c r="E34" s="14"/>
      <c r="F34" s="14"/>
      <c r="G34" s="14"/>
      <c r="I34" s="14"/>
      <c r="M34" s="14" t="s">
        <v>1165</v>
      </c>
    </row>
    <row r="35" spans="1:13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13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13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13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</sheetData>
  <pageMargins left="0.7" right="0.7" top="0.75" bottom="0.75" header="0.3" footer="0.3"/>
  <pageSetup scale="80" fitToHeight="0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3E9C-CAE7-4BDE-B835-845F058BB713}">
  <sheetPr>
    <pageSetUpPr fitToPage="1"/>
  </sheetPr>
  <dimension ref="A1:M40"/>
  <sheetViews>
    <sheetView workbookViewId="0"/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0.140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45230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7468575.7999999998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-6990262.7999999998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-6990262.7999999998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478313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B9" s="31"/>
      <c r="C9" s="27"/>
      <c r="D9" s="23"/>
    </row>
    <row r="10" spans="1:4" s="14" customFormat="1" ht="15" customHeight="1" x14ac:dyDescent="0.25">
      <c r="B10" s="31"/>
      <c r="C10" s="27"/>
      <c r="D10" s="17"/>
    </row>
    <row r="11" spans="1:4" s="14" customFormat="1" ht="15" customHeight="1" x14ac:dyDescent="0.25">
      <c r="B11" s="31">
        <f>SUM(B9:B10)</f>
        <v>0</v>
      </c>
      <c r="C11" s="16"/>
      <c r="D11" s="23"/>
    </row>
    <row r="12" spans="1:4" s="14" customFormat="1" ht="15" customHeight="1" x14ac:dyDescent="0.25">
      <c r="A12" s="14" t="s">
        <v>2</v>
      </c>
      <c r="B12" s="31"/>
      <c r="C12" s="26" t="s">
        <v>730</v>
      </c>
      <c r="D12" s="28" t="s">
        <v>829</v>
      </c>
    </row>
    <row r="13" spans="1:4" s="14" customFormat="1" ht="15" customHeight="1" x14ac:dyDescent="0.25">
      <c r="A13" s="14" t="s">
        <v>1406</v>
      </c>
      <c r="B13" s="31">
        <v>26213</v>
      </c>
      <c r="C13" s="27">
        <v>45229</v>
      </c>
      <c r="D13" s="23">
        <v>45239</v>
      </c>
    </row>
    <row r="14" spans="1:4" s="14" customFormat="1" ht="15" customHeight="1" x14ac:dyDescent="0.25">
      <c r="A14" s="14" t="s">
        <v>1407</v>
      </c>
      <c r="B14" s="31">
        <v>27212</v>
      </c>
      <c r="C14" s="27">
        <v>45230</v>
      </c>
      <c r="D14" s="23">
        <v>45233</v>
      </c>
    </row>
    <row r="15" spans="1:4" s="14" customFormat="1" ht="15" customHeight="1" x14ac:dyDescent="0.25">
      <c r="A15" s="14" t="s">
        <v>1408</v>
      </c>
      <c r="B15" s="31">
        <v>29362</v>
      </c>
      <c r="C15" s="27">
        <v>45230</v>
      </c>
      <c r="D15" s="23">
        <v>45233</v>
      </c>
    </row>
    <row r="16" spans="1:4" s="14" customFormat="1" ht="15" customHeight="1" x14ac:dyDescent="0.25">
      <c r="A16" s="14" t="s">
        <v>1409</v>
      </c>
      <c r="B16" s="31">
        <v>29745</v>
      </c>
      <c r="C16" s="27">
        <v>45230</v>
      </c>
      <c r="D16" s="23">
        <v>45233</v>
      </c>
    </row>
    <row r="17" spans="1:9" s="14" customFormat="1" ht="15" customHeight="1" x14ac:dyDescent="0.25">
      <c r="A17" s="14" t="s">
        <v>1410</v>
      </c>
      <c r="B17" s="31">
        <v>29853</v>
      </c>
      <c r="C17" s="27">
        <v>45230</v>
      </c>
      <c r="D17" s="23">
        <v>45233</v>
      </c>
    </row>
    <row r="18" spans="1:9" s="14" customFormat="1" ht="15" customHeight="1" x14ac:dyDescent="0.25">
      <c r="A18" s="14" t="s">
        <v>1411</v>
      </c>
      <c r="B18" s="31">
        <v>30992</v>
      </c>
      <c r="C18" s="27">
        <v>45211</v>
      </c>
      <c r="D18" s="23">
        <v>45236</v>
      </c>
    </row>
    <row r="19" spans="1:9" s="14" customFormat="1" ht="15" customHeight="1" x14ac:dyDescent="0.25">
      <c r="A19" s="14" t="s">
        <v>1412</v>
      </c>
      <c r="B19" s="31">
        <v>31367</v>
      </c>
      <c r="C19" s="27">
        <v>45230</v>
      </c>
      <c r="D19" s="23">
        <v>45233</v>
      </c>
    </row>
    <row r="20" spans="1:9" s="14" customFormat="1" ht="15" customHeight="1" x14ac:dyDescent="0.25">
      <c r="A20" s="14" t="s">
        <v>1413</v>
      </c>
      <c r="B20" s="31">
        <v>32634</v>
      </c>
      <c r="C20" s="27">
        <v>45230</v>
      </c>
      <c r="D20" s="23">
        <v>45233</v>
      </c>
    </row>
    <row r="21" spans="1:9" s="14" customFormat="1" ht="15" customHeight="1" x14ac:dyDescent="0.25">
      <c r="A21" s="14" t="s">
        <v>1414</v>
      </c>
      <c r="B21" s="31">
        <v>32986</v>
      </c>
      <c r="C21" s="27">
        <v>45201</v>
      </c>
      <c r="D21" s="23" t="s">
        <v>1420</v>
      </c>
    </row>
    <row r="22" spans="1:9" s="14" customFormat="1" ht="15" customHeight="1" x14ac:dyDescent="0.25">
      <c r="A22" s="14" t="s">
        <v>1415</v>
      </c>
      <c r="B22" s="31">
        <v>33251</v>
      </c>
      <c r="C22" s="27">
        <v>45230</v>
      </c>
      <c r="D22" s="23">
        <v>45233</v>
      </c>
    </row>
    <row r="23" spans="1:9" s="14" customFormat="1" ht="15" customHeight="1" x14ac:dyDescent="0.25">
      <c r="A23" s="14" t="s">
        <v>1416</v>
      </c>
      <c r="B23" s="31">
        <v>37491</v>
      </c>
      <c r="C23" s="27">
        <v>45229</v>
      </c>
      <c r="D23" s="23">
        <v>45238</v>
      </c>
    </row>
    <row r="24" spans="1:9" s="14" customFormat="1" ht="15" customHeight="1" x14ac:dyDescent="0.25">
      <c r="A24" s="14" t="s">
        <v>1417</v>
      </c>
      <c r="B24" s="31">
        <v>39448</v>
      </c>
      <c r="C24" s="27">
        <v>45230</v>
      </c>
      <c r="D24" s="23">
        <v>45238</v>
      </c>
    </row>
    <row r="25" spans="1:9" s="14" customFormat="1" ht="15" customHeight="1" x14ac:dyDescent="0.25">
      <c r="A25" s="14" t="s">
        <v>1418</v>
      </c>
      <c r="B25" s="31">
        <v>43734</v>
      </c>
      <c r="C25" s="27">
        <v>45201</v>
      </c>
      <c r="D25" s="23" t="s">
        <v>1421</v>
      </c>
    </row>
    <row r="26" spans="1:9" s="14" customFormat="1" ht="15" customHeight="1" x14ac:dyDescent="0.25">
      <c r="A26" s="14" t="s">
        <v>1419</v>
      </c>
      <c r="B26" s="31">
        <v>54025</v>
      </c>
      <c r="C26" s="27">
        <v>45229</v>
      </c>
      <c r="D26" s="23">
        <v>45238</v>
      </c>
    </row>
    <row r="27" spans="1:9" s="14" customFormat="1" ht="15" customHeight="1" x14ac:dyDescent="0.25">
      <c r="B27" s="31"/>
      <c r="C27" s="27"/>
      <c r="D27" s="23"/>
    </row>
    <row r="28" spans="1:9" s="14" customFormat="1" ht="15" customHeight="1" x14ac:dyDescent="0.25">
      <c r="B28" s="31"/>
      <c r="C28" s="27"/>
      <c r="D28" s="23"/>
    </row>
    <row r="29" spans="1:9" s="14" customFormat="1" ht="15" customHeight="1" x14ac:dyDescent="0.25">
      <c r="B29" s="31"/>
      <c r="C29" s="27"/>
      <c r="D29" s="23"/>
    </row>
    <row r="30" spans="1:9" s="14" customFormat="1" ht="15" customHeight="1" x14ac:dyDescent="0.25">
      <c r="B30" s="31">
        <f>SUM(B13:B29)</f>
        <v>478313</v>
      </c>
      <c r="C30" s="16"/>
      <c r="D30" s="21"/>
      <c r="E30" s="21"/>
      <c r="F30" s="21"/>
    </row>
    <row r="31" spans="1:9" s="16" customFormat="1" ht="15" customHeight="1" x14ac:dyDescent="0.25">
      <c r="A31" s="18" t="s">
        <v>1</v>
      </c>
      <c r="B31" s="19">
        <f>B30+B11</f>
        <v>478313</v>
      </c>
      <c r="D31" s="23"/>
      <c r="E31" s="21"/>
      <c r="F31" s="21"/>
      <c r="G31" s="21"/>
    </row>
    <row r="32" spans="1:9" s="16" customFormat="1" ht="15" customHeight="1" x14ac:dyDescent="0.25">
      <c r="A32" s="14" t="s">
        <v>0</v>
      </c>
      <c r="B32" s="15">
        <f>B31-B7</f>
        <v>0</v>
      </c>
      <c r="D32" s="23"/>
      <c r="E32" s="14"/>
      <c r="F32" s="14"/>
      <c r="G32" s="14"/>
      <c r="H32" s="14"/>
      <c r="I32" s="14"/>
    </row>
    <row r="33" spans="1:13" s="16" customFormat="1" ht="15" customHeight="1" x14ac:dyDescent="0.3">
      <c r="A33" s="1"/>
      <c r="B33" s="3"/>
      <c r="C33" s="2"/>
      <c r="D33" s="23"/>
      <c r="E33" s="14"/>
      <c r="F33" s="14"/>
      <c r="G33" s="14"/>
      <c r="I33" s="14"/>
      <c r="M33" s="14" t="s">
        <v>1164</v>
      </c>
    </row>
    <row r="34" spans="1:13" s="16" customFormat="1" ht="15" customHeight="1" x14ac:dyDescent="0.3">
      <c r="A34" s="1"/>
      <c r="B34" s="3"/>
      <c r="C34" s="2"/>
      <c r="D34" s="29"/>
      <c r="E34" s="14"/>
      <c r="F34" s="14"/>
      <c r="G34" s="14"/>
      <c r="I34" s="14"/>
      <c r="M34" s="14" t="s">
        <v>1165</v>
      </c>
    </row>
    <row r="35" spans="1:13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13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13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13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</sheetData>
  <pageMargins left="0.7" right="0.7" top="0.75" bottom="0.75" header="0.3" footer="0.3"/>
  <pageSetup scale="95" fitToHeight="0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95481-9838-4336-8BB0-CCFAA5397EF1}">
  <sheetPr>
    <pageSetUpPr fitToPage="1"/>
  </sheetPr>
  <dimension ref="A1:M27"/>
  <sheetViews>
    <sheetView workbookViewId="0">
      <selection activeCell="D15" sqref="D15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0.140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45260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7956551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-7914985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-7914985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41566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1422</v>
      </c>
      <c r="B9" s="31">
        <v>-35154</v>
      </c>
      <c r="C9" s="27">
        <v>45257</v>
      </c>
      <c r="D9" s="23">
        <v>45264</v>
      </c>
    </row>
    <row r="10" spans="1:4" s="14" customFormat="1" ht="15" customHeight="1" x14ac:dyDescent="0.25">
      <c r="B10" s="31"/>
      <c r="C10" s="27"/>
      <c r="D10" s="17"/>
    </row>
    <row r="11" spans="1:4" s="14" customFormat="1" ht="15" customHeight="1" x14ac:dyDescent="0.25">
      <c r="B11" s="31">
        <f>SUM(B9:B10)</f>
        <v>-35154</v>
      </c>
      <c r="C11" s="16"/>
      <c r="D11" s="23"/>
    </row>
    <row r="12" spans="1:4" s="14" customFormat="1" ht="15" customHeight="1" x14ac:dyDescent="0.25">
      <c r="A12" s="14" t="s">
        <v>2</v>
      </c>
      <c r="B12" s="31"/>
      <c r="C12" s="26" t="s">
        <v>730</v>
      </c>
      <c r="D12" s="28" t="s">
        <v>829</v>
      </c>
    </row>
    <row r="13" spans="1:4" s="14" customFormat="1" ht="15" customHeight="1" x14ac:dyDescent="0.25">
      <c r="A13" s="14" t="s">
        <v>1414</v>
      </c>
      <c r="B13" s="31">
        <v>32986</v>
      </c>
      <c r="C13" s="27">
        <v>45201</v>
      </c>
      <c r="D13" s="23" t="s">
        <v>1423</v>
      </c>
    </row>
    <row r="14" spans="1:4" s="14" customFormat="1" ht="15" customHeight="1" x14ac:dyDescent="0.25">
      <c r="A14" s="14" t="s">
        <v>1418</v>
      </c>
      <c r="B14" s="31">
        <v>43734</v>
      </c>
      <c r="C14" s="27">
        <v>45201</v>
      </c>
      <c r="D14" s="23" t="s">
        <v>1424</v>
      </c>
    </row>
    <row r="15" spans="1:4" s="14" customFormat="1" ht="15" customHeight="1" x14ac:dyDescent="0.25">
      <c r="B15" s="31"/>
      <c r="C15" s="27"/>
      <c r="D15" s="23"/>
    </row>
    <row r="16" spans="1:4" s="14" customFormat="1" ht="15" customHeight="1" x14ac:dyDescent="0.25">
      <c r="B16" s="31"/>
      <c r="C16" s="27"/>
      <c r="D16" s="23"/>
    </row>
    <row r="17" spans="1:13" s="14" customFormat="1" ht="15" customHeight="1" x14ac:dyDescent="0.25">
      <c r="B17" s="31">
        <f>SUM(B13:B16)</f>
        <v>76720</v>
      </c>
      <c r="C17" s="16"/>
      <c r="D17" s="21"/>
      <c r="E17" s="21"/>
      <c r="F17" s="21"/>
    </row>
    <row r="18" spans="1:13" s="16" customFormat="1" ht="15" customHeight="1" x14ac:dyDescent="0.25">
      <c r="A18" s="18" t="s">
        <v>1</v>
      </c>
      <c r="B18" s="19">
        <f>B17+B11</f>
        <v>41566</v>
      </c>
      <c r="D18" s="23"/>
      <c r="E18" s="21"/>
      <c r="F18" s="21"/>
      <c r="G18" s="21"/>
    </row>
    <row r="19" spans="1:13" s="16" customFormat="1" ht="15" customHeight="1" x14ac:dyDescent="0.25">
      <c r="A19" s="14" t="s">
        <v>0</v>
      </c>
      <c r="B19" s="15">
        <f>B18-B7</f>
        <v>0</v>
      </c>
      <c r="D19" s="23"/>
      <c r="E19" s="14"/>
      <c r="F19" s="14"/>
      <c r="G19" s="14"/>
      <c r="H19" s="14"/>
      <c r="I19" s="14"/>
    </row>
    <row r="20" spans="1:13" s="16" customFormat="1" ht="15" customHeight="1" x14ac:dyDescent="0.3">
      <c r="A20" s="1"/>
      <c r="B20" s="3"/>
      <c r="C20" s="2"/>
      <c r="D20" s="23"/>
      <c r="E20" s="14"/>
      <c r="F20" s="14"/>
      <c r="G20" s="14"/>
      <c r="I20" s="14"/>
      <c r="M20" s="14" t="s">
        <v>1164</v>
      </c>
    </row>
    <row r="21" spans="1:13" s="16" customFormat="1" ht="15" customHeight="1" x14ac:dyDescent="0.3">
      <c r="A21" s="1"/>
      <c r="B21" s="3"/>
      <c r="C21" s="2"/>
      <c r="D21" s="29"/>
      <c r="E21" s="14"/>
      <c r="F21" s="14"/>
      <c r="G21" s="14"/>
      <c r="I21" s="14"/>
      <c r="M21" s="14" t="s">
        <v>1165</v>
      </c>
    </row>
    <row r="22" spans="1:13" s="2" customFormat="1" ht="20.100000000000001" customHeight="1" x14ac:dyDescent="0.3">
      <c r="A22"/>
      <c r="B22" s="10"/>
      <c r="D22" s="29"/>
      <c r="E22" s="1"/>
      <c r="F22" s="1"/>
      <c r="G22" s="1"/>
      <c r="H22" s="1"/>
      <c r="I22" s="1"/>
    </row>
    <row r="23" spans="1:13" s="2" customFormat="1" ht="20.100000000000001" customHeight="1" x14ac:dyDescent="0.3">
      <c r="A23"/>
      <c r="B23" s="10"/>
      <c r="D23" s="29"/>
      <c r="E23" s="1"/>
      <c r="F23" s="1"/>
      <c r="G23" s="1"/>
      <c r="H23" s="1"/>
      <c r="I23" s="1"/>
    </row>
    <row r="24" spans="1:13" s="2" customFormat="1" ht="20.100000000000001" customHeight="1" x14ac:dyDescent="0.3">
      <c r="A24"/>
      <c r="B24" s="10"/>
      <c r="D24" s="29"/>
      <c r="E24" s="1"/>
      <c r="F24" s="1"/>
      <c r="G24" s="1"/>
      <c r="H24" s="1"/>
      <c r="I24" s="1"/>
    </row>
    <row r="25" spans="1:13" s="2" customFormat="1" ht="20.100000000000001" customHeight="1" x14ac:dyDescent="0.3">
      <c r="A25"/>
      <c r="B25" s="10"/>
      <c r="D25" s="29"/>
      <c r="E25" s="1"/>
      <c r="F25" s="1"/>
      <c r="G25" s="1"/>
      <c r="H25" s="1"/>
      <c r="I25" s="1"/>
    </row>
    <row r="26" spans="1:13" s="2" customFormat="1" ht="20.100000000000001" customHeight="1" x14ac:dyDescent="0.3">
      <c r="A26"/>
      <c r="B26" s="10"/>
      <c r="D26" s="29"/>
      <c r="E26" s="1"/>
      <c r="F26" s="1"/>
      <c r="G26" s="1"/>
      <c r="H26" s="1"/>
      <c r="I26" s="1"/>
    </row>
    <row r="27" spans="1:13" s="2" customFormat="1" ht="20.100000000000001" customHeight="1" x14ac:dyDescent="0.3">
      <c r="A27"/>
      <c r="B27" s="10"/>
      <c r="D27" s="29"/>
      <c r="E27" s="1"/>
      <c r="F27" s="1"/>
      <c r="G27" s="1"/>
      <c r="H27" s="1"/>
      <c r="I27" s="1"/>
    </row>
  </sheetData>
  <pageMargins left="0.7" right="0.7" top="0.75" bottom="0.75" header="0.3" footer="0.3"/>
  <pageSetup scale="95" fitToHeight="0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545B-C1C0-40B2-897F-B9C69CE99476}">
  <sheetPr>
    <pageSetUpPr fitToPage="1"/>
  </sheetPr>
  <dimension ref="A1:M37"/>
  <sheetViews>
    <sheetView workbookViewId="0">
      <selection activeCell="H29" sqref="H29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0.140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45291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6466619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-6549338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-6549338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-82719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1425</v>
      </c>
      <c r="B9" s="31">
        <v>-29745</v>
      </c>
      <c r="C9" s="27">
        <v>45274</v>
      </c>
      <c r="D9" s="23">
        <v>45293</v>
      </c>
    </row>
    <row r="10" spans="1:4" s="14" customFormat="1" ht="15" customHeight="1" x14ac:dyDescent="0.25">
      <c r="A10" s="14" t="s">
        <v>1426</v>
      </c>
      <c r="B10" s="31">
        <v>-38105</v>
      </c>
      <c r="C10" s="27">
        <v>45287</v>
      </c>
      <c r="D10" s="23">
        <v>45293</v>
      </c>
    </row>
    <row r="11" spans="1:4" s="14" customFormat="1" ht="15" customHeight="1" x14ac:dyDescent="0.25">
      <c r="A11" s="14" t="s">
        <v>1427</v>
      </c>
      <c r="B11" s="31">
        <v>-38426</v>
      </c>
      <c r="C11" s="27">
        <v>45287</v>
      </c>
      <c r="D11" s="23">
        <v>45293</v>
      </c>
    </row>
    <row r="12" spans="1:4" s="14" customFormat="1" ht="15" customHeight="1" x14ac:dyDescent="0.25">
      <c r="A12" s="14" t="s">
        <v>1428</v>
      </c>
      <c r="B12" s="31">
        <v>-38727</v>
      </c>
      <c r="C12" s="27">
        <v>45287</v>
      </c>
      <c r="D12" s="23">
        <v>45293</v>
      </c>
    </row>
    <row r="13" spans="1:4" s="14" customFormat="1" ht="15" customHeight="1" x14ac:dyDescent="0.25">
      <c r="A13" s="14" t="s">
        <v>1429</v>
      </c>
      <c r="B13" s="31">
        <v>-38773</v>
      </c>
      <c r="C13" s="27">
        <v>45286</v>
      </c>
      <c r="D13" s="23">
        <v>45293</v>
      </c>
    </row>
    <row r="14" spans="1:4" s="14" customFormat="1" ht="15" customHeight="1" x14ac:dyDescent="0.25">
      <c r="A14" s="14" t="s">
        <v>1430</v>
      </c>
      <c r="B14" s="31">
        <v>-44621</v>
      </c>
      <c r="C14" s="27">
        <v>45286</v>
      </c>
      <c r="D14" s="23">
        <v>45293</v>
      </c>
    </row>
    <row r="15" spans="1:4" s="14" customFormat="1" ht="15" customHeight="1" x14ac:dyDescent="0.25">
      <c r="B15" s="31"/>
      <c r="C15" s="27"/>
      <c r="D15" s="23"/>
    </row>
    <row r="16" spans="1:4" s="14" customFormat="1" ht="15" customHeight="1" x14ac:dyDescent="0.25">
      <c r="B16" s="31"/>
      <c r="C16" s="27"/>
      <c r="D16" s="23"/>
    </row>
    <row r="17" spans="1:13" s="14" customFormat="1" ht="15" customHeight="1" x14ac:dyDescent="0.25">
      <c r="B17" s="31"/>
      <c r="C17" s="27"/>
      <c r="D17" s="17"/>
    </row>
    <row r="18" spans="1:13" s="14" customFormat="1" ht="15" customHeight="1" x14ac:dyDescent="0.25">
      <c r="B18" s="31">
        <f>SUM(B9:B17)</f>
        <v>-228397</v>
      </c>
      <c r="C18" s="16"/>
      <c r="D18" s="23"/>
    </row>
    <row r="19" spans="1:13" s="14" customFormat="1" ht="15" customHeight="1" x14ac:dyDescent="0.25">
      <c r="A19" s="14" t="s">
        <v>2</v>
      </c>
      <c r="B19" s="31"/>
      <c r="C19" s="26" t="s">
        <v>730</v>
      </c>
      <c r="D19" s="28" t="s">
        <v>829</v>
      </c>
    </row>
    <row r="20" spans="1:13" s="14" customFormat="1" ht="15" customHeight="1" x14ac:dyDescent="0.25">
      <c r="A20" s="14" t="s">
        <v>1431</v>
      </c>
      <c r="B20" s="31">
        <v>30532</v>
      </c>
      <c r="C20" s="27">
        <v>45286</v>
      </c>
      <c r="D20" s="23">
        <v>45295</v>
      </c>
    </row>
    <row r="21" spans="1:13" s="14" customFormat="1" ht="15" customHeight="1" x14ac:dyDescent="0.25">
      <c r="A21" s="14" t="s">
        <v>1414</v>
      </c>
      <c r="B21" s="31">
        <v>32986</v>
      </c>
      <c r="C21" s="27" t="s">
        <v>1433</v>
      </c>
      <c r="D21" s="23"/>
    </row>
    <row r="22" spans="1:13" s="14" customFormat="1" ht="15" customHeight="1" x14ac:dyDescent="0.25">
      <c r="A22" s="14" t="s">
        <v>1432</v>
      </c>
      <c r="B22" s="31">
        <v>38426</v>
      </c>
      <c r="C22" s="27">
        <v>45286</v>
      </c>
      <c r="D22" s="23">
        <v>45295</v>
      </c>
    </row>
    <row r="23" spans="1:13" s="14" customFormat="1" ht="15" customHeight="1" x14ac:dyDescent="0.25">
      <c r="A23" s="14" t="s">
        <v>1418</v>
      </c>
      <c r="B23" s="31">
        <v>43734</v>
      </c>
      <c r="C23" s="27" t="s">
        <v>1434</v>
      </c>
      <c r="D23" s="23"/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/>
      <c r="C25" s="27"/>
      <c r="D25" s="23"/>
    </row>
    <row r="26" spans="1:13" s="14" customFormat="1" ht="15" customHeight="1" x14ac:dyDescent="0.25">
      <c r="B26" s="31"/>
      <c r="C26" s="27"/>
      <c r="D26" s="23"/>
    </row>
    <row r="27" spans="1:13" s="14" customFormat="1" ht="15" customHeight="1" x14ac:dyDescent="0.25">
      <c r="B27" s="31">
        <f>SUM(B20:B26)</f>
        <v>145678</v>
      </c>
      <c r="C27" s="16"/>
      <c r="D27" s="21"/>
      <c r="E27" s="21"/>
      <c r="F27" s="21"/>
    </row>
    <row r="28" spans="1:13" s="16" customFormat="1" ht="15" customHeight="1" x14ac:dyDescent="0.25">
      <c r="A28" s="18" t="s">
        <v>1</v>
      </c>
      <c r="B28" s="19">
        <f>B27+B18</f>
        <v>-82719</v>
      </c>
      <c r="D28" s="23"/>
      <c r="E28" s="21"/>
      <c r="F28" s="21"/>
      <c r="G28" s="21"/>
    </row>
    <row r="29" spans="1:13" s="16" customFormat="1" ht="15" customHeight="1" x14ac:dyDescent="0.25">
      <c r="A29" s="14" t="s">
        <v>0</v>
      </c>
      <c r="B29" s="15">
        <f>B28-B7</f>
        <v>0</v>
      </c>
      <c r="D29" s="23"/>
      <c r="E29" s="14"/>
      <c r="F29" s="14"/>
      <c r="G29" s="14"/>
      <c r="H29" s="14"/>
      <c r="I29" s="14"/>
    </row>
    <row r="30" spans="1:13" s="16" customFormat="1" ht="15" customHeight="1" x14ac:dyDescent="0.3">
      <c r="A30" s="1"/>
      <c r="B30" s="3"/>
      <c r="C30" s="2"/>
      <c r="D30" s="23"/>
      <c r="E30" s="14"/>
      <c r="F30" s="14"/>
      <c r="G30" s="14"/>
      <c r="I30" s="14"/>
      <c r="M30" s="14" t="s">
        <v>1164</v>
      </c>
    </row>
    <row r="31" spans="1:13" s="16" customFormat="1" ht="15" customHeight="1" x14ac:dyDescent="0.3">
      <c r="A31" s="1"/>
      <c r="B31" s="3"/>
      <c r="C31" s="2"/>
      <c r="D31" s="29"/>
      <c r="E31" s="14"/>
      <c r="F31" s="14"/>
      <c r="G31" s="14"/>
      <c r="I31" s="14"/>
      <c r="M31" s="14" t="s">
        <v>1165</v>
      </c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</sheetData>
  <pageMargins left="0.7" right="0.7" top="0.75" bottom="0.75" header="0.3" footer="0.3"/>
  <pageSetup scale="95" fitToHeight="0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9017-9C36-4C60-8233-BD47948FABC7}">
  <sheetPr>
    <pageSetUpPr fitToPage="1"/>
  </sheetPr>
  <dimension ref="A1:M35"/>
  <sheetViews>
    <sheetView workbookViewId="0">
      <selection activeCell="D23" sqref="D23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0.140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45322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6575428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-6442931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-6442931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132497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1435</v>
      </c>
      <c r="B9" s="31">
        <v>-26045</v>
      </c>
      <c r="C9" s="27">
        <v>45322</v>
      </c>
      <c r="D9" s="23">
        <v>45323</v>
      </c>
    </row>
    <row r="10" spans="1:4" s="14" customFormat="1" ht="15" customHeight="1" x14ac:dyDescent="0.25">
      <c r="A10" s="14" t="s">
        <v>1445</v>
      </c>
      <c r="B10" s="31">
        <v>-32778</v>
      </c>
      <c r="C10" s="27">
        <v>45322</v>
      </c>
      <c r="D10" s="23">
        <v>45323</v>
      </c>
    </row>
    <row r="11" spans="1:4" s="14" customFormat="1" ht="15" customHeight="1" x14ac:dyDescent="0.25">
      <c r="A11" s="14" t="s">
        <v>1436</v>
      </c>
      <c r="B11" s="31">
        <v>-44200</v>
      </c>
      <c r="C11" s="27">
        <v>45303</v>
      </c>
      <c r="D11" s="23">
        <v>45334</v>
      </c>
    </row>
    <row r="12" spans="1:4" s="14" customFormat="1" ht="15" customHeight="1" x14ac:dyDescent="0.25">
      <c r="B12" s="31"/>
      <c r="C12" s="27"/>
      <c r="D12" s="23"/>
    </row>
    <row r="13" spans="1:4" s="14" customFormat="1" ht="15" customHeight="1" x14ac:dyDescent="0.25">
      <c r="B13" s="31"/>
      <c r="C13" s="27"/>
      <c r="D13" s="17"/>
    </row>
    <row r="14" spans="1:4" s="14" customFormat="1" ht="15" customHeight="1" x14ac:dyDescent="0.25">
      <c r="B14" s="31">
        <f>SUM(B9:B13)</f>
        <v>-103023</v>
      </c>
      <c r="C14" s="16"/>
      <c r="D14" s="23"/>
    </row>
    <row r="15" spans="1:4" s="14" customFormat="1" ht="15" customHeight="1" x14ac:dyDescent="0.25">
      <c r="A15" s="14" t="s">
        <v>2</v>
      </c>
      <c r="B15" s="31"/>
      <c r="C15" s="26" t="s">
        <v>730</v>
      </c>
      <c r="D15" s="28" t="s">
        <v>829</v>
      </c>
    </row>
    <row r="16" spans="1:4" s="14" customFormat="1" ht="15" customHeight="1" x14ac:dyDescent="0.25">
      <c r="A16" s="14" t="s">
        <v>1437</v>
      </c>
      <c r="B16" s="31">
        <v>26143</v>
      </c>
      <c r="C16" s="27">
        <v>45313</v>
      </c>
      <c r="D16" s="23">
        <v>45324</v>
      </c>
    </row>
    <row r="17" spans="1:13" s="14" customFormat="1" ht="15" customHeight="1" x14ac:dyDescent="0.25">
      <c r="A17" s="14" t="s">
        <v>1438</v>
      </c>
      <c r="B17" s="31">
        <v>27610</v>
      </c>
      <c r="C17" s="27">
        <v>45313</v>
      </c>
      <c r="D17" s="23">
        <v>45324</v>
      </c>
    </row>
    <row r="18" spans="1:13" s="14" customFormat="1" ht="15" customHeight="1" x14ac:dyDescent="0.25">
      <c r="A18" s="14" t="s">
        <v>1439</v>
      </c>
      <c r="B18" s="31">
        <v>27620</v>
      </c>
      <c r="C18" s="27">
        <v>45313</v>
      </c>
      <c r="D18" s="23" t="s">
        <v>1446</v>
      </c>
    </row>
    <row r="19" spans="1:13" s="14" customFormat="1" ht="15" customHeight="1" x14ac:dyDescent="0.25">
      <c r="A19" s="14" t="s">
        <v>1440</v>
      </c>
      <c r="B19" s="31">
        <v>27894</v>
      </c>
      <c r="C19" s="27">
        <v>45313</v>
      </c>
      <c r="D19" s="23">
        <v>45336</v>
      </c>
    </row>
    <row r="20" spans="1:13" s="14" customFormat="1" ht="15" customHeight="1" x14ac:dyDescent="0.25">
      <c r="A20" s="14" t="s">
        <v>1441</v>
      </c>
      <c r="B20" s="31">
        <v>29445</v>
      </c>
      <c r="C20" s="27">
        <v>45313</v>
      </c>
      <c r="D20" s="23">
        <v>45324</v>
      </c>
    </row>
    <row r="21" spans="1:13" s="14" customFormat="1" ht="15" customHeight="1" x14ac:dyDescent="0.25">
      <c r="A21" s="14" t="s">
        <v>1442</v>
      </c>
      <c r="B21" s="31">
        <v>30306</v>
      </c>
      <c r="C21" s="27">
        <v>45322</v>
      </c>
      <c r="D21" s="23" t="s">
        <v>1447</v>
      </c>
    </row>
    <row r="22" spans="1:13" s="14" customFormat="1" ht="15" customHeight="1" x14ac:dyDescent="0.25">
      <c r="A22" s="14" t="s">
        <v>1443</v>
      </c>
      <c r="B22" s="31">
        <v>31367</v>
      </c>
      <c r="C22" s="27">
        <v>45315</v>
      </c>
      <c r="D22" s="23" t="s">
        <v>1447</v>
      </c>
    </row>
    <row r="23" spans="1:13" s="14" customFormat="1" ht="15" customHeight="1" x14ac:dyDescent="0.25">
      <c r="A23" s="14" t="s">
        <v>1444</v>
      </c>
      <c r="B23" s="31">
        <v>35135</v>
      </c>
      <c r="C23" s="27">
        <v>45320</v>
      </c>
      <c r="D23" s="23">
        <v>45336</v>
      </c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>
        <f>SUM(B16:B24)</f>
        <v>235520</v>
      </c>
      <c r="C25" s="16"/>
      <c r="D25" s="21"/>
      <c r="E25" s="21"/>
      <c r="F25" s="21"/>
    </row>
    <row r="26" spans="1:13" s="16" customFormat="1" ht="15" customHeight="1" x14ac:dyDescent="0.25">
      <c r="A26" s="18" t="s">
        <v>1</v>
      </c>
      <c r="B26" s="19">
        <f>B25+B14</f>
        <v>132497</v>
      </c>
      <c r="D26" s="23"/>
      <c r="E26" s="21"/>
      <c r="F26" s="21"/>
      <c r="G26" s="21"/>
    </row>
    <row r="27" spans="1:13" s="16" customFormat="1" ht="15" customHeight="1" x14ac:dyDescent="0.25">
      <c r="A27" s="14" t="s">
        <v>0</v>
      </c>
      <c r="B27" s="15">
        <f>B26-B7</f>
        <v>0</v>
      </c>
      <c r="D27" s="23"/>
      <c r="E27" s="14"/>
      <c r="F27" s="14"/>
      <c r="G27" s="14"/>
      <c r="H27" s="14"/>
      <c r="I27" s="14"/>
    </row>
    <row r="28" spans="1:13" s="16" customFormat="1" ht="15" customHeight="1" x14ac:dyDescent="0.3">
      <c r="A28" s="1"/>
      <c r="B28" s="3"/>
      <c r="C28" s="2"/>
      <c r="D28" s="23"/>
      <c r="E28" s="14"/>
      <c r="F28" s="14"/>
      <c r="G28" s="14"/>
      <c r="I28" s="14"/>
      <c r="M28" s="14" t="s">
        <v>1164</v>
      </c>
    </row>
    <row r="29" spans="1:13" s="16" customFormat="1" ht="15" customHeight="1" x14ac:dyDescent="0.3">
      <c r="A29" s="1"/>
      <c r="B29" s="3"/>
      <c r="C29" s="2"/>
      <c r="D29" s="29"/>
      <c r="E29" s="14"/>
      <c r="F29" s="14"/>
      <c r="G29" s="14"/>
      <c r="I29" s="14"/>
      <c r="M29" s="14" t="s">
        <v>1165</v>
      </c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</sheetData>
  <pageMargins left="0.7" right="0.7" top="0.75" bottom="0.75" header="0.3" footer="0.3"/>
  <pageSetup scale="95" fitToHeight="0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540C-A366-4217-9D92-2E73A70A3B9D}">
  <sheetPr>
    <pageSetUpPr fitToPage="1"/>
  </sheetPr>
  <dimension ref="A1:M38"/>
  <sheetViews>
    <sheetView workbookViewId="0">
      <selection activeCell="F20" sqref="F20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45351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7622516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-7423364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-7423364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199152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1448</v>
      </c>
      <c r="B9" s="31">
        <v>-31318</v>
      </c>
      <c r="C9" s="27">
        <v>45349</v>
      </c>
      <c r="D9" s="23">
        <v>45355</v>
      </c>
    </row>
    <row r="10" spans="1:4" s="14" customFormat="1" ht="15" customHeight="1" x14ac:dyDescent="0.25">
      <c r="A10" s="14" t="s">
        <v>1449</v>
      </c>
      <c r="B10" s="31">
        <v>-35343</v>
      </c>
      <c r="C10" s="27">
        <v>45349</v>
      </c>
      <c r="D10" s="23">
        <v>45355</v>
      </c>
    </row>
    <row r="11" spans="1:4" s="14" customFormat="1" ht="15" customHeight="1" x14ac:dyDescent="0.25">
      <c r="A11" s="14" t="s">
        <v>1450</v>
      </c>
      <c r="B11" s="31">
        <v>-44081</v>
      </c>
      <c r="C11" s="27">
        <v>45349</v>
      </c>
      <c r="D11" s="23">
        <v>45355</v>
      </c>
    </row>
    <row r="12" spans="1:4" s="14" customFormat="1" ht="15" customHeight="1" x14ac:dyDescent="0.25">
      <c r="B12" s="31"/>
      <c r="C12" s="27"/>
      <c r="D12" s="23"/>
    </row>
    <row r="13" spans="1:4" s="14" customFormat="1" ht="15" customHeight="1" x14ac:dyDescent="0.25">
      <c r="B13" s="31"/>
      <c r="C13" s="27"/>
      <c r="D13" s="17"/>
    </row>
    <row r="14" spans="1:4" s="14" customFormat="1" ht="15" customHeight="1" x14ac:dyDescent="0.25">
      <c r="B14" s="31">
        <f>SUM(B9:B13)</f>
        <v>-110742</v>
      </c>
      <c r="C14" s="16"/>
      <c r="D14" s="23"/>
    </row>
    <row r="15" spans="1:4" s="14" customFormat="1" ht="15" customHeight="1" x14ac:dyDescent="0.25">
      <c r="A15" s="14" t="s">
        <v>2</v>
      </c>
      <c r="B15" s="31"/>
      <c r="C15" s="26" t="s">
        <v>730</v>
      </c>
      <c r="D15" s="28" t="s">
        <v>829</v>
      </c>
    </row>
    <row r="16" spans="1:4" s="14" customFormat="1" ht="15" customHeight="1" x14ac:dyDescent="0.25">
      <c r="A16" s="14" t="s">
        <v>1451</v>
      </c>
      <c r="B16" s="31">
        <v>25745</v>
      </c>
      <c r="C16" s="27">
        <v>45323</v>
      </c>
      <c r="D16" s="23">
        <v>45359</v>
      </c>
    </row>
    <row r="17" spans="1:13" s="14" customFormat="1" ht="15" customHeight="1" x14ac:dyDescent="0.25">
      <c r="A17" s="14" t="s">
        <v>1439</v>
      </c>
      <c r="B17" s="31">
        <v>27620</v>
      </c>
      <c r="C17" s="27">
        <v>45313</v>
      </c>
      <c r="D17" s="23" t="s">
        <v>1458</v>
      </c>
    </row>
    <row r="18" spans="1:13" s="14" customFormat="1" ht="15" customHeight="1" x14ac:dyDescent="0.25">
      <c r="A18" s="14" t="s">
        <v>1442</v>
      </c>
      <c r="B18" s="31">
        <v>30306</v>
      </c>
      <c r="C18" s="27">
        <v>45322</v>
      </c>
      <c r="D18" s="23" t="s">
        <v>1460</v>
      </c>
    </row>
    <row r="19" spans="1:13" s="14" customFormat="1" ht="15" customHeight="1" x14ac:dyDescent="0.25">
      <c r="A19" s="14" t="s">
        <v>1452</v>
      </c>
      <c r="B19" s="31">
        <v>30640</v>
      </c>
      <c r="C19" s="27">
        <v>45342</v>
      </c>
      <c r="D19" s="23">
        <v>45362</v>
      </c>
    </row>
    <row r="20" spans="1:13" s="14" customFormat="1" ht="15" customHeight="1" x14ac:dyDescent="0.25">
      <c r="A20" s="14" t="s">
        <v>1453</v>
      </c>
      <c r="B20" s="31">
        <v>30640</v>
      </c>
      <c r="C20" s="27">
        <v>45348</v>
      </c>
      <c r="D20" s="23">
        <v>45362</v>
      </c>
    </row>
    <row r="21" spans="1:13" s="14" customFormat="1" ht="15" customHeight="1" x14ac:dyDescent="0.25">
      <c r="A21" s="14" t="s">
        <v>1454</v>
      </c>
      <c r="B21" s="31">
        <v>31240</v>
      </c>
      <c r="C21" s="27">
        <v>45342</v>
      </c>
      <c r="D21" s="23">
        <v>45362</v>
      </c>
    </row>
    <row r="22" spans="1:13" s="14" customFormat="1" ht="15" customHeight="1" x14ac:dyDescent="0.25">
      <c r="A22" s="14" t="s">
        <v>1443</v>
      </c>
      <c r="B22" s="31">
        <v>31367</v>
      </c>
      <c r="C22" s="27">
        <v>45315</v>
      </c>
      <c r="D22" s="23" t="s">
        <v>1459</v>
      </c>
    </row>
    <row r="23" spans="1:13" s="14" customFormat="1" ht="15" customHeight="1" x14ac:dyDescent="0.25">
      <c r="A23" s="14" t="s">
        <v>1455</v>
      </c>
      <c r="B23" s="31">
        <v>31367</v>
      </c>
      <c r="C23" s="27">
        <v>45348</v>
      </c>
      <c r="D23" s="23">
        <v>45355</v>
      </c>
    </row>
    <row r="24" spans="1:13" s="14" customFormat="1" ht="15" customHeight="1" x14ac:dyDescent="0.25">
      <c r="A24" s="14" t="s">
        <v>1456</v>
      </c>
      <c r="B24" s="31">
        <v>32497</v>
      </c>
      <c r="C24" s="27">
        <v>45350</v>
      </c>
      <c r="D24" s="23">
        <v>45355</v>
      </c>
    </row>
    <row r="25" spans="1:13" s="14" customFormat="1" ht="15" customHeight="1" x14ac:dyDescent="0.25">
      <c r="A25" s="14" t="s">
        <v>1457</v>
      </c>
      <c r="B25" s="45">
        <v>38472</v>
      </c>
      <c r="C25" s="27">
        <v>45350</v>
      </c>
      <c r="D25" s="23">
        <v>45355</v>
      </c>
    </row>
    <row r="26" spans="1:13" s="14" customFormat="1" ht="15" customHeight="1" x14ac:dyDescent="0.25">
      <c r="B26" s="31"/>
      <c r="C26" s="27"/>
      <c r="D26" s="23"/>
    </row>
    <row r="27" spans="1:13" s="14" customFormat="1" ht="15" customHeight="1" x14ac:dyDescent="0.25">
      <c r="B27" s="31"/>
      <c r="C27" s="27"/>
      <c r="D27" s="23"/>
    </row>
    <row r="28" spans="1:13" s="14" customFormat="1" ht="15" customHeight="1" x14ac:dyDescent="0.25">
      <c r="B28" s="31">
        <f>SUM(B16:B27)</f>
        <v>309894</v>
      </c>
      <c r="C28" s="16"/>
      <c r="D28" s="21"/>
      <c r="E28" s="21"/>
      <c r="F28" s="21"/>
    </row>
    <row r="29" spans="1:13" s="16" customFormat="1" ht="15" customHeight="1" x14ac:dyDescent="0.25">
      <c r="A29" s="18" t="s">
        <v>1</v>
      </c>
      <c r="B29" s="19">
        <f>B28+B14</f>
        <v>199152</v>
      </c>
      <c r="D29" s="23"/>
      <c r="E29" s="21"/>
      <c r="F29" s="21"/>
      <c r="G29" s="21"/>
    </row>
    <row r="30" spans="1:13" s="16" customFormat="1" ht="15" customHeight="1" x14ac:dyDescent="0.25">
      <c r="A30" s="14" t="s">
        <v>0</v>
      </c>
      <c r="B30" s="15">
        <f>B29-B7</f>
        <v>0</v>
      </c>
      <c r="D30" s="23"/>
      <c r="E30" s="14"/>
      <c r="F30" s="14"/>
      <c r="G30" s="14"/>
      <c r="H30" s="14"/>
      <c r="I30" s="14"/>
    </row>
    <row r="31" spans="1:13" s="16" customFormat="1" ht="15" customHeight="1" x14ac:dyDescent="0.3">
      <c r="A31" s="1"/>
      <c r="B31" s="3"/>
      <c r="C31" s="2"/>
      <c r="D31" s="23"/>
      <c r="E31" s="14"/>
      <c r="F31" s="14"/>
      <c r="G31" s="14"/>
      <c r="I31" s="14"/>
      <c r="M31" s="14" t="s">
        <v>1164</v>
      </c>
    </row>
    <row r="32" spans="1:13" s="16" customFormat="1" ht="15" customHeight="1" x14ac:dyDescent="0.3">
      <c r="A32" s="1"/>
      <c r="B32" s="3"/>
      <c r="C32" s="2"/>
      <c r="D32" s="29"/>
      <c r="E32" s="14"/>
      <c r="F32" s="14"/>
      <c r="G32" s="14"/>
      <c r="I32" s="14"/>
      <c r="M32" s="14" t="s">
        <v>1165</v>
      </c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9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</sheetData>
  <pageMargins left="0.7" right="0.7" top="0.75" bottom="0.75" header="0.3" footer="0.3"/>
  <pageSetup scale="88" fitToHeight="0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F508-539C-41BD-AB6A-7A9DAAE40D77}">
  <sheetPr>
    <pageSetUpPr fitToPage="1"/>
  </sheetPr>
  <dimension ref="A1:M47"/>
  <sheetViews>
    <sheetView topLeftCell="A4" workbookViewId="0">
      <selection activeCell="D36" sqref="D36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45382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7201763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-7029164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-7029164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172599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1461</v>
      </c>
      <c r="B9" s="31">
        <v>-30692</v>
      </c>
      <c r="C9" s="27">
        <v>45377</v>
      </c>
      <c r="D9" s="23">
        <v>45383</v>
      </c>
    </row>
    <row r="10" spans="1:4" s="14" customFormat="1" ht="15" customHeight="1" x14ac:dyDescent="0.25">
      <c r="A10" s="14" t="s">
        <v>1462</v>
      </c>
      <c r="B10" s="31">
        <v>-31427</v>
      </c>
      <c r="C10" s="27">
        <v>45381</v>
      </c>
      <c r="D10" s="23">
        <v>45383</v>
      </c>
    </row>
    <row r="11" spans="1:4" s="14" customFormat="1" ht="15" customHeight="1" x14ac:dyDescent="0.25">
      <c r="A11" s="14" t="s">
        <v>1463</v>
      </c>
      <c r="B11" s="31">
        <v>-31767</v>
      </c>
      <c r="C11" s="27">
        <v>45378</v>
      </c>
      <c r="D11" s="23">
        <v>45383</v>
      </c>
    </row>
    <row r="12" spans="1:4" s="14" customFormat="1" ht="15" customHeight="1" x14ac:dyDescent="0.25">
      <c r="A12" s="14" t="s">
        <v>1464</v>
      </c>
      <c r="B12" s="31">
        <v>-31958</v>
      </c>
      <c r="C12" s="27">
        <v>45378</v>
      </c>
      <c r="D12" s="23">
        <v>45383</v>
      </c>
    </row>
    <row r="13" spans="1:4" s="14" customFormat="1" ht="15" customHeight="1" x14ac:dyDescent="0.25">
      <c r="A13" s="14" t="s">
        <v>1465</v>
      </c>
      <c r="B13" s="31">
        <v>-32027</v>
      </c>
      <c r="C13" s="27">
        <v>45378</v>
      </c>
      <c r="D13" s="23">
        <v>45383</v>
      </c>
    </row>
    <row r="14" spans="1:4" s="14" customFormat="1" ht="15" customHeight="1" x14ac:dyDescent="0.25">
      <c r="A14" s="14" t="s">
        <v>1466</v>
      </c>
      <c r="B14" s="31">
        <v>-33404</v>
      </c>
      <c r="C14" s="27">
        <v>45378</v>
      </c>
      <c r="D14" s="23">
        <v>45383</v>
      </c>
    </row>
    <row r="15" spans="1:4" s="14" customFormat="1" ht="15" customHeight="1" x14ac:dyDescent="0.25">
      <c r="A15" s="14" t="s">
        <v>1467</v>
      </c>
      <c r="B15" s="31">
        <v>-35494</v>
      </c>
      <c r="C15" s="27">
        <v>45378</v>
      </c>
      <c r="D15" s="23">
        <v>45383</v>
      </c>
    </row>
    <row r="16" spans="1:4" s="14" customFormat="1" ht="15" customHeight="1" x14ac:dyDescent="0.25">
      <c r="A16" s="14" t="s">
        <v>1468</v>
      </c>
      <c r="B16" s="31">
        <v>-43912</v>
      </c>
      <c r="C16" s="27">
        <v>45378</v>
      </c>
      <c r="D16" s="23">
        <v>45383</v>
      </c>
    </row>
    <row r="17" spans="1:4" s="14" customFormat="1" ht="15" customHeight="1" x14ac:dyDescent="0.25">
      <c r="B17" s="31"/>
      <c r="C17" s="27"/>
      <c r="D17" s="23"/>
    </row>
    <row r="18" spans="1:4" s="14" customFormat="1" ht="15" customHeight="1" x14ac:dyDescent="0.25">
      <c r="B18" s="31"/>
      <c r="C18" s="27"/>
      <c r="D18" s="17"/>
    </row>
    <row r="19" spans="1:4" s="14" customFormat="1" ht="15" customHeight="1" x14ac:dyDescent="0.25">
      <c r="B19" s="31">
        <f>SUM(B9:B18)</f>
        <v>-270681</v>
      </c>
      <c r="C19" s="16"/>
      <c r="D19" s="23"/>
    </row>
    <row r="20" spans="1:4" s="14" customFormat="1" ht="15" customHeight="1" x14ac:dyDescent="0.25">
      <c r="A20" s="14" t="s">
        <v>2</v>
      </c>
      <c r="B20" s="31"/>
      <c r="C20" s="26" t="s">
        <v>730</v>
      </c>
      <c r="D20" s="28" t="s">
        <v>829</v>
      </c>
    </row>
    <row r="21" spans="1:4" s="14" customFormat="1" ht="15" customHeight="1" x14ac:dyDescent="0.25">
      <c r="A21" s="14" t="s">
        <v>1469</v>
      </c>
      <c r="B21" s="31">
        <v>25805</v>
      </c>
      <c r="C21" s="27">
        <v>45377</v>
      </c>
      <c r="D21" s="23">
        <v>45384</v>
      </c>
    </row>
    <row r="22" spans="1:4" s="14" customFormat="1" ht="15" customHeight="1" x14ac:dyDescent="0.25">
      <c r="A22" s="14" t="s">
        <v>1470</v>
      </c>
      <c r="B22" s="31">
        <v>27415</v>
      </c>
      <c r="C22" s="27">
        <v>45377</v>
      </c>
      <c r="D22" s="23">
        <v>45384</v>
      </c>
    </row>
    <row r="23" spans="1:4" s="14" customFormat="1" ht="15" customHeight="1" x14ac:dyDescent="0.25">
      <c r="A23" s="14" t="s">
        <v>1471</v>
      </c>
      <c r="B23" s="31">
        <v>27620</v>
      </c>
      <c r="C23" s="27">
        <v>45379</v>
      </c>
      <c r="D23" s="23">
        <v>45384</v>
      </c>
    </row>
    <row r="24" spans="1:4" s="14" customFormat="1" ht="15" customHeight="1" x14ac:dyDescent="0.25">
      <c r="A24" s="14" t="s">
        <v>1472</v>
      </c>
      <c r="B24" s="31">
        <v>27891</v>
      </c>
      <c r="C24" s="27">
        <v>45378</v>
      </c>
      <c r="D24" s="23">
        <v>45383</v>
      </c>
    </row>
    <row r="25" spans="1:4" s="14" customFormat="1" ht="15" customHeight="1" x14ac:dyDescent="0.25">
      <c r="A25" s="14" t="s">
        <v>1473</v>
      </c>
      <c r="B25" s="31">
        <v>27919</v>
      </c>
      <c r="C25" s="27">
        <v>45379</v>
      </c>
      <c r="D25" s="23">
        <v>45384</v>
      </c>
    </row>
    <row r="26" spans="1:4" s="14" customFormat="1" ht="15" customHeight="1" x14ac:dyDescent="0.25">
      <c r="A26" s="14" t="s">
        <v>1474</v>
      </c>
      <c r="B26" s="31">
        <v>28147</v>
      </c>
      <c r="C26" s="27">
        <v>45379</v>
      </c>
      <c r="D26" s="23">
        <v>45384</v>
      </c>
    </row>
    <row r="27" spans="1:4" s="14" customFormat="1" ht="15" customHeight="1" x14ac:dyDescent="0.25">
      <c r="A27" s="14" t="s">
        <v>1475</v>
      </c>
      <c r="B27" s="31">
        <v>29710</v>
      </c>
      <c r="C27" s="27">
        <v>45377</v>
      </c>
      <c r="D27" s="23">
        <v>45385</v>
      </c>
    </row>
    <row r="28" spans="1:4" s="14" customFormat="1" ht="15" customHeight="1" x14ac:dyDescent="0.25">
      <c r="A28" s="14" t="s">
        <v>1476</v>
      </c>
      <c r="B28" s="31">
        <v>29733</v>
      </c>
      <c r="C28" s="27">
        <v>45379</v>
      </c>
      <c r="D28" s="23">
        <v>45384</v>
      </c>
    </row>
    <row r="29" spans="1:4" s="14" customFormat="1" ht="15" customHeight="1" x14ac:dyDescent="0.25">
      <c r="A29" s="14" t="s">
        <v>1477</v>
      </c>
      <c r="B29" s="31">
        <v>29942</v>
      </c>
      <c r="C29" s="27">
        <v>45379</v>
      </c>
      <c r="D29" s="23">
        <v>45384</v>
      </c>
    </row>
    <row r="30" spans="1:4" s="14" customFormat="1" ht="15" customHeight="1" x14ac:dyDescent="0.25">
      <c r="A30" s="14" t="s">
        <v>1478</v>
      </c>
      <c r="B30" s="31">
        <v>29970</v>
      </c>
      <c r="C30" s="27">
        <v>45377</v>
      </c>
      <c r="D30" s="23">
        <v>45384</v>
      </c>
    </row>
    <row r="31" spans="1:4" s="14" customFormat="1" ht="15" customHeight="1" x14ac:dyDescent="0.25">
      <c r="A31" s="14" t="s">
        <v>1442</v>
      </c>
      <c r="B31" s="31">
        <v>30306</v>
      </c>
      <c r="C31" s="27">
        <v>45322</v>
      </c>
      <c r="D31" s="23">
        <v>45383</v>
      </c>
    </row>
    <row r="32" spans="1:4" s="14" customFormat="1" ht="15" customHeight="1" x14ac:dyDescent="0.25">
      <c r="A32" s="14" t="s">
        <v>1479</v>
      </c>
      <c r="B32" s="31">
        <v>30640</v>
      </c>
      <c r="C32" s="27">
        <v>45371</v>
      </c>
      <c r="D32" s="23">
        <v>45386</v>
      </c>
    </row>
    <row r="33" spans="1:13" s="14" customFormat="1" ht="15" customHeight="1" x14ac:dyDescent="0.25">
      <c r="A33" s="14" t="s">
        <v>1443</v>
      </c>
      <c r="B33" s="45">
        <v>31367</v>
      </c>
      <c r="C33" s="27">
        <v>45315</v>
      </c>
      <c r="D33" s="23">
        <v>45383</v>
      </c>
    </row>
    <row r="34" spans="1:13" s="14" customFormat="1" ht="15" customHeight="1" x14ac:dyDescent="0.25">
      <c r="A34" s="14" t="s">
        <v>1480</v>
      </c>
      <c r="B34" s="45">
        <v>33006</v>
      </c>
      <c r="C34" s="27">
        <v>45371</v>
      </c>
      <c r="D34" s="23">
        <v>45386</v>
      </c>
    </row>
    <row r="35" spans="1:13" s="14" customFormat="1" ht="15" customHeight="1" x14ac:dyDescent="0.25">
      <c r="A35" s="14" t="s">
        <v>1481</v>
      </c>
      <c r="B35" s="45">
        <v>33809</v>
      </c>
      <c r="C35" s="27">
        <v>45378</v>
      </c>
      <c r="D35" s="23">
        <v>45383</v>
      </c>
    </row>
    <row r="36" spans="1:13" s="14" customFormat="1" ht="15" customHeight="1" x14ac:dyDescent="0.25">
      <c r="B36" s="31"/>
      <c r="C36" s="27"/>
      <c r="D36" s="23"/>
    </row>
    <row r="37" spans="1:13" s="14" customFormat="1" ht="15" customHeight="1" x14ac:dyDescent="0.25">
      <c r="B37" s="31">
        <f>SUM(B21:B36)</f>
        <v>443280</v>
      </c>
      <c r="C37" s="16"/>
      <c r="D37" s="21"/>
      <c r="E37" s="21"/>
      <c r="F37" s="21"/>
    </row>
    <row r="38" spans="1:13" s="16" customFormat="1" ht="15" customHeight="1" x14ac:dyDescent="0.25">
      <c r="A38" s="18" t="s">
        <v>1</v>
      </c>
      <c r="B38" s="19">
        <f>B37+B19</f>
        <v>172599</v>
      </c>
      <c r="D38" s="23"/>
      <c r="E38" s="21"/>
      <c r="F38" s="21"/>
      <c r="G38" s="21"/>
    </row>
    <row r="39" spans="1:13" s="16" customFormat="1" ht="15" customHeight="1" x14ac:dyDescent="0.25">
      <c r="A39" s="14" t="s">
        <v>0</v>
      </c>
      <c r="B39" s="15">
        <f>B38-B7</f>
        <v>0</v>
      </c>
      <c r="D39" s="23"/>
      <c r="E39" s="14"/>
      <c r="F39" s="14"/>
      <c r="G39" s="14"/>
      <c r="H39" s="14"/>
      <c r="I39" s="14"/>
    </row>
    <row r="40" spans="1:13" s="16" customFormat="1" ht="15" customHeight="1" x14ac:dyDescent="0.3">
      <c r="A40" s="1"/>
      <c r="B40" s="3"/>
      <c r="C40" s="2"/>
      <c r="D40" s="23"/>
      <c r="E40" s="14"/>
      <c r="F40" s="14"/>
      <c r="G40" s="14"/>
      <c r="I40" s="14"/>
      <c r="M40" s="14" t="s">
        <v>1164</v>
      </c>
    </row>
    <row r="41" spans="1:13" s="16" customFormat="1" ht="15" customHeight="1" x14ac:dyDescent="0.3">
      <c r="A41" s="1"/>
      <c r="B41" s="3"/>
      <c r="C41" s="2"/>
      <c r="D41" s="29"/>
      <c r="E41" s="14"/>
      <c r="F41" s="14"/>
      <c r="G41" s="14"/>
      <c r="I41" s="14"/>
      <c r="M41" s="14" t="s">
        <v>1165</v>
      </c>
    </row>
    <row r="42" spans="1:13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  <row r="43" spans="1:13" s="2" customFormat="1" ht="20.100000000000001" customHeight="1" x14ac:dyDescent="0.3">
      <c r="A43"/>
      <c r="B43" s="10"/>
      <c r="D43" s="29"/>
      <c r="E43" s="1"/>
      <c r="F43" s="1"/>
      <c r="G43" s="1"/>
      <c r="H43" s="1"/>
      <c r="I43" s="1"/>
    </row>
    <row r="44" spans="1:13" s="2" customFormat="1" ht="20.100000000000001" customHeight="1" x14ac:dyDescent="0.3">
      <c r="A44"/>
      <c r="B44" s="10"/>
      <c r="D44" s="29"/>
      <c r="E44" s="1"/>
      <c r="F44" s="1"/>
      <c r="G44" s="1"/>
      <c r="H44" s="1"/>
      <c r="I44" s="1"/>
    </row>
    <row r="45" spans="1:13" s="2" customFormat="1" ht="20.100000000000001" customHeight="1" x14ac:dyDescent="0.3">
      <c r="A45"/>
      <c r="B45" s="10"/>
      <c r="D45" s="29"/>
      <c r="E45" s="1"/>
      <c r="F45" s="1"/>
      <c r="G45" s="1"/>
      <c r="H45" s="1"/>
      <c r="I45" s="1"/>
    </row>
    <row r="46" spans="1:13" s="2" customFormat="1" ht="20.100000000000001" customHeight="1" x14ac:dyDescent="0.3">
      <c r="A46"/>
      <c r="B46" s="10"/>
      <c r="D46" s="29"/>
      <c r="E46" s="1"/>
      <c r="F46" s="1"/>
      <c r="G46" s="1"/>
      <c r="H46" s="1"/>
      <c r="I46" s="1"/>
    </row>
    <row r="47" spans="1:13" s="2" customFormat="1" ht="20.100000000000001" customHeight="1" x14ac:dyDescent="0.3">
      <c r="A47"/>
      <c r="B47" s="10"/>
      <c r="D47" s="29"/>
      <c r="E47" s="1"/>
      <c r="F47" s="1"/>
      <c r="G47" s="1"/>
      <c r="H47" s="1"/>
      <c r="I47" s="1"/>
    </row>
  </sheetData>
  <pageMargins left="0.7" right="0.7" top="0.75" bottom="0.75" header="0.3" footer="0.3"/>
  <pageSetup scale="88" fitToHeight="0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608F-0832-4BFA-AF89-DEEDE8A8FDB0}">
  <sheetPr>
    <pageSetUpPr fitToPage="1"/>
  </sheetPr>
  <dimension ref="A1:M47"/>
  <sheetViews>
    <sheetView workbookViewId="0">
      <selection activeCell="Q31" sqref="Q31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45412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8035559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-8779874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-8779874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-744315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1482</v>
      </c>
      <c r="B9" s="31">
        <v>-25825</v>
      </c>
      <c r="C9" s="27">
        <v>45408</v>
      </c>
      <c r="D9" s="23">
        <v>45414</v>
      </c>
    </row>
    <row r="10" spans="1:4" s="14" customFormat="1" ht="15" customHeight="1" x14ac:dyDescent="0.25">
      <c r="A10" s="14" t="s">
        <v>1483</v>
      </c>
      <c r="B10" s="31">
        <v>-25850</v>
      </c>
      <c r="C10" s="27">
        <v>45408</v>
      </c>
      <c r="D10" s="23">
        <v>45414</v>
      </c>
    </row>
    <row r="11" spans="1:4" s="14" customFormat="1" ht="15" customHeight="1" x14ac:dyDescent="0.25">
      <c r="A11" s="14" t="s">
        <v>1484</v>
      </c>
      <c r="B11" s="31">
        <v>-27480</v>
      </c>
      <c r="C11" s="27">
        <v>45408</v>
      </c>
      <c r="D11" s="23">
        <v>45414</v>
      </c>
    </row>
    <row r="12" spans="1:4" s="14" customFormat="1" ht="15" customHeight="1" x14ac:dyDescent="0.25">
      <c r="A12" s="14" t="s">
        <v>1485</v>
      </c>
      <c r="B12" s="31">
        <v>-28063</v>
      </c>
      <c r="C12" s="27">
        <v>45408</v>
      </c>
      <c r="D12" s="23">
        <v>45414</v>
      </c>
    </row>
    <row r="13" spans="1:4" s="14" customFormat="1" ht="15" customHeight="1" x14ac:dyDescent="0.25">
      <c r="A13" s="14" t="s">
        <v>1486</v>
      </c>
      <c r="B13" s="31">
        <v>-30197</v>
      </c>
      <c r="C13" s="27">
        <v>45408</v>
      </c>
      <c r="D13" s="23">
        <v>45414</v>
      </c>
    </row>
    <row r="14" spans="1:4" s="14" customFormat="1" ht="15" customHeight="1" x14ac:dyDescent="0.25">
      <c r="A14" s="14" t="s">
        <v>1487</v>
      </c>
      <c r="B14" s="31">
        <v>-30685</v>
      </c>
      <c r="C14" s="27">
        <v>45411</v>
      </c>
      <c r="D14" s="23">
        <v>45413</v>
      </c>
    </row>
    <row r="15" spans="1:4" s="14" customFormat="1" ht="15" customHeight="1" x14ac:dyDescent="0.25">
      <c r="A15" s="14" t="s">
        <v>1488</v>
      </c>
      <c r="B15" s="31">
        <v>-30685</v>
      </c>
      <c r="C15" s="27">
        <v>45411</v>
      </c>
      <c r="D15" s="23">
        <v>45413</v>
      </c>
    </row>
    <row r="16" spans="1:4" s="14" customFormat="1" ht="15" customHeight="1" x14ac:dyDescent="0.25">
      <c r="A16" s="14" t="s">
        <v>1489</v>
      </c>
      <c r="B16" s="31">
        <v>-31364</v>
      </c>
      <c r="C16" s="27">
        <v>45411</v>
      </c>
      <c r="D16" s="23">
        <v>45413</v>
      </c>
    </row>
    <row r="17" spans="1:4" s="14" customFormat="1" ht="15" customHeight="1" x14ac:dyDescent="0.25">
      <c r="A17" s="14" t="s">
        <v>1490</v>
      </c>
      <c r="B17" s="31">
        <v>-31472</v>
      </c>
      <c r="C17" s="27">
        <v>45411</v>
      </c>
      <c r="D17" s="23">
        <v>45414</v>
      </c>
    </row>
    <row r="18" spans="1:4" s="14" customFormat="1" ht="15" customHeight="1" x14ac:dyDescent="0.25">
      <c r="A18" s="14" t="s">
        <v>1491</v>
      </c>
      <c r="B18" s="31">
        <v>-31472</v>
      </c>
      <c r="C18" s="27">
        <v>45411</v>
      </c>
      <c r="D18" s="23">
        <v>45415</v>
      </c>
    </row>
    <row r="19" spans="1:4" s="14" customFormat="1" ht="15" customHeight="1" x14ac:dyDescent="0.25">
      <c r="A19" s="14" t="s">
        <v>1492</v>
      </c>
      <c r="B19" s="31">
        <v>-32898</v>
      </c>
      <c r="C19" s="27">
        <v>45408</v>
      </c>
      <c r="D19" s="23">
        <v>45414</v>
      </c>
    </row>
    <row r="20" spans="1:4" s="14" customFormat="1" ht="15" customHeight="1" x14ac:dyDescent="0.25">
      <c r="A20" s="14" t="s">
        <v>1493</v>
      </c>
      <c r="B20" s="31">
        <v>-32903</v>
      </c>
      <c r="C20" s="27">
        <v>45411</v>
      </c>
      <c r="D20" s="23">
        <v>45414</v>
      </c>
    </row>
    <row r="21" spans="1:4" s="14" customFormat="1" ht="15" customHeight="1" x14ac:dyDescent="0.25">
      <c r="A21" s="14" t="s">
        <v>1494</v>
      </c>
      <c r="B21" s="31">
        <v>-33011</v>
      </c>
      <c r="C21" s="27">
        <v>45411</v>
      </c>
      <c r="D21" s="23">
        <v>45414</v>
      </c>
    </row>
    <row r="22" spans="1:4" s="14" customFormat="1" ht="15" customHeight="1" x14ac:dyDescent="0.25">
      <c r="A22" s="14" t="s">
        <v>1495</v>
      </c>
      <c r="B22" s="31">
        <v>-33171</v>
      </c>
      <c r="C22" s="27">
        <v>45412</v>
      </c>
      <c r="D22" s="23">
        <v>45415</v>
      </c>
    </row>
    <row r="23" spans="1:4" s="14" customFormat="1" ht="15" customHeight="1" x14ac:dyDescent="0.25">
      <c r="A23" s="14" t="s">
        <v>1496</v>
      </c>
      <c r="B23" s="31">
        <v>-33280</v>
      </c>
      <c r="C23" s="27">
        <v>45411</v>
      </c>
      <c r="D23" s="23">
        <v>45418</v>
      </c>
    </row>
    <row r="24" spans="1:4" s="14" customFormat="1" ht="15" customHeight="1" x14ac:dyDescent="0.25">
      <c r="A24" s="14" t="s">
        <v>1497</v>
      </c>
      <c r="B24" s="31">
        <v>-33437</v>
      </c>
      <c r="C24" s="27">
        <v>45408</v>
      </c>
      <c r="D24" s="23">
        <v>45414</v>
      </c>
    </row>
    <row r="25" spans="1:4" s="14" customFormat="1" ht="15" customHeight="1" x14ac:dyDescent="0.25">
      <c r="A25" s="14" t="s">
        <v>1498</v>
      </c>
      <c r="B25" s="31">
        <v>-35360</v>
      </c>
      <c r="C25" s="27">
        <v>45412</v>
      </c>
      <c r="D25" s="23">
        <v>45415</v>
      </c>
    </row>
    <row r="26" spans="1:4" s="14" customFormat="1" ht="15" customHeight="1" x14ac:dyDescent="0.25">
      <c r="A26" s="14" t="s">
        <v>1499</v>
      </c>
      <c r="B26" s="31">
        <v>-36050</v>
      </c>
      <c r="C26" s="27">
        <v>45412</v>
      </c>
      <c r="D26" s="23">
        <v>45415</v>
      </c>
    </row>
    <row r="27" spans="1:4" s="14" customFormat="1" ht="15" customHeight="1" x14ac:dyDescent="0.25">
      <c r="A27" s="14" t="s">
        <v>1500</v>
      </c>
      <c r="B27" s="31">
        <v>-38463</v>
      </c>
      <c r="C27" s="27">
        <v>45411</v>
      </c>
      <c r="D27" s="23">
        <v>45418</v>
      </c>
    </row>
    <row r="28" spans="1:4" s="14" customFormat="1" ht="15" customHeight="1" x14ac:dyDescent="0.25">
      <c r="A28" s="14" t="s">
        <v>1501</v>
      </c>
      <c r="B28" s="31">
        <v>-42508</v>
      </c>
      <c r="C28" s="27">
        <v>45411</v>
      </c>
      <c r="D28" s="23">
        <v>45418</v>
      </c>
    </row>
    <row r="29" spans="1:4" s="14" customFormat="1" ht="15" customHeight="1" x14ac:dyDescent="0.25">
      <c r="A29" s="14" t="s">
        <v>1502</v>
      </c>
      <c r="B29" s="31">
        <v>-42957</v>
      </c>
      <c r="C29" s="27">
        <v>45411</v>
      </c>
      <c r="D29" s="23">
        <v>45418</v>
      </c>
    </row>
    <row r="30" spans="1:4" s="14" customFormat="1" ht="15" customHeight="1" x14ac:dyDescent="0.25">
      <c r="A30" s="14" t="s">
        <v>1503</v>
      </c>
      <c r="B30" s="31">
        <v>-44258</v>
      </c>
      <c r="C30" s="27" t="s">
        <v>1506</v>
      </c>
      <c r="D30" s="23"/>
    </row>
    <row r="31" spans="1:4" s="14" customFormat="1" ht="15" customHeight="1" x14ac:dyDescent="0.25">
      <c r="A31" s="14" t="s">
        <v>1504</v>
      </c>
      <c r="B31" s="31">
        <v>-44518</v>
      </c>
      <c r="C31" s="27">
        <v>45411</v>
      </c>
      <c r="D31" s="23">
        <v>45413</v>
      </c>
    </row>
    <row r="32" spans="1:4" s="14" customFormat="1" ht="15" customHeight="1" x14ac:dyDescent="0.25">
      <c r="B32" s="31"/>
      <c r="C32" s="27"/>
      <c r="D32" s="17"/>
    </row>
    <row r="33" spans="1:13" s="14" customFormat="1" ht="15" customHeight="1" x14ac:dyDescent="0.25">
      <c r="B33" s="31">
        <f>SUM(B9:B32)</f>
        <v>-775907</v>
      </c>
      <c r="C33" s="16"/>
      <c r="D33" s="23"/>
    </row>
    <row r="34" spans="1:13" s="14" customFormat="1" ht="15" customHeight="1" x14ac:dyDescent="0.25">
      <c r="A34" s="14" t="s">
        <v>2</v>
      </c>
      <c r="B34" s="31"/>
      <c r="C34" s="26" t="s">
        <v>730</v>
      </c>
      <c r="D34" s="28" t="s">
        <v>829</v>
      </c>
    </row>
    <row r="35" spans="1:13" s="14" customFormat="1" ht="15" customHeight="1" x14ac:dyDescent="0.25">
      <c r="A35" s="14" t="s">
        <v>1505</v>
      </c>
      <c r="B35" s="31">
        <v>31592</v>
      </c>
      <c r="C35" s="27">
        <v>45406</v>
      </c>
      <c r="D35" s="23" t="s">
        <v>1507</v>
      </c>
    </row>
    <row r="36" spans="1:13" s="14" customFormat="1" ht="15" customHeight="1" x14ac:dyDescent="0.25">
      <c r="B36" s="31"/>
      <c r="C36" s="27"/>
      <c r="D36" s="23"/>
    </row>
    <row r="37" spans="1:13" s="14" customFormat="1" ht="15" customHeight="1" x14ac:dyDescent="0.25">
      <c r="B37" s="31">
        <f>SUM(B35:B36)</f>
        <v>31592</v>
      </c>
      <c r="C37" s="16"/>
      <c r="D37" s="21"/>
      <c r="E37" s="21"/>
      <c r="F37" s="21"/>
    </row>
    <row r="38" spans="1:13" s="16" customFormat="1" ht="15" customHeight="1" x14ac:dyDescent="0.25">
      <c r="A38" s="18" t="s">
        <v>1</v>
      </c>
      <c r="B38" s="19">
        <f>B37+B33</f>
        <v>-744315</v>
      </c>
      <c r="D38" s="23"/>
      <c r="E38" s="21"/>
      <c r="F38" s="21"/>
      <c r="G38" s="21"/>
    </row>
    <row r="39" spans="1:13" s="16" customFormat="1" ht="15" customHeight="1" x14ac:dyDescent="0.25">
      <c r="A39" s="14" t="s">
        <v>0</v>
      </c>
      <c r="B39" s="15">
        <f>B38-B7</f>
        <v>0</v>
      </c>
      <c r="D39" s="23"/>
      <c r="E39" s="14"/>
      <c r="F39" s="14"/>
      <c r="G39" s="14"/>
      <c r="H39" s="14"/>
      <c r="I39" s="14"/>
    </row>
    <row r="40" spans="1:13" s="16" customFormat="1" ht="15" customHeight="1" x14ac:dyDescent="0.3">
      <c r="A40" s="1"/>
      <c r="B40" s="3"/>
      <c r="C40" s="2"/>
      <c r="D40" s="23"/>
      <c r="E40" s="14"/>
      <c r="F40" s="14"/>
      <c r="G40" s="14"/>
      <c r="I40" s="14"/>
      <c r="M40" s="14" t="s">
        <v>1164</v>
      </c>
    </row>
    <row r="41" spans="1:13" s="16" customFormat="1" ht="15" customHeight="1" x14ac:dyDescent="0.3">
      <c r="A41" s="1"/>
      <c r="B41" s="3"/>
      <c r="C41" s="2"/>
      <c r="D41" s="29"/>
      <c r="E41" s="14"/>
      <c r="F41" s="14"/>
      <c r="G41" s="14"/>
      <c r="I41" s="14"/>
      <c r="M41" s="14" t="s">
        <v>1165</v>
      </c>
    </row>
    <row r="42" spans="1:13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  <row r="43" spans="1:13" s="2" customFormat="1" ht="20.100000000000001" customHeight="1" x14ac:dyDescent="0.3">
      <c r="A43"/>
      <c r="B43" s="10"/>
      <c r="D43" s="29"/>
      <c r="E43" s="1"/>
      <c r="F43" s="1"/>
      <c r="G43" s="1"/>
      <c r="H43" s="1"/>
      <c r="I43" s="1"/>
    </row>
    <row r="44" spans="1:13" s="2" customFormat="1" ht="20.100000000000001" customHeight="1" x14ac:dyDescent="0.3">
      <c r="A44"/>
      <c r="B44" s="10"/>
      <c r="D44" s="29"/>
      <c r="E44" s="1"/>
      <c r="F44" s="1"/>
      <c r="G44" s="1"/>
      <c r="H44" s="1"/>
      <c r="I44" s="1"/>
    </row>
    <row r="45" spans="1:13" s="2" customFormat="1" ht="20.100000000000001" customHeight="1" x14ac:dyDescent="0.3">
      <c r="A45"/>
      <c r="B45" s="10"/>
      <c r="D45" s="29"/>
      <c r="E45" s="1"/>
      <c r="F45" s="1"/>
      <c r="G45" s="1"/>
      <c r="H45" s="1"/>
      <c r="I45" s="1"/>
    </row>
    <row r="46" spans="1:13" s="2" customFormat="1" ht="20.100000000000001" customHeight="1" x14ac:dyDescent="0.3">
      <c r="A46"/>
      <c r="B46" s="10"/>
      <c r="D46" s="29"/>
      <c r="E46" s="1"/>
      <c r="F46" s="1"/>
      <c r="G46" s="1"/>
      <c r="H46" s="1"/>
      <c r="I46" s="1"/>
    </row>
    <row r="47" spans="1:13" s="2" customFormat="1" ht="20.100000000000001" customHeight="1" x14ac:dyDescent="0.3">
      <c r="A47"/>
      <c r="B47" s="10"/>
      <c r="D47" s="29"/>
      <c r="E47" s="1"/>
      <c r="F47" s="1"/>
      <c r="G47" s="1"/>
      <c r="H47" s="1"/>
      <c r="I47" s="1"/>
    </row>
  </sheetData>
  <pageMargins left="0.7" right="0.7" top="0.75" bottom="0.75" header="0.3" footer="0.3"/>
  <pageSetup scale="88" fitToHeight="0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7326B-7811-4CB4-BC18-8503E49FE161}">
  <sheetPr>
    <pageSetUpPr fitToPage="1"/>
  </sheetPr>
  <dimension ref="A1:M28"/>
  <sheetViews>
    <sheetView workbookViewId="0">
      <selection activeCell="D10" sqref="D10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45443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8849006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-8925595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-8925595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-76589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1508</v>
      </c>
      <c r="B9" s="31">
        <v>-32232</v>
      </c>
      <c r="C9" s="27">
        <v>45442</v>
      </c>
      <c r="D9" s="23">
        <v>45447</v>
      </c>
    </row>
    <row r="10" spans="1:4" s="14" customFormat="1" ht="15" customHeight="1" x14ac:dyDescent="0.25">
      <c r="A10" s="14" t="s">
        <v>1509</v>
      </c>
      <c r="B10" s="31">
        <v>-44357</v>
      </c>
      <c r="C10" s="27">
        <v>45443</v>
      </c>
      <c r="D10" s="23">
        <v>45454</v>
      </c>
    </row>
    <row r="11" spans="1:4" s="14" customFormat="1" ht="15" customHeight="1" x14ac:dyDescent="0.25">
      <c r="B11" s="31"/>
      <c r="C11" s="27"/>
      <c r="D11" s="23"/>
    </row>
    <row r="12" spans="1:4" s="14" customFormat="1" ht="15" customHeight="1" x14ac:dyDescent="0.25">
      <c r="B12" s="31"/>
      <c r="C12" s="27"/>
      <c r="D12" s="23"/>
    </row>
    <row r="13" spans="1:4" s="14" customFormat="1" ht="15" customHeight="1" x14ac:dyDescent="0.25">
      <c r="B13" s="31"/>
      <c r="C13" s="27"/>
      <c r="D13" s="23"/>
    </row>
    <row r="14" spans="1:4" s="14" customFormat="1" ht="15" customHeight="1" x14ac:dyDescent="0.25">
      <c r="B14" s="31">
        <f>SUM(B9:B13)</f>
        <v>-76589</v>
      </c>
      <c r="C14" s="16"/>
      <c r="D14" s="23"/>
    </row>
    <row r="15" spans="1:4" s="14" customFormat="1" ht="15" customHeight="1" x14ac:dyDescent="0.25">
      <c r="A15" s="14" t="s">
        <v>2</v>
      </c>
      <c r="B15" s="31"/>
      <c r="C15" s="26" t="s">
        <v>730</v>
      </c>
      <c r="D15" s="28" t="s">
        <v>829</v>
      </c>
    </row>
    <row r="16" spans="1:4" s="14" customFormat="1" ht="15" customHeight="1" x14ac:dyDescent="0.25">
      <c r="B16" s="31"/>
      <c r="C16" s="27"/>
      <c r="D16" s="23"/>
    </row>
    <row r="17" spans="1:13" s="14" customFormat="1" ht="15" customHeight="1" x14ac:dyDescent="0.25">
      <c r="B17" s="31"/>
      <c r="C17" s="27"/>
      <c r="D17" s="23"/>
    </row>
    <row r="18" spans="1:13" s="14" customFormat="1" ht="15" customHeight="1" x14ac:dyDescent="0.25">
      <c r="B18" s="31">
        <f>SUM(B16:B17)</f>
        <v>0</v>
      </c>
      <c r="C18" s="16"/>
      <c r="D18" s="21"/>
      <c r="E18" s="21"/>
      <c r="F18" s="21"/>
    </row>
    <row r="19" spans="1:13" s="16" customFormat="1" ht="15" customHeight="1" x14ac:dyDescent="0.25">
      <c r="A19" s="18" t="s">
        <v>1</v>
      </c>
      <c r="B19" s="19">
        <f>B18+B14</f>
        <v>-76589</v>
      </c>
      <c r="D19" s="23"/>
      <c r="E19" s="21"/>
      <c r="F19" s="21"/>
      <c r="G19" s="21"/>
    </row>
    <row r="20" spans="1:13" s="16" customFormat="1" ht="15" customHeight="1" x14ac:dyDescent="0.25">
      <c r="A20" s="14" t="s">
        <v>0</v>
      </c>
      <c r="B20" s="15">
        <f>B19-B7</f>
        <v>0</v>
      </c>
      <c r="D20" s="23"/>
      <c r="E20" s="14"/>
      <c r="F20" s="14"/>
      <c r="G20" s="14"/>
      <c r="H20" s="14"/>
      <c r="I20" s="14"/>
    </row>
    <row r="21" spans="1:13" s="16" customFormat="1" ht="15" customHeight="1" x14ac:dyDescent="0.3">
      <c r="A21" s="1"/>
      <c r="B21" s="3"/>
      <c r="C21" s="2"/>
      <c r="D21" s="23"/>
      <c r="E21" s="14"/>
      <c r="F21" s="14"/>
      <c r="G21" s="14"/>
      <c r="I21" s="14"/>
      <c r="M21" s="14" t="s">
        <v>1164</v>
      </c>
    </row>
    <row r="22" spans="1:13" s="16" customFormat="1" ht="15" customHeight="1" x14ac:dyDescent="0.3">
      <c r="A22" s="1"/>
      <c r="B22" s="3"/>
      <c r="C22" s="2"/>
      <c r="D22" s="29"/>
      <c r="E22" s="14"/>
      <c r="F22" s="14"/>
      <c r="G22" s="14"/>
      <c r="I22" s="14"/>
      <c r="M22" s="14" t="s">
        <v>1165</v>
      </c>
    </row>
    <row r="23" spans="1:13" s="2" customFormat="1" ht="20.100000000000001" customHeight="1" x14ac:dyDescent="0.3">
      <c r="A23"/>
      <c r="B23" s="10"/>
      <c r="D23" s="29"/>
      <c r="E23" s="1"/>
      <c r="F23" s="1"/>
      <c r="G23" s="1"/>
      <c r="H23" s="1"/>
      <c r="I23" s="1"/>
    </row>
    <row r="24" spans="1:13" s="2" customFormat="1" ht="20.100000000000001" customHeight="1" x14ac:dyDescent="0.3">
      <c r="A24"/>
      <c r="B24" s="10"/>
      <c r="D24" s="29"/>
      <c r="E24" s="1"/>
      <c r="F24" s="1"/>
      <c r="G24" s="1"/>
      <c r="H24" s="1"/>
      <c r="I24" s="1"/>
    </row>
    <row r="25" spans="1:13" s="2" customFormat="1" ht="20.100000000000001" customHeight="1" x14ac:dyDescent="0.3">
      <c r="A25"/>
      <c r="B25" s="10"/>
      <c r="D25" s="29"/>
      <c r="E25" s="1"/>
      <c r="F25" s="1"/>
      <c r="G25" s="1"/>
      <c r="H25" s="1"/>
      <c r="I25" s="1"/>
    </row>
    <row r="26" spans="1:13" s="2" customFormat="1" ht="20.100000000000001" customHeight="1" x14ac:dyDescent="0.3">
      <c r="A26"/>
      <c r="B26" s="10"/>
      <c r="D26" s="29"/>
      <c r="E26" s="1"/>
      <c r="F26" s="1"/>
      <c r="G26" s="1"/>
      <c r="H26" s="1"/>
      <c r="I26" s="1"/>
    </row>
    <row r="27" spans="1:13" s="2" customFormat="1" ht="20.100000000000001" customHeight="1" x14ac:dyDescent="0.3">
      <c r="A27"/>
      <c r="B27" s="10"/>
      <c r="D27" s="29"/>
      <c r="E27" s="1"/>
      <c r="F27" s="1"/>
      <c r="G27" s="1"/>
      <c r="H27" s="1"/>
      <c r="I27" s="1"/>
    </row>
    <row r="28" spans="1:13" s="2" customFormat="1" ht="20.100000000000001" customHeight="1" x14ac:dyDescent="0.3">
      <c r="A28"/>
      <c r="B28" s="10"/>
      <c r="D28" s="29"/>
      <c r="E28" s="1"/>
      <c r="F28" s="1"/>
      <c r="G28" s="1"/>
      <c r="H28" s="1"/>
      <c r="I28" s="1"/>
    </row>
  </sheetData>
  <pageMargins left="0.7" right="0.7" top="0.75" bottom="0.75" header="0.3" footer="0.3"/>
  <pageSetup scale="88" fitToHeight="0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3947-2CDD-47B9-A48A-F7FAF0868239}">
  <sheetPr>
    <pageSetUpPr fitToPage="1"/>
  </sheetPr>
  <dimension ref="A1:M53"/>
  <sheetViews>
    <sheetView workbookViewId="0">
      <selection activeCell="D41" sqref="D41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45473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7945608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-8943654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-8943654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-998046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1510</v>
      </c>
      <c r="B9" s="31">
        <v>-25790</v>
      </c>
      <c r="C9" s="27">
        <v>45471</v>
      </c>
      <c r="D9" s="23">
        <v>45475</v>
      </c>
    </row>
    <row r="10" spans="1:4" s="14" customFormat="1" ht="15" customHeight="1" x14ac:dyDescent="0.25">
      <c r="A10" s="14" t="s">
        <v>1511</v>
      </c>
      <c r="B10" s="31">
        <v>-27257</v>
      </c>
      <c r="C10" s="27">
        <v>45471</v>
      </c>
      <c r="D10" s="23">
        <v>45475</v>
      </c>
    </row>
    <row r="11" spans="1:4" s="14" customFormat="1" ht="15" customHeight="1" x14ac:dyDescent="0.25">
      <c r="A11" s="14" t="s">
        <v>1512</v>
      </c>
      <c r="B11" s="31">
        <v>-27784</v>
      </c>
      <c r="C11" s="27">
        <v>45471</v>
      </c>
      <c r="D11" s="23">
        <v>45475</v>
      </c>
    </row>
    <row r="12" spans="1:4" s="14" customFormat="1" ht="15" customHeight="1" x14ac:dyDescent="0.25">
      <c r="A12" s="14" t="s">
        <v>1513</v>
      </c>
      <c r="B12" s="31">
        <v>-29490</v>
      </c>
      <c r="C12" s="27">
        <v>45471</v>
      </c>
      <c r="D12" s="23">
        <v>45475</v>
      </c>
    </row>
    <row r="13" spans="1:4" s="14" customFormat="1" ht="15" customHeight="1" x14ac:dyDescent="0.25">
      <c r="A13" s="14" t="s">
        <v>1514</v>
      </c>
      <c r="B13" s="31">
        <v>-30017</v>
      </c>
      <c r="C13" s="27">
        <v>45471</v>
      </c>
      <c r="D13" s="23">
        <v>45475</v>
      </c>
    </row>
    <row r="14" spans="1:4" s="14" customFormat="1" ht="15" customHeight="1" x14ac:dyDescent="0.25">
      <c r="A14" s="14" t="s">
        <v>1515</v>
      </c>
      <c r="B14" s="31">
        <v>-30017</v>
      </c>
      <c r="C14" s="27">
        <v>45471</v>
      </c>
      <c r="D14" s="23">
        <v>45475</v>
      </c>
    </row>
    <row r="15" spans="1:4" s="14" customFormat="1" ht="15" customHeight="1" x14ac:dyDescent="0.25">
      <c r="A15" s="14" t="s">
        <v>1516</v>
      </c>
      <c r="B15" s="31">
        <v>-31182</v>
      </c>
      <c r="C15" s="27">
        <v>45467</v>
      </c>
      <c r="D15" s="23">
        <v>45474</v>
      </c>
    </row>
    <row r="16" spans="1:4" s="14" customFormat="1" ht="15" customHeight="1" x14ac:dyDescent="0.25">
      <c r="A16" s="14" t="s">
        <v>1517</v>
      </c>
      <c r="B16" s="31">
        <v>-32123</v>
      </c>
      <c r="C16" s="27">
        <v>45467</v>
      </c>
      <c r="D16" s="23">
        <v>45474</v>
      </c>
    </row>
    <row r="17" spans="1:4" s="14" customFormat="1" ht="15" customHeight="1" x14ac:dyDescent="0.25">
      <c r="A17" s="14" t="s">
        <v>1518</v>
      </c>
      <c r="B17" s="31">
        <v>-32680</v>
      </c>
      <c r="C17" s="27">
        <v>45467</v>
      </c>
      <c r="D17" s="23">
        <v>45474</v>
      </c>
    </row>
    <row r="18" spans="1:4" s="14" customFormat="1" ht="15" customHeight="1" x14ac:dyDescent="0.25">
      <c r="A18" s="14" t="s">
        <v>1519</v>
      </c>
      <c r="B18" s="31">
        <v>-32889</v>
      </c>
      <c r="C18" s="27">
        <v>45467</v>
      </c>
      <c r="D18" s="23">
        <v>45474</v>
      </c>
    </row>
    <row r="19" spans="1:4" s="14" customFormat="1" ht="15" customHeight="1" x14ac:dyDescent="0.25">
      <c r="A19" s="14" t="s">
        <v>1520</v>
      </c>
      <c r="B19" s="31">
        <v>-32980</v>
      </c>
      <c r="C19" s="27">
        <v>45467</v>
      </c>
      <c r="D19" s="23">
        <v>45474</v>
      </c>
    </row>
    <row r="20" spans="1:4" s="14" customFormat="1" ht="15" customHeight="1" x14ac:dyDescent="0.25">
      <c r="A20" s="14" t="s">
        <v>1521</v>
      </c>
      <c r="B20" s="31">
        <v>-33009</v>
      </c>
      <c r="C20" s="27">
        <v>45469</v>
      </c>
      <c r="D20" s="23">
        <v>45474</v>
      </c>
    </row>
    <row r="21" spans="1:4" s="14" customFormat="1" ht="15" customHeight="1" x14ac:dyDescent="0.25">
      <c r="A21" s="14" t="s">
        <v>1522</v>
      </c>
      <c r="B21" s="31">
        <v>-34570</v>
      </c>
      <c r="C21" s="27">
        <v>45467</v>
      </c>
      <c r="D21" s="23">
        <v>45474</v>
      </c>
    </row>
    <row r="22" spans="1:4" s="14" customFormat="1" ht="15" customHeight="1" x14ac:dyDescent="0.25">
      <c r="A22" s="14" t="s">
        <v>1523</v>
      </c>
      <c r="B22" s="31">
        <v>-34650</v>
      </c>
      <c r="C22" s="27">
        <v>45467</v>
      </c>
      <c r="D22" s="23">
        <v>45474</v>
      </c>
    </row>
    <row r="23" spans="1:4" s="14" customFormat="1" ht="15" customHeight="1" x14ac:dyDescent="0.25">
      <c r="A23" s="14" t="s">
        <v>1524</v>
      </c>
      <c r="B23" s="31">
        <v>-35051</v>
      </c>
      <c r="C23" s="27">
        <v>45469</v>
      </c>
      <c r="D23" s="23">
        <v>45474</v>
      </c>
    </row>
    <row r="24" spans="1:4" s="14" customFormat="1" ht="15" customHeight="1" x14ac:dyDescent="0.25">
      <c r="A24" s="14" t="s">
        <v>1525</v>
      </c>
      <c r="B24" s="31">
        <v>-35111</v>
      </c>
      <c r="C24" s="27">
        <v>45467</v>
      </c>
      <c r="D24" s="23">
        <v>45474</v>
      </c>
    </row>
    <row r="25" spans="1:4" s="14" customFormat="1" ht="15" customHeight="1" x14ac:dyDescent="0.25">
      <c r="A25" s="14" t="s">
        <v>1539</v>
      </c>
      <c r="B25" s="31">
        <v>-35251</v>
      </c>
      <c r="C25" s="27">
        <v>45469</v>
      </c>
      <c r="D25" s="23">
        <v>45474</v>
      </c>
    </row>
    <row r="26" spans="1:4" s="14" customFormat="1" ht="15" customHeight="1" x14ac:dyDescent="0.25">
      <c r="A26" s="14" t="s">
        <v>1526</v>
      </c>
      <c r="B26" s="31">
        <v>-35535</v>
      </c>
      <c r="C26" s="27">
        <v>45471</v>
      </c>
      <c r="D26" s="23">
        <v>45475</v>
      </c>
    </row>
    <row r="27" spans="1:4" s="14" customFormat="1" ht="15" customHeight="1" x14ac:dyDescent="0.25">
      <c r="A27" s="14" t="s">
        <v>1527</v>
      </c>
      <c r="B27" s="31">
        <v>-35591</v>
      </c>
      <c r="C27" s="27">
        <v>45469</v>
      </c>
      <c r="D27" s="23">
        <v>45474</v>
      </c>
    </row>
    <row r="28" spans="1:4" s="14" customFormat="1" ht="15" customHeight="1" x14ac:dyDescent="0.25">
      <c r="A28" s="14" t="s">
        <v>1528</v>
      </c>
      <c r="B28" s="31">
        <v>-35720</v>
      </c>
      <c r="C28" s="27">
        <v>45467</v>
      </c>
      <c r="D28" s="23">
        <v>45474</v>
      </c>
    </row>
    <row r="29" spans="1:4" s="14" customFormat="1" ht="15" customHeight="1" x14ac:dyDescent="0.25">
      <c r="A29" s="14" t="s">
        <v>1529</v>
      </c>
      <c r="B29" s="31">
        <v>-37982</v>
      </c>
      <c r="C29" s="27">
        <v>45469</v>
      </c>
      <c r="D29" s="23">
        <v>45474</v>
      </c>
    </row>
    <row r="30" spans="1:4" s="14" customFormat="1" ht="15" customHeight="1" x14ac:dyDescent="0.25">
      <c r="A30" s="14" t="s">
        <v>1530</v>
      </c>
      <c r="B30" s="31">
        <v>-38590</v>
      </c>
      <c r="C30" s="27">
        <v>45467</v>
      </c>
      <c r="D30" s="23">
        <v>45474</v>
      </c>
    </row>
    <row r="31" spans="1:4" s="14" customFormat="1" ht="15" customHeight="1" x14ac:dyDescent="0.25">
      <c r="A31" s="14" t="s">
        <v>1531</v>
      </c>
      <c r="B31" s="31">
        <v>-38702</v>
      </c>
      <c r="C31" s="27">
        <v>45471</v>
      </c>
      <c r="D31" s="23">
        <v>45476</v>
      </c>
    </row>
    <row r="32" spans="1:4" s="14" customFormat="1" ht="15" customHeight="1" x14ac:dyDescent="0.25">
      <c r="A32" s="14" t="s">
        <v>1532</v>
      </c>
      <c r="B32" s="31">
        <v>-38723</v>
      </c>
      <c r="C32" s="27">
        <v>45469</v>
      </c>
      <c r="D32" s="23">
        <v>45474</v>
      </c>
    </row>
    <row r="33" spans="1:13" s="14" customFormat="1" ht="15" customHeight="1" x14ac:dyDescent="0.25">
      <c r="A33" s="14" t="s">
        <v>1533</v>
      </c>
      <c r="B33" s="31">
        <v>-39211</v>
      </c>
      <c r="C33" s="27">
        <v>45467</v>
      </c>
      <c r="D33" s="23">
        <v>45474</v>
      </c>
    </row>
    <row r="34" spans="1:13" s="14" customFormat="1" ht="15" customHeight="1" x14ac:dyDescent="0.25">
      <c r="A34" s="14" t="s">
        <v>1534</v>
      </c>
      <c r="B34" s="31">
        <v>-39332</v>
      </c>
      <c r="C34" s="27">
        <v>45467</v>
      </c>
      <c r="D34" s="23">
        <v>45474</v>
      </c>
    </row>
    <row r="35" spans="1:13" s="14" customFormat="1" ht="15" customHeight="1" x14ac:dyDescent="0.25">
      <c r="A35" s="14" t="s">
        <v>1535</v>
      </c>
      <c r="B35" s="31">
        <v>-42880</v>
      </c>
      <c r="C35" s="27">
        <v>45469</v>
      </c>
      <c r="D35" s="23">
        <v>45474</v>
      </c>
    </row>
    <row r="36" spans="1:13" s="14" customFormat="1" ht="15" customHeight="1" x14ac:dyDescent="0.25">
      <c r="A36" s="14" t="s">
        <v>1536</v>
      </c>
      <c r="B36" s="31">
        <v>-44693</v>
      </c>
      <c r="C36" s="27">
        <v>45467</v>
      </c>
      <c r="D36" s="23">
        <v>45474</v>
      </c>
    </row>
    <row r="37" spans="1:13" s="14" customFormat="1" ht="15" customHeight="1" x14ac:dyDescent="0.25">
      <c r="A37" s="14" t="s">
        <v>1537</v>
      </c>
      <c r="B37" s="31">
        <v>-57086</v>
      </c>
      <c r="C37" s="27">
        <v>45450</v>
      </c>
      <c r="D37" s="23">
        <v>45476</v>
      </c>
    </row>
    <row r="38" spans="1:13" s="14" customFormat="1" ht="15" customHeight="1" x14ac:dyDescent="0.25">
      <c r="B38" s="31"/>
      <c r="C38" s="27"/>
      <c r="D38" s="23"/>
    </row>
    <row r="39" spans="1:13" s="14" customFormat="1" ht="15" customHeight="1" x14ac:dyDescent="0.25">
      <c r="B39" s="31">
        <f>SUM(B9:B38)</f>
        <v>-1023896</v>
      </c>
      <c r="C39" s="16"/>
      <c r="D39" s="23"/>
    </row>
    <row r="40" spans="1:13" s="14" customFormat="1" ht="15" customHeight="1" x14ac:dyDescent="0.25">
      <c r="A40" s="14" t="s">
        <v>2</v>
      </c>
      <c r="B40" s="31"/>
      <c r="C40" s="26" t="s">
        <v>730</v>
      </c>
      <c r="D40" s="28" t="s">
        <v>829</v>
      </c>
    </row>
    <row r="41" spans="1:13" s="14" customFormat="1" ht="15" customHeight="1" x14ac:dyDescent="0.25">
      <c r="A41" s="14" t="s">
        <v>1538</v>
      </c>
      <c r="B41" s="31">
        <v>25850</v>
      </c>
      <c r="C41" s="27">
        <v>45463</v>
      </c>
      <c r="D41" s="23" t="s">
        <v>1540</v>
      </c>
    </row>
    <row r="42" spans="1:13" s="14" customFormat="1" ht="15" customHeight="1" x14ac:dyDescent="0.25">
      <c r="B42" s="31"/>
      <c r="C42" s="27"/>
      <c r="D42" s="23"/>
    </row>
    <row r="43" spans="1:13" s="14" customFormat="1" ht="15" customHeight="1" x14ac:dyDescent="0.25">
      <c r="B43" s="31">
        <f>SUM(B41:B42)</f>
        <v>25850</v>
      </c>
      <c r="C43" s="16"/>
      <c r="D43" s="21"/>
      <c r="E43" s="21"/>
      <c r="F43" s="21"/>
    </row>
    <row r="44" spans="1:13" s="16" customFormat="1" ht="15" customHeight="1" x14ac:dyDescent="0.25">
      <c r="A44" s="18" t="s">
        <v>1</v>
      </c>
      <c r="B44" s="19">
        <f>B43+B39</f>
        <v>-998046</v>
      </c>
      <c r="D44" s="23"/>
      <c r="E44" s="21"/>
      <c r="F44" s="21"/>
      <c r="G44" s="21"/>
    </row>
    <row r="45" spans="1:13" s="16" customFormat="1" ht="15" customHeight="1" x14ac:dyDescent="0.25">
      <c r="A45" s="14" t="s">
        <v>0</v>
      </c>
      <c r="B45" s="15">
        <f>B44-B7</f>
        <v>0</v>
      </c>
      <c r="D45" s="23"/>
      <c r="E45" s="14"/>
      <c r="F45" s="14"/>
      <c r="G45" s="14"/>
      <c r="H45" s="14"/>
      <c r="I45" s="14"/>
    </row>
    <row r="46" spans="1:13" s="16" customFormat="1" ht="15" customHeight="1" x14ac:dyDescent="0.3">
      <c r="A46" s="1"/>
      <c r="B46" s="3"/>
      <c r="C46" s="2"/>
      <c r="D46" s="23"/>
      <c r="E46" s="14"/>
      <c r="F46" s="14"/>
      <c r="G46" s="14"/>
      <c r="I46" s="14"/>
      <c r="M46" s="14" t="s">
        <v>1164</v>
      </c>
    </row>
    <row r="47" spans="1:13" s="16" customFormat="1" ht="15" customHeight="1" x14ac:dyDescent="0.3">
      <c r="A47" s="1"/>
      <c r="B47" s="3"/>
      <c r="C47" s="2"/>
      <c r="D47" s="29"/>
      <c r="E47" s="14"/>
      <c r="F47" s="14"/>
      <c r="G47" s="14"/>
      <c r="I47" s="14"/>
      <c r="M47" s="14" t="s">
        <v>1165</v>
      </c>
    </row>
    <row r="48" spans="1:13" s="2" customFormat="1" ht="20.100000000000001" customHeight="1" x14ac:dyDescent="0.3">
      <c r="A48"/>
      <c r="B48" s="10"/>
      <c r="D48" s="29"/>
      <c r="E48" s="1"/>
      <c r="F48" s="1"/>
      <c r="G48" s="1"/>
      <c r="H48" s="1"/>
      <c r="I48" s="1"/>
    </row>
    <row r="49" spans="1:9" s="2" customFormat="1" ht="20.100000000000001" customHeight="1" x14ac:dyDescent="0.3">
      <c r="A49"/>
      <c r="B49" s="10"/>
      <c r="D49" s="29"/>
      <c r="E49" s="1"/>
      <c r="F49" s="1"/>
      <c r="G49" s="1"/>
      <c r="H49" s="1"/>
      <c r="I49" s="1"/>
    </row>
    <row r="50" spans="1:9" s="2" customFormat="1" ht="20.100000000000001" customHeight="1" x14ac:dyDescent="0.3">
      <c r="A50"/>
      <c r="B50" s="10"/>
      <c r="D50" s="29"/>
      <c r="E50" s="1"/>
      <c r="F50" s="1"/>
      <c r="G50" s="1"/>
      <c r="H50" s="1"/>
      <c r="I50" s="1"/>
    </row>
    <row r="51" spans="1:9" s="2" customFormat="1" ht="20.100000000000001" customHeight="1" x14ac:dyDescent="0.3">
      <c r="A51"/>
      <c r="B51" s="10"/>
      <c r="D51" s="29"/>
      <c r="E51" s="1"/>
      <c r="F51" s="1"/>
      <c r="G51" s="1"/>
      <c r="H51" s="1"/>
      <c r="I51" s="1"/>
    </row>
    <row r="52" spans="1:9" s="2" customFormat="1" ht="20.100000000000001" customHeight="1" x14ac:dyDescent="0.3">
      <c r="A52"/>
      <c r="B52" s="10"/>
      <c r="D52" s="29"/>
      <c r="E52" s="1"/>
      <c r="F52" s="1"/>
      <c r="G52" s="1"/>
      <c r="H52" s="1"/>
      <c r="I52" s="1"/>
    </row>
    <row r="53" spans="1:9" s="2" customFormat="1" ht="20.100000000000001" customHeight="1" x14ac:dyDescent="0.3">
      <c r="A53"/>
      <c r="B53" s="10"/>
      <c r="D53" s="29"/>
      <c r="E53" s="1"/>
      <c r="F53" s="1"/>
      <c r="G53" s="1"/>
      <c r="H53" s="1"/>
      <c r="I53" s="1"/>
    </row>
  </sheetData>
  <pageMargins left="0.7" right="0.7" top="0.75" bottom="0.75" header="0.3" footer="0.3"/>
  <pageSetup scale="88" fitToHeight="0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F829-B829-462B-B314-4DAFC75984B9}">
  <sheetPr>
    <pageSetUpPr fitToPage="1"/>
  </sheetPr>
  <dimension ref="A1:M34"/>
  <sheetViews>
    <sheetView workbookViewId="0">
      <selection activeCell="C21" sqref="C21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45504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9316477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-9115724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-9115724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200753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B9" s="31"/>
      <c r="C9" s="27"/>
      <c r="D9" s="23"/>
    </row>
    <row r="10" spans="1:4" s="14" customFormat="1" ht="15" customHeight="1" x14ac:dyDescent="0.25">
      <c r="B10" s="31"/>
      <c r="C10" s="27"/>
      <c r="D10" s="23"/>
    </row>
    <row r="11" spans="1:4" s="14" customFormat="1" ht="15" customHeight="1" x14ac:dyDescent="0.25">
      <c r="B11" s="31"/>
      <c r="C11" s="27"/>
      <c r="D11" s="23"/>
    </row>
    <row r="12" spans="1:4" s="14" customFormat="1" ht="15" customHeight="1" x14ac:dyDescent="0.25">
      <c r="B12" s="31"/>
      <c r="C12" s="27"/>
      <c r="D12" s="23"/>
    </row>
    <row r="13" spans="1:4" s="14" customFormat="1" ht="15" customHeight="1" x14ac:dyDescent="0.25">
      <c r="B13" s="31"/>
      <c r="C13" s="27"/>
      <c r="D13" s="23"/>
    </row>
    <row r="14" spans="1:4" s="14" customFormat="1" ht="15" customHeight="1" x14ac:dyDescent="0.25">
      <c r="B14" s="31"/>
      <c r="C14" s="27"/>
      <c r="D14" s="23"/>
    </row>
    <row r="15" spans="1:4" s="14" customFormat="1" ht="15" customHeight="1" x14ac:dyDescent="0.25">
      <c r="B15" s="31">
        <f>SUM(B9:B14)</f>
        <v>0</v>
      </c>
      <c r="C15" s="16"/>
      <c r="D15" s="23"/>
    </row>
    <row r="16" spans="1:4" s="14" customFormat="1" ht="15" customHeight="1" x14ac:dyDescent="0.25">
      <c r="A16" s="14" t="s">
        <v>2</v>
      </c>
      <c r="B16" s="31"/>
      <c r="C16" s="26" t="s">
        <v>730</v>
      </c>
      <c r="D16" s="28" t="s">
        <v>829</v>
      </c>
    </row>
    <row r="17" spans="1:13" s="14" customFormat="1" ht="15" customHeight="1" x14ac:dyDescent="0.25">
      <c r="A17" s="14" t="s">
        <v>1541</v>
      </c>
      <c r="B17" s="31">
        <v>41009</v>
      </c>
      <c r="C17" s="27">
        <v>45503</v>
      </c>
      <c r="D17" s="23">
        <v>45505</v>
      </c>
    </row>
    <row r="18" spans="1:13" s="14" customFormat="1" ht="15" customHeight="1" x14ac:dyDescent="0.25">
      <c r="A18" s="14" t="s">
        <v>1542</v>
      </c>
      <c r="B18" s="31">
        <v>49776</v>
      </c>
      <c r="C18" s="27">
        <v>45503</v>
      </c>
      <c r="D18" s="23">
        <v>45505</v>
      </c>
    </row>
    <row r="19" spans="1:13" s="14" customFormat="1" ht="15" customHeight="1" x14ac:dyDescent="0.25">
      <c r="A19" s="14" t="s">
        <v>1543</v>
      </c>
      <c r="B19" s="31">
        <v>53258</v>
      </c>
      <c r="C19" s="27">
        <v>45503</v>
      </c>
      <c r="D19" s="23">
        <v>45505</v>
      </c>
    </row>
    <row r="20" spans="1:13" s="14" customFormat="1" ht="15" customHeight="1" x14ac:dyDescent="0.25">
      <c r="A20" s="14" t="s">
        <v>1544</v>
      </c>
      <c r="B20" s="31">
        <v>56710</v>
      </c>
      <c r="C20" s="27">
        <v>45502</v>
      </c>
      <c r="D20" s="23">
        <v>45505</v>
      </c>
    </row>
    <row r="21" spans="1:13" s="14" customFormat="1" ht="15" customHeight="1" x14ac:dyDescent="0.25">
      <c r="B21" s="31"/>
      <c r="C21" s="27"/>
      <c r="D21" s="23"/>
    </row>
    <row r="22" spans="1:13" s="14" customFormat="1" ht="15" customHeight="1" x14ac:dyDescent="0.25">
      <c r="B22" s="31"/>
      <c r="C22" s="27"/>
      <c r="D22" s="23"/>
    </row>
    <row r="23" spans="1:13" s="14" customFormat="1" ht="15" customHeight="1" x14ac:dyDescent="0.25">
      <c r="B23" s="31"/>
      <c r="C23" s="27"/>
      <c r="D23" s="23"/>
    </row>
    <row r="24" spans="1:13" s="14" customFormat="1" ht="15" customHeight="1" x14ac:dyDescent="0.25">
      <c r="B24" s="31">
        <f>SUM(B17:B23)</f>
        <v>200753</v>
      </c>
      <c r="C24" s="16"/>
      <c r="D24" s="21"/>
      <c r="E24" s="21"/>
      <c r="F24" s="21"/>
    </row>
    <row r="25" spans="1:13" s="16" customFormat="1" ht="15" customHeight="1" x14ac:dyDescent="0.25">
      <c r="A25" s="18" t="s">
        <v>1</v>
      </c>
      <c r="B25" s="19">
        <f>B24+B15</f>
        <v>200753</v>
      </c>
      <c r="D25" s="23"/>
      <c r="E25" s="21"/>
      <c r="F25" s="21"/>
      <c r="G25" s="21"/>
    </row>
    <row r="26" spans="1:13" s="16" customFormat="1" ht="15" customHeight="1" x14ac:dyDescent="0.25">
      <c r="A26" s="14" t="s">
        <v>0</v>
      </c>
      <c r="B26" s="15">
        <f>B25-B7</f>
        <v>0</v>
      </c>
      <c r="D26" s="23"/>
      <c r="E26" s="14"/>
      <c r="F26" s="14"/>
      <c r="G26" s="14"/>
      <c r="H26" s="14"/>
      <c r="I26" s="14"/>
    </row>
    <row r="27" spans="1:13" s="16" customFormat="1" ht="15" customHeight="1" x14ac:dyDescent="0.3">
      <c r="A27" s="1"/>
      <c r="B27" s="3"/>
      <c r="C27" s="2"/>
      <c r="D27" s="23"/>
      <c r="E27" s="14"/>
      <c r="F27" s="14"/>
      <c r="G27" s="14"/>
      <c r="I27" s="14"/>
      <c r="M27" s="14" t="s">
        <v>1164</v>
      </c>
    </row>
    <row r="28" spans="1:13" s="16" customFormat="1" ht="15" customHeight="1" x14ac:dyDescent="0.3">
      <c r="A28" s="1"/>
      <c r="B28" s="3"/>
      <c r="C28" s="2"/>
      <c r="D28" s="29"/>
      <c r="E28" s="14"/>
      <c r="F28" s="14"/>
      <c r="G28" s="14"/>
      <c r="I28" s="14"/>
      <c r="M28" s="14" t="s">
        <v>1165</v>
      </c>
    </row>
    <row r="29" spans="1:13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</sheetData>
  <pageMargins left="0.7" right="0.7" top="0.75" bottom="0.75" header="0.3" footer="0.3"/>
  <pageSetup scale="88" fitToHeight="0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008A-2049-4C33-8DF7-47CDCCEADDAC}">
  <sheetPr>
    <pageSetUpPr fitToPage="1"/>
  </sheetPr>
  <dimension ref="A1:M39"/>
  <sheetViews>
    <sheetView topLeftCell="A8" workbookViewId="0">
      <selection activeCell="D27" sqref="D27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45535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7590216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-8000331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-8000331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-410115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1545</v>
      </c>
      <c r="B9" s="31">
        <v>-30962</v>
      </c>
      <c r="C9" s="27">
        <v>45527</v>
      </c>
      <c r="D9" s="23">
        <v>45538</v>
      </c>
    </row>
    <row r="10" spans="1:4" s="14" customFormat="1" ht="15" customHeight="1" x14ac:dyDescent="0.25">
      <c r="A10" s="14" t="s">
        <v>1546</v>
      </c>
      <c r="B10" s="31">
        <v>-32279</v>
      </c>
      <c r="C10" s="27">
        <v>45527</v>
      </c>
      <c r="D10" s="23">
        <v>45538</v>
      </c>
    </row>
    <row r="11" spans="1:4" s="14" customFormat="1" ht="15" customHeight="1" x14ac:dyDescent="0.25">
      <c r="A11" s="14" t="s">
        <v>1547</v>
      </c>
      <c r="B11" s="31">
        <v>-35740</v>
      </c>
      <c r="C11" s="27">
        <v>45534</v>
      </c>
      <c r="D11" s="23">
        <v>45539</v>
      </c>
    </row>
    <row r="12" spans="1:4" s="14" customFormat="1" ht="15" customHeight="1" x14ac:dyDescent="0.25">
      <c r="A12" s="14" t="s">
        <v>1548</v>
      </c>
      <c r="B12" s="31">
        <v>-35923</v>
      </c>
      <c r="C12" s="27">
        <v>45532</v>
      </c>
      <c r="D12" s="23">
        <v>45538</v>
      </c>
    </row>
    <row r="13" spans="1:4" s="14" customFormat="1" ht="15" customHeight="1" x14ac:dyDescent="0.25">
      <c r="A13" s="14" t="s">
        <v>1549</v>
      </c>
      <c r="B13" s="31">
        <v>-38383</v>
      </c>
      <c r="C13" s="27">
        <v>45527</v>
      </c>
      <c r="D13" s="23">
        <v>45538</v>
      </c>
    </row>
    <row r="14" spans="1:4" s="14" customFormat="1" ht="15" customHeight="1" x14ac:dyDescent="0.25">
      <c r="A14" s="14" t="s">
        <v>1550</v>
      </c>
      <c r="B14" s="31">
        <v>-39015</v>
      </c>
      <c r="C14" s="27">
        <v>45532</v>
      </c>
      <c r="D14" s="23">
        <v>45538</v>
      </c>
    </row>
    <row r="15" spans="1:4" s="14" customFormat="1" ht="15" customHeight="1" x14ac:dyDescent="0.25">
      <c r="A15" s="14" t="s">
        <v>1551</v>
      </c>
      <c r="B15" s="31">
        <v>-42567</v>
      </c>
      <c r="C15" s="27">
        <v>45532</v>
      </c>
      <c r="D15" s="23">
        <v>45538</v>
      </c>
    </row>
    <row r="16" spans="1:4" s="14" customFormat="1" ht="15" customHeight="1" x14ac:dyDescent="0.25">
      <c r="A16" s="14" t="s">
        <v>1552</v>
      </c>
      <c r="B16" s="31">
        <v>-44089</v>
      </c>
      <c r="C16" s="27">
        <v>45532</v>
      </c>
      <c r="D16" s="23">
        <v>45538</v>
      </c>
    </row>
    <row r="17" spans="1:13" s="14" customFormat="1" ht="15" customHeight="1" x14ac:dyDescent="0.25">
      <c r="A17" s="14" t="s">
        <v>1553</v>
      </c>
      <c r="B17" s="31">
        <v>-44530</v>
      </c>
      <c r="C17" s="27">
        <v>45532</v>
      </c>
      <c r="D17" s="23">
        <v>45538</v>
      </c>
    </row>
    <row r="18" spans="1:13" s="14" customFormat="1" ht="15" customHeight="1" x14ac:dyDescent="0.25">
      <c r="A18" s="14" t="s">
        <v>1554</v>
      </c>
      <c r="B18" s="31">
        <v>-44569</v>
      </c>
      <c r="C18" s="27">
        <v>45532</v>
      </c>
      <c r="D18" s="23">
        <v>45538</v>
      </c>
    </row>
    <row r="19" spans="1:13" s="14" customFormat="1" ht="15" customHeight="1" x14ac:dyDescent="0.25">
      <c r="A19" s="14" t="s">
        <v>1555</v>
      </c>
      <c r="B19" s="31">
        <v>-44810</v>
      </c>
      <c r="C19" s="27">
        <v>45532</v>
      </c>
      <c r="D19" s="23">
        <v>45538</v>
      </c>
    </row>
    <row r="20" spans="1:13" s="14" customFormat="1" ht="15" customHeight="1" x14ac:dyDescent="0.25">
      <c r="A20" s="14" t="s">
        <v>1556</v>
      </c>
      <c r="B20" s="31">
        <v>-44858</v>
      </c>
      <c r="C20" s="27">
        <v>45532</v>
      </c>
      <c r="D20" s="23">
        <v>45538</v>
      </c>
    </row>
    <row r="21" spans="1:13" s="14" customFormat="1" ht="15" customHeight="1" x14ac:dyDescent="0.25">
      <c r="B21" s="31"/>
      <c r="C21" s="27"/>
      <c r="D21" s="23"/>
    </row>
    <row r="22" spans="1:13" s="14" customFormat="1" ht="15" customHeight="1" x14ac:dyDescent="0.25">
      <c r="B22" s="31"/>
      <c r="C22" s="27"/>
      <c r="D22" s="23"/>
    </row>
    <row r="23" spans="1:13" s="14" customFormat="1" ht="15" customHeight="1" x14ac:dyDescent="0.25">
      <c r="B23" s="31">
        <f>SUM(B9:B22)</f>
        <v>-477725</v>
      </c>
      <c r="C23" s="16"/>
      <c r="D23" s="23"/>
    </row>
    <row r="24" spans="1:13" s="14" customFormat="1" ht="15" customHeight="1" x14ac:dyDescent="0.25">
      <c r="A24" s="14" t="s">
        <v>2</v>
      </c>
      <c r="B24" s="31"/>
      <c r="C24" s="26" t="s">
        <v>730</v>
      </c>
      <c r="D24" s="28" t="s">
        <v>829</v>
      </c>
    </row>
    <row r="25" spans="1:13" s="14" customFormat="1" ht="15" customHeight="1" x14ac:dyDescent="0.25">
      <c r="A25" s="14" t="s">
        <v>1557</v>
      </c>
      <c r="B25" s="31">
        <v>32610</v>
      </c>
      <c r="C25" s="27">
        <v>45525</v>
      </c>
      <c r="D25" s="23" t="s">
        <v>1559</v>
      </c>
    </row>
    <row r="26" spans="1:13" s="14" customFormat="1" ht="15" customHeight="1" x14ac:dyDescent="0.25">
      <c r="A26" s="14" t="s">
        <v>1558</v>
      </c>
      <c r="B26" s="31">
        <v>35000</v>
      </c>
      <c r="C26" s="27">
        <v>45511</v>
      </c>
      <c r="D26" s="23" t="s">
        <v>1559</v>
      </c>
    </row>
    <row r="27" spans="1:13" s="14" customFormat="1" ht="15" customHeight="1" x14ac:dyDescent="0.25">
      <c r="B27" s="31"/>
      <c r="C27" s="27"/>
      <c r="D27" s="23"/>
    </row>
    <row r="28" spans="1:13" s="14" customFormat="1" ht="15" customHeight="1" x14ac:dyDescent="0.25">
      <c r="B28" s="31"/>
      <c r="C28" s="27"/>
      <c r="D28" s="23"/>
    </row>
    <row r="29" spans="1:13" s="14" customFormat="1" ht="15" customHeight="1" x14ac:dyDescent="0.25">
      <c r="B29" s="31">
        <f>SUM(B25:B28)</f>
        <v>67610</v>
      </c>
      <c r="C29" s="16"/>
      <c r="D29" s="21"/>
      <c r="E29" s="21"/>
      <c r="F29" s="21"/>
    </row>
    <row r="30" spans="1:13" s="16" customFormat="1" ht="15" customHeight="1" x14ac:dyDescent="0.25">
      <c r="A30" s="18" t="s">
        <v>1</v>
      </c>
      <c r="B30" s="19">
        <f>B29+B23</f>
        <v>-410115</v>
      </c>
      <c r="D30" s="23"/>
      <c r="E30" s="21"/>
      <c r="F30" s="21"/>
      <c r="G30" s="21"/>
    </row>
    <row r="31" spans="1:13" s="16" customFormat="1" ht="15" customHeight="1" x14ac:dyDescent="0.25">
      <c r="A31" s="14" t="s">
        <v>0</v>
      </c>
      <c r="B31" s="15">
        <f>B30-B7</f>
        <v>0</v>
      </c>
      <c r="D31" s="23"/>
      <c r="E31" s="14"/>
      <c r="F31" s="14"/>
      <c r="G31" s="14"/>
      <c r="H31" s="14"/>
      <c r="I31" s="14"/>
    </row>
    <row r="32" spans="1:13" s="16" customFormat="1" ht="15" customHeight="1" x14ac:dyDescent="0.3">
      <c r="A32" s="1"/>
      <c r="B32" s="3"/>
      <c r="C32" s="2"/>
      <c r="D32" s="23"/>
      <c r="E32" s="14"/>
      <c r="F32" s="14"/>
      <c r="G32" s="14"/>
      <c r="I32" s="14"/>
      <c r="M32" s="14" t="s">
        <v>1164</v>
      </c>
    </row>
    <row r="33" spans="1:13" s="16" customFormat="1" ht="15" customHeight="1" x14ac:dyDescent="0.3">
      <c r="A33" s="1"/>
      <c r="B33" s="3"/>
      <c r="C33" s="2"/>
      <c r="D33" s="29"/>
      <c r="E33" s="14"/>
      <c r="F33" s="14"/>
      <c r="G33" s="14"/>
      <c r="I33" s="14"/>
      <c r="M33" s="14" t="s">
        <v>1165</v>
      </c>
    </row>
    <row r="34" spans="1:13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13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13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13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</sheetData>
  <pageMargins left="0.7" right="0.7" top="0.75" bottom="0.75" header="0.3" footer="0.3"/>
  <pageSetup scale="88" fitToHeight="0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7669-8A8F-4F29-B706-A4C44288141D}">
  <sheetPr>
    <pageSetUpPr fitToPage="1"/>
  </sheetPr>
  <dimension ref="A1:M39"/>
  <sheetViews>
    <sheetView workbookViewId="0">
      <selection activeCell="J28" sqref="J28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45565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7003052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-7188324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-7188324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-185272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1560</v>
      </c>
      <c r="B9" s="31">
        <v>-31363</v>
      </c>
      <c r="C9" s="27">
        <v>45563</v>
      </c>
      <c r="D9" s="23">
        <v>45568</v>
      </c>
    </row>
    <row r="10" spans="1:4" s="14" customFormat="1" ht="15" customHeight="1" x14ac:dyDescent="0.25">
      <c r="A10" s="14" t="s">
        <v>1565</v>
      </c>
      <c r="B10" s="31">
        <v>-32809</v>
      </c>
      <c r="C10" s="27">
        <v>45565</v>
      </c>
      <c r="D10" s="23">
        <v>45568</v>
      </c>
    </row>
    <row r="11" spans="1:4" s="14" customFormat="1" ht="15" customHeight="1" x14ac:dyDescent="0.25">
      <c r="A11" s="14" t="s">
        <v>1561</v>
      </c>
      <c r="B11" s="31">
        <v>-35257</v>
      </c>
      <c r="C11" s="27">
        <v>45563</v>
      </c>
      <c r="D11" s="23">
        <v>45566</v>
      </c>
    </row>
    <row r="12" spans="1:4" s="14" customFormat="1" ht="15" customHeight="1" x14ac:dyDescent="0.25">
      <c r="A12" s="14" t="s">
        <v>1562</v>
      </c>
      <c r="B12" s="31">
        <v>-38383</v>
      </c>
      <c r="C12" s="27">
        <v>45565</v>
      </c>
      <c r="D12" s="23">
        <v>45572</v>
      </c>
    </row>
    <row r="13" spans="1:4" s="14" customFormat="1" ht="15" customHeight="1" x14ac:dyDescent="0.25">
      <c r="A13" s="14" t="s">
        <v>1563</v>
      </c>
      <c r="B13" s="31">
        <v>-38383</v>
      </c>
      <c r="C13" s="27">
        <v>45565</v>
      </c>
      <c r="D13" s="23">
        <v>45572</v>
      </c>
    </row>
    <row r="14" spans="1:4" s="14" customFormat="1" ht="15" customHeight="1" x14ac:dyDescent="0.25">
      <c r="A14" s="14" t="s">
        <v>1564</v>
      </c>
      <c r="B14" s="31">
        <v>-41687</v>
      </c>
      <c r="C14" s="27">
        <v>45565</v>
      </c>
      <c r="D14" s="23">
        <v>45572</v>
      </c>
    </row>
    <row r="15" spans="1:4" s="14" customFormat="1" ht="15" customHeight="1" x14ac:dyDescent="0.25">
      <c r="B15" s="31"/>
      <c r="C15" s="27"/>
      <c r="D15" s="23"/>
    </row>
    <row r="16" spans="1:4" s="14" customFormat="1" ht="15" customHeight="1" x14ac:dyDescent="0.25">
      <c r="B16" s="31"/>
      <c r="C16" s="27"/>
      <c r="D16" s="23"/>
    </row>
    <row r="17" spans="1:13" s="14" customFormat="1" ht="15" customHeight="1" x14ac:dyDescent="0.25">
      <c r="B17" s="31"/>
      <c r="C17" s="27"/>
      <c r="D17" s="23"/>
    </row>
    <row r="18" spans="1:13" s="14" customFormat="1" ht="15" customHeight="1" x14ac:dyDescent="0.25">
      <c r="B18" s="31"/>
      <c r="C18" s="27"/>
      <c r="D18" s="23"/>
    </row>
    <row r="19" spans="1:13" s="14" customFormat="1" ht="15" customHeight="1" x14ac:dyDescent="0.25">
      <c r="B19" s="31"/>
      <c r="C19" s="27"/>
      <c r="D19" s="23"/>
    </row>
    <row r="20" spans="1:13" s="14" customFormat="1" ht="15" customHeight="1" x14ac:dyDescent="0.25">
      <c r="B20" s="31"/>
      <c r="C20" s="27"/>
      <c r="D20" s="23"/>
    </row>
    <row r="21" spans="1:13" s="14" customFormat="1" ht="15" customHeight="1" x14ac:dyDescent="0.25">
      <c r="B21" s="31"/>
      <c r="C21" s="27"/>
      <c r="D21" s="23"/>
    </row>
    <row r="22" spans="1:13" s="14" customFormat="1" ht="15" customHeight="1" x14ac:dyDescent="0.25">
      <c r="B22" s="31"/>
      <c r="C22" s="27"/>
      <c r="D22" s="23"/>
    </row>
    <row r="23" spans="1:13" s="14" customFormat="1" ht="15" customHeight="1" x14ac:dyDescent="0.25">
      <c r="B23" s="31">
        <f>SUM(B9:B22)</f>
        <v>-217882</v>
      </c>
      <c r="C23" s="16"/>
      <c r="D23" s="23"/>
    </row>
    <row r="24" spans="1:13" s="14" customFormat="1" ht="15" customHeight="1" x14ac:dyDescent="0.25">
      <c r="A24" s="14" t="s">
        <v>2</v>
      </c>
      <c r="B24" s="31"/>
      <c r="C24" s="26" t="s">
        <v>730</v>
      </c>
      <c r="D24" s="28" t="s">
        <v>829</v>
      </c>
    </row>
    <row r="25" spans="1:13" s="14" customFormat="1" ht="15" customHeight="1" x14ac:dyDescent="0.25">
      <c r="A25" s="14" t="s">
        <v>1557</v>
      </c>
      <c r="B25" s="31">
        <v>32610</v>
      </c>
      <c r="C25" s="27">
        <v>45525</v>
      </c>
      <c r="D25" s="23">
        <v>45570</v>
      </c>
    </row>
    <row r="26" spans="1:13" s="14" customFormat="1" ht="15" customHeight="1" x14ac:dyDescent="0.25">
      <c r="B26" s="31"/>
      <c r="C26" s="27"/>
      <c r="D26" s="23"/>
    </row>
    <row r="27" spans="1:13" s="14" customFormat="1" ht="15" customHeight="1" x14ac:dyDescent="0.25">
      <c r="B27" s="31"/>
      <c r="C27" s="27"/>
      <c r="D27" s="23"/>
    </row>
    <row r="28" spans="1:13" s="14" customFormat="1" ht="15" customHeight="1" x14ac:dyDescent="0.25">
      <c r="B28" s="31"/>
      <c r="C28" s="27"/>
      <c r="D28" s="23"/>
    </row>
    <row r="29" spans="1:13" s="14" customFormat="1" ht="15" customHeight="1" x14ac:dyDescent="0.25">
      <c r="B29" s="31">
        <f>SUM(B25:B28)</f>
        <v>32610</v>
      </c>
      <c r="C29" s="16"/>
      <c r="D29" s="21"/>
      <c r="E29" s="21"/>
      <c r="F29" s="21"/>
    </row>
    <row r="30" spans="1:13" s="16" customFormat="1" ht="15" customHeight="1" x14ac:dyDescent="0.25">
      <c r="A30" s="18" t="s">
        <v>1</v>
      </c>
      <c r="B30" s="19">
        <f>B29+B23</f>
        <v>-185272</v>
      </c>
      <c r="D30" s="23"/>
      <c r="E30" s="21"/>
      <c r="F30" s="21"/>
      <c r="G30" s="21"/>
    </row>
    <row r="31" spans="1:13" s="16" customFormat="1" ht="15" customHeight="1" x14ac:dyDescent="0.25">
      <c r="A31" s="14" t="s">
        <v>0</v>
      </c>
      <c r="B31" s="15">
        <f>B30-B7</f>
        <v>0</v>
      </c>
      <c r="D31" s="23"/>
      <c r="E31" s="14"/>
      <c r="F31" s="14"/>
      <c r="G31" s="14"/>
      <c r="H31" s="14"/>
      <c r="I31" s="14"/>
    </row>
    <row r="32" spans="1:13" s="16" customFormat="1" ht="15" customHeight="1" x14ac:dyDescent="0.3">
      <c r="A32" s="1"/>
      <c r="B32" s="3"/>
      <c r="C32" s="2"/>
      <c r="D32" s="23"/>
      <c r="E32" s="14"/>
      <c r="F32" s="14"/>
      <c r="G32" s="14"/>
      <c r="I32" s="14"/>
      <c r="M32" s="14" t="s">
        <v>1164</v>
      </c>
    </row>
    <row r="33" spans="1:13" s="16" customFormat="1" ht="15" customHeight="1" x14ac:dyDescent="0.3">
      <c r="A33" s="1"/>
      <c r="B33" s="3"/>
      <c r="C33" s="2"/>
      <c r="D33" s="29"/>
      <c r="E33" s="14"/>
      <c r="F33" s="14"/>
      <c r="G33" s="14"/>
      <c r="I33" s="14"/>
      <c r="M33" s="14" t="s">
        <v>1165</v>
      </c>
    </row>
    <row r="34" spans="1:13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13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13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13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</sheetData>
  <pageMargins left="0.7" right="0.7" top="0.75" bottom="0.75" header="0.3" footer="0.3"/>
  <pageSetup scale="88" fitToHeight="0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27CE-BA55-4A98-9CCC-CBDF477E5DD6}">
  <sheetPr>
    <pageSetUpPr fitToPage="1"/>
  </sheetPr>
  <dimension ref="A1:M31"/>
  <sheetViews>
    <sheetView workbookViewId="0">
      <selection activeCell="C20" sqref="C20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45596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6728744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-6628343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-6628343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100401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1566</v>
      </c>
      <c r="B9" s="31">
        <v>-31363</v>
      </c>
      <c r="C9" s="27">
        <v>45594</v>
      </c>
      <c r="D9" s="23">
        <v>45597</v>
      </c>
    </row>
    <row r="10" spans="1:4" s="14" customFormat="1" ht="15" customHeight="1" x14ac:dyDescent="0.25">
      <c r="A10" s="14" t="s">
        <v>1567</v>
      </c>
      <c r="B10" s="31">
        <v>-31363</v>
      </c>
      <c r="C10" s="27">
        <v>45594</v>
      </c>
      <c r="D10" s="23">
        <v>45600</v>
      </c>
    </row>
    <row r="11" spans="1:4" s="14" customFormat="1" ht="15" customHeight="1" x14ac:dyDescent="0.25">
      <c r="A11" s="14" t="s">
        <v>1568</v>
      </c>
      <c r="B11" s="31">
        <v>-34570</v>
      </c>
      <c r="C11" s="27">
        <v>45594</v>
      </c>
      <c r="D11" s="23">
        <v>45600</v>
      </c>
    </row>
    <row r="12" spans="1:4" s="14" customFormat="1" ht="15" customHeight="1" x14ac:dyDescent="0.25">
      <c r="B12" s="31"/>
      <c r="C12" s="27"/>
      <c r="D12" s="23"/>
    </row>
    <row r="13" spans="1:4" s="14" customFormat="1" ht="15" customHeight="1" x14ac:dyDescent="0.25">
      <c r="B13" s="31">
        <f>SUM(B9:B12)</f>
        <v>-97296</v>
      </c>
      <c r="C13" s="16"/>
      <c r="D13" s="23"/>
    </row>
    <row r="14" spans="1:4" s="14" customFormat="1" ht="15" customHeight="1" x14ac:dyDescent="0.25">
      <c r="A14" s="14" t="s">
        <v>2</v>
      </c>
      <c r="B14" s="31"/>
      <c r="C14" s="26" t="s">
        <v>730</v>
      </c>
      <c r="D14" s="28" t="s">
        <v>829</v>
      </c>
    </row>
    <row r="15" spans="1:4" s="14" customFormat="1" ht="15" customHeight="1" x14ac:dyDescent="0.25">
      <c r="A15" s="14" t="s">
        <v>1569</v>
      </c>
      <c r="B15" s="31">
        <v>28863</v>
      </c>
      <c r="C15" s="27">
        <v>45596</v>
      </c>
      <c r="D15" s="23">
        <v>45597</v>
      </c>
    </row>
    <row r="16" spans="1:4" s="14" customFormat="1" ht="15" customHeight="1" x14ac:dyDescent="0.25">
      <c r="A16" s="14" t="s">
        <v>1570</v>
      </c>
      <c r="B16" s="31">
        <v>32057</v>
      </c>
      <c r="C16" s="27">
        <v>45596</v>
      </c>
      <c r="D16" s="23">
        <v>45597</v>
      </c>
    </row>
    <row r="17" spans="1:13" s="14" customFormat="1" ht="15" customHeight="1" x14ac:dyDescent="0.25">
      <c r="A17" s="14" t="s">
        <v>1571</v>
      </c>
      <c r="B17" s="31">
        <v>39175</v>
      </c>
      <c r="C17" s="27">
        <v>45596</v>
      </c>
      <c r="D17" s="23">
        <v>45597</v>
      </c>
    </row>
    <row r="18" spans="1:13" s="14" customFormat="1" ht="15" customHeight="1" x14ac:dyDescent="0.25">
      <c r="A18" s="14" t="s">
        <v>1572</v>
      </c>
      <c r="B18" s="31">
        <v>41900</v>
      </c>
      <c r="C18" s="27">
        <v>45588</v>
      </c>
      <c r="D18" s="23">
        <v>45597</v>
      </c>
    </row>
    <row r="19" spans="1:13" s="14" customFormat="1" ht="15" customHeight="1" x14ac:dyDescent="0.25">
      <c r="A19" s="14" t="s">
        <v>1573</v>
      </c>
      <c r="B19" s="31">
        <v>55702</v>
      </c>
      <c r="C19" s="27">
        <v>45596</v>
      </c>
      <c r="D19" s="23">
        <v>45597</v>
      </c>
    </row>
    <row r="20" spans="1:13" s="14" customFormat="1" ht="15" customHeight="1" x14ac:dyDescent="0.25">
      <c r="B20" s="31"/>
      <c r="C20" s="27"/>
      <c r="D20" s="23"/>
    </row>
    <row r="21" spans="1:13" s="14" customFormat="1" ht="15" customHeight="1" x14ac:dyDescent="0.25">
      <c r="B21" s="31">
        <f>SUM(B15:B20)</f>
        <v>197697</v>
      </c>
      <c r="C21" s="16"/>
      <c r="D21" s="21"/>
      <c r="E21" s="21"/>
      <c r="F21" s="21"/>
    </row>
    <row r="22" spans="1:13" s="16" customFormat="1" ht="15" customHeight="1" x14ac:dyDescent="0.25">
      <c r="A22" s="18" t="s">
        <v>1</v>
      </c>
      <c r="B22" s="19">
        <f>B21+B13</f>
        <v>100401</v>
      </c>
      <c r="D22" s="23"/>
      <c r="E22" s="21"/>
      <c r="F22" s="21"/>
      <c r="G22" s="21"/>
    </row>
    <row r="23" spans="1:13" s="16" customFormat="1" ht="15" customHeight="1" x14ac:dyDescent="0.25">
      <c r="A23" s="14" t="s">
        <v>0</v>
      </c>
      <c r="B23" s="15">
        <f>B22-B7</f>
        <v>0</v>
      </c>
      <c r="D23" s="23"/>
      <c r="E23" s="14"/>
      <c r="F23" s="14"/>
      <c r="G23" s="14"/>
      <c r="H23" s="14"/>
      <c r="I23" s="14"/>
    </row>
    <row r="24" spans="1:13" s="16" customFormat="1" ht="15" customHeight="1" x14ac:dyDescent="0.3">
      <c r="A24" s="1"/>
      <c r="B24" s="3"/>
      <c r="C24" s="2"/>
      <c r="D24" s="23"/>
      <c r="E24" s="14"/>
      <c r="F24" s="14"/>
      <c r="G24" s="14"/>
      <c r="I24" s="14"/>
      <c r="M24" s="14" t="s">
        <v>1164</v>
      </c>
    </row>
    <row r="25" spans="1:13" s="16" customFormat="1" ht="15" customHeight="1" x14ac:dyDescent="0.3">
      <c r="A25" s="1"/>
      <c r="B25" s="3"/>
      <c r="C25" s="2"/>
      <c r="D25" s="29"/>
      <c r="E25" s="14"/>
      <c r="F25" s="14"/>
      <c r="G25" s="14"/>
      <c r="I25" s="14"/>
      <c r="M25" s="14" t="s">
        <v>1165</v>
      </c>
    </row>
    <row r="26" spans="1:13" s="2" customFormat="1" ht="20.100000000000001" customHeight="1" x14ac:dyDescent="0.3">
      <c r="A26"/>
      <c r="B26" s="10"/>
      <c r="D26" s="29"/>
      <c r="E26" s="1"/>
      <c r="F26" s="1"/>
      <c r="G26" s="1"/>
      <c r="H26" s="1"/>
      <c r="I26" s="1"/>
    </row>
    <row r="27" spans="1:13" s="2" customFormat="1" ht="20.100000000000001" customHeight="1" x14ac:dyDescent="0.3">
      <c r="A27"/>
      <c r="B27" s="10"/>
      <c r="D27" s="29"/>
      <c r="E27" s="1"/>
      <c r="F27" s="1"/>
      <c r="G27" s="1"/>
      <c r="H27" s="1"/>
      <c r="I27" s="1"/>
    </row>
    <row r="28" spans="1:13" s="2" customFormat="1" ht="20.100000000000001" customHeight="1" x14ac:dyDescent="0.3">
      <c r="A28"/>
      <c r="B28" s="10"/>
      <c r="D28" s="29"/>
      <c r="E28" s="1"/>
      <c r="F28" s="1"/>
      <c r="G28" s="1"/>
      <c r="H28" s="1"/>
      <c r="I28" s="1"/>
    </row>
    <row r="29" spans="1:13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</sheetData>
  <pageMargins left="0.7" right="0.7" top="0.75" bottom="0.75" header="0.3" footer="0.3"/>
  <pageSetup scale="88" fitToHeight="0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705B-6550-4416-A2AB-6398DCC004E0}">
  <sheetPr>
    <pageSetUpPr fitToPage="1"/>
  </sheetPr>
  <dimension ref="A1:M35"/>
  <sheetViews>
    <sheetView workbookViewId="0">
      <selection activeCell="C24" sqref="C24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45626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7608316.0999999996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-7604600.0999999996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-7604600.0999999996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3716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1575</v>
      </c>
      <c r="B9" s="31">
        <v>-32279</v>
      </c>
      <c r="C9" s="27">
        <v>45625</v>
      </c>
      <c r="D9" s="23">
        <v>45628</v>
      </c>
    </row>
    <row r="10" spans="1:4" s="14" customFormat="1" ht="15" customHeight="1" x14ac:dyDescent="0.25">
      <c r="A10" s="14" t="s">
        <v>1574</v>
      </c>
      <c r="B10" s="31">
        <v>-33154</v>
      </c>
      <c r="C10" s="27">
        <v>45625</v>
      </c>
      <c r="D10" s="23">
        <v>45629</v>
      </c>
    </row>
    <row r="11" spans="1:4" s="14" customFormat="1" ht="15" customHeight="1" x14ac:dyDescent="0.25">
      <c r="A11" s="14" t="s">
        <v>1576</v>
      </c>
      <c r="B11" s="31">
        <v>-35033</v>
      </c>
      <c r="C11" s="27">
        <v>45622</v>
      </c>
      <c r="D11" s="23">
        <v>45628</v>
      </c>
    </row>
    <row r="12" spans="1:4" s="14" customFormat="1" ht="15" customHeight="1" x14ac:dyDescent="0.25">
      <c r="A12" s="14" t="s">
        <v>1577</v>
      </c>
      <c r="B12" s="31">
        <v>-35339</v>
      </c>
      <c r="C12" s="27">
        <v>45622</v>
      </c>
      <c r="D12" s="23">
        <v>45628</v>
      </c>
    </row>
    <row r="13" spans="1:4" s="14" customFormat="1" ht="15" customHeight="1" x14ac:dyDescent="0.25">
      <c r="A13" s="14" t="s">
        <v>1578</v>
      </c>
      <c r="B13" s="31">
        <v>-35574</v>
      </c>
      <c r="C13" s="27">
        <v>45622</v>
      </c>
      <c r="D13" s="23">
        <v>45628</v>
      </c>
    </row>
    <row r="14" spans="1:4" s="14" customFormat="1" ht="15" customHeight="1" x14ac:dyDescent="0.25">
      <c r="A14" s="14" t="s">
        <v>1579</v>
      </c>
      <c r="B14" s="31">
        <v>-40970</v>
      </c>
      <c r="C14" s="27">
        <v>45625</v>
      </c>
      <c r="D14" s="23">
        <v>45628</v>
      </c>
    </row>
    <row r="15" spans="1:4" s="14" customFormat="1" ht="15" customHeight="1" x14ac:dyDescent="0.25">
      <c r="B15" s="31"/>
      <c r="C15" s="27"/>
      <c r="D15" s="23"/>
    </row>
    <row r="16" spans="1:4" s="14" customFormat="1" ht="15" customHeight="1" x14ac:dyDescent="0.25">
      <c r="B16" s="31">
        <f>SUM(B9:B15)</f>
        <v>-212349</v>
      </c>
      <c r="C16" s="16"/>
      <c r="D16" s="23"/>
    </row>
    <row r="17" spans="1:13" s="14" customFormat="1" ht="15" customHeight="1" x14ac:dyDescent="0.25">
      <c r="A17" s="14" t="s">
        <v>2</v>
      </c>
      <c r="B17" s="31"/>
      <c r="C17" s="26" t="s">
        <v>730</v>
      </c>
      <c r="D17" s="28" t="s">
        <v>829</v>
      </c>
    </row>
    <row r="18" spans="1:13" s="14" customFormat="1" ht="15" customHeight="1" x14ac:dyDescent="0.25">
      <c r="A18" s="14" t="s">
        <v>1580</v>
      </c>
      <c r="B18" s="31">
        <v>30572</v>
      </c>
      <c r="C18" s="27">
        <v>45625</v>
      </c>
      <c r="D18" s="23">
        <v>45628</v>
      </c>
    </row>
    <row r="19" spans="1:13" s="14" customFormat="1" ht="15" customHeight="1" x14ac:dyDescent="0.25">
      <c r="A19" s="14" t="s">
        <v>1581</v>
      </c>
      <c r="B19" s="31">
        <v>31102</v>
      </c>
      <c r="C19" s="27">
        <v>45625</v>
      </c>
      <c r="D19" s="23">
        <v>45628</v>
      </c>
    </row>
    <row r="20" spans="1:13" s="14" customFormat="1" ht="15" customHeight="1" x14ac:dyDescent="0.25">
      <c r="A20" s="14" t="s">
        <v>1582</v>
      </c>
      <c r="B20" s="31">
        <v>38354</v>
      </c>
      <c r="C20" s="27">
        <v>45625</v>
      </c>
      <c r="D20" s="23">
        <v>45628</v>
      </c>
    </row>
    <row r="21" spans="1:13" s="14" customFormat="1" ht="15" customHeight="1" x14ac:dyDescent="0.25">
      <c r="A21" s="14" t="s">
        <v>1583</v>
      </c>
      <c r="B21" s="31">
        <v>38354</v>
      </c>
      <c r="C21" s="27">
        <v>45625</v>
      </c>
      <c r="D21" s="23">
        <v>45628</v>
      </c>
    </row>
    <row r="22" spans="1:13" s="14" customFormat="1" ht="15" customHeight="1" x14ac:dyDescent="0.25">
      <c r="A22" s="14" t="s">
        <v>1584</v>
      </c>
      <c r="B22" s="31">
        <v>38805</v>
      </c>
      <c r="C22" s="27">
        <v>45625</v>
      </c>
      <c r="D22" s="23">
        <v>45628</v>
      </c>
    </row>
    <row r="23" spans="1:13" s="14" customFormat="1" ht="15" customHeight="1" x14ac:dyDescent="0.25">
      <c r="A23" s="14" t="s">
        <v>1585</v>
      </c>
      <c r="B23" s="31">
        <v>38878</v>
      </c>
      <c r="C23" s="27">
        <v>45625</v>
      </c>
      <c r="D23" s="23">
        <v>45628</v>
      </c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>
        <f>SUM(B18:B24)</f>
        <v>216065</v>
      </c>
      <c r="C25" s="16"/>
      <c r="D25" s="21"/>
      <c r="E25" s="21"/>
      <c r="F25" s="21"/>
    </row>
    <row r="26" spans="1:13" s="16" customFormat="1" ht="15" customHeight="1" x14ac:dyDescent="0.25">
      <c r="A26" s="18" t="s">
        <v>1</v>
      </c>
      <c r="B26" s="19">
        <f>B25+B16</f>
        <v>3716</v>
      </c>
      <c r="D26" s="23"/>
      <c r="E26" s="21"/>
      <c r="F26" s="21"/>
      <c r="G26" s="21"/>
    </row>
    <row r="27" spans="1:13" s="16" customFormat="1" ht="15" customHeight="1" x14ac:dyDescent="0.25">
      <c r="A27" s="14" t="s">
        <v>0</v>
      </c>
      <c r="B27" s="15">
        <f>B26-B7</f>
        <v>0</v>
      </c>
      <c r="D27" s="23"/>
      <c r="E27" s="14"/>
      <c r="F27" s="14"/>
      <c r="G27" s="14"/>
      <c r="H27" s="14"/>
      <c r="I27" s="14"/>
    </row>
    <row r="28" spans="1:13" s="16" customFormat="1" ht="15" customHeight="1" x14ac:dyDescent="0.3">
      <c r="A28" s="1"/>
      <c r="B28" s="3"/>
      <c r="C28" s="2"/>
      <c r="D28" s="23"/>
      <c r="E28" s="14"/>
      <c r="F28" s="14"/>
      <c r="G28" s="14"/>
      <c r="I28" s="14"/>
      <c r="M28" s="14" t="s">
        <v>1164</v>
      </c>
    </row>
    <row r="29" spans="1:13" s="16" customFormat="1" ht="15" customHeight="1" x14ac:dyDescent="0.3">
      <c r="A29" s="1"/>
      <c r="B29" s="3"/>
      <c r="C29" s="2"/>
      <c r="D29" s="29"/>
      <c r="E29" s="14"/>
      <c r="F29" s="14"/>
      <c r="G29" s="14"/>
      <c r="I29" s="14"/>
      <c r="M29" s="14" t="s">
        <v>1165</v>
      </c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</sheetData>
  <pageMargins left="0.7" right="0.7" top="0.75" bottom="0.75" header="0.3" footer="0.3"/>
  <pageSetup scale="88" fitToHeight="0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0C6A-93DC-4397-AFF4-C1887BC979BB}">
  <sheetPr>
    <pageSetUpPr fitToPage="1"/>
  </sheetPr>
  <dimension ref="A1:M35"/>
  <sheetViews>
    <sheetView workbookViewId="0">
      <selection activeCell="A2" sqref="A2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45657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7347776.0999999996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-7441869.0999999996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-7441869.0999999996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-94093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1586</v>
      </c>
      <c r="B9" s="31">
        <v>-30572</v>
      </c>
      <c r="C9" s="27">
        <v>45656</v>
      </c>
      <c r="D9" s="23">
        <v>45659</v>
      </c>
    </row>
    <row r="10" spans="1:4" s="14" customFormat="1" ht="15" customHeight="1" x14ac:dyDescent="0.25">
      <c r="A10" s="14" t="s">
        <v>1587</v>
      </c>
      <c r="B10" s="31">
        <v>-31102</v>
      </c>
      <c r="C10" s="27">
        <v>45656</v>
      </c>
      <c r="D10" s="23">
        <v>45659</v>
      </c>
    </row>
    <row r="11" spans="1:4" s="14" customFormat="1" ht="15" customHeight="1" x14ac:dyDescent="0.25">
      <c r="A11" s="14" t="s">
        <v>1588</v>
      </c>
      <c r="B11" s="31">
        <v>-32419</v>
      </c>
      <c r="C11" s="27">
        <v>45656</v>
      </c>
      <c r="D11" s="23">
        <v>45659</v>
      </c>
    </row>
    <row r="12" spans="1:4" s="14" customFormat="1" ht="15" customHeight="1" x14ac:dyDescent="0.25">
      <c r="B12" s="31"/>
      <c r="C12" s="27"/>
      <c r="D12" s="23"/>
    </row>
    <row r="13" spans="1:4" s="14" customFormat="1" ht="15" customHeight="1" x14ac:dyDescent="0.25">
      <c r="B13" s="31"/>
      <c r="C13" s="27"/>
      <c r="D13" s="23"/>
    </row>
    <row r="14" spans="1:4" s="14" customFormat="1" ht="15" customHeight="1" x14ac:dyDescent="0.25">
      <c r="B14" s="31"/>
      <c r="C14" s="27"/>
      <c r="D14" s="23"/>
    </row>
    <row r="15" spans="1:4" s="14" customFormat="1" ht="15" customHeight="1" x14ac:dyDescent="0.25">
      <c r="B15" s="31"/>
      <c r="C15" s="27"/>
      <c r="D15" s="23"/>
    </row>
    <row r="16" spans="1:4" s="14" customFormat="1" ht="15" customHeight="1" x14ac:dyDescent="0.25">
      <c r="B16" s="31">
        <f>SUM(B9:B15)</f>
        <v>-94093</v>
      </c>
      <c r="C16" s="16"/>
      <c r="D16" s="23"/>
    </row>
    <row r="17" spans="1:13" s="14" customFormat="1" ht="15" customHeight="1" x14ac:dyDescent="0.25">
      <c r="A17" s="14" t="s">
        <v>2</v>
      </c>
      <c r="B17" s="31"/>
      <c r="C17" s="26" t="s">
        <v>730</v>
      </c>
      <c r="D17" s="28" t="s">
        <v>829</v>
      </c>
    </row>
    <row r="18" spans="1:13" s="14" customFormat="1" ht="15" customHeight="1" x14ac:dyDescent="0.25">
      <c r="B18" s="31"/>
      <c r="C18" s="27"/>
      <c r="D18" s="23"/>
    </row>
    <row r="19" spans="1:13" s="14" customFormat="1" ht="15" customHeight="1" x14ac:dyDescent="0.25">
      <c r="B19" s="31"/>
      <c r="C19" s="27"/>
      <c r="D19" s="23"/>
    </row>
    <row r="20" spans="1:13" s="14" customFormat="1" ht="15" customHeight="1" x14ac:dyDescent="0.25">
      <c r="B20" s="31"/>
      <c r="C20" s="27"/>
      <c r="D20" s="23"/>
    </row>
    <row r="21" spans="1:13" s="14" customFormat="1" ht="15" customHeight="1" x14ac:dyDescent="0.25">
      <c r="B21" s="31"/>
      <c r="C21" s="27"/>
      <c r="D21" s="23"/>
    </row>
    <row r="22" spans="1:13" s="14" customFormat="1" ht="15" customHeight="1" x14ac:dyDescent="0.25">
      <c r="B22" s="31"/>
      <c r="C22" s="27"/>
      <c r="D22" s="23"/>
    </row>
    <row r="23" spans="1:13" s="14" customFormat="1" ht="15" customHeight="1" x14ac:dyDescent="0.25">
      <c r="B23" s="31"/>
      <c r="C23" s="27"/>
      <c r="D23" s="23"/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>
        <f>SUM(B18:B24)</f>
        <v>0</v>
      </c>
      <c r="C25" s="16"/>
      <c r="D25" s="21"/>
      <c r="E25" s="21"/>
      <c r="F25" s="21"/>
    </row>
    <row r="26" spans="1:13" s="16" customFormat="1" ht="15" customHeight="1" x14ac:dyDescent="0.25">
      <c r="A26" s="18" t="s">
        <v>1</v>
      </c>
      <c r="B26" s="19">
        <f>B25+B16</f>
        <v>-94093</v>
      </c>
      <c r="D26" s="23"/>
      <c r="E26" s="21"/>
      <c r="F26" s="21"/>
      <c r="G26" s="21"/>
    </row>
    <row r="27" spans="1:13" s="16" customFormat="1" ht="15" customHeight="1" x14ac:dyDescent="0.25">
      <c r="A27" s="14" t="s">
        <v>0</v>
      </c>
      <c r="B27" s="15">
        <f>B26-B7</f>
        <v>0</v>
      </c>
      <c r="D27" s="23"/>
      <c r="E27" s="14"/>
      <c r="F27" s="14"/>
      <c r="G27" s="14"/>
      <c r="H27" s="14"/>
      <c r="I27" s="14"/>
    </row>
    <row r="28" spans="1:13" s="16" customFormat="1" ht="15" customHeight="1" x14ac:dyDescent="0.3">
      <c r="A28" s="1"/>
      <c r="B28" s="3"/>
      <c r="C28" s="2"/>
      <c r="D28" s="23"/>
      <c r="E28" s="14"/>
      <c r="F28" s="14"/>
      <c r="G28" s="14"/>
      <c r="I28" s="14"/>
      <c r="M28" s="14" t="s">
        <v>1164</v>
      </c>
    </row>
    <row r="29" spans="1:13" s="16" customFormat="1" ht="15" customHeight="1" x14ac:dyDescent="0.3">
      <c r="A29" s="1"/>
      <c r="B29" s="3"/>
      <c r="C29" s="2"/>
      <c r="D29" s="29"/>
      <c r="E29" s="14"/>
      <c r="F29" s="14"/>
      <c r="G29" s="14"/>
      <c r="I29" s="14"/>
      <c r="M29" s="14" t="s">
        <v>1165</v>
      </c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</sheetData>
  <pageMargins left="0.7" right="0.7" top="0.75" bottom="0.75" header="0.3" footer="0.3"/>
  <pageSetup scale="88" fitToHeight="0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E8AB-66FB-4E6D-BD44-7D3AB3021D82}">
  <sheetPr>
    <pageSetUpPr fitToPage="1"/>
  </sheetPr>
  <dimension ref="A1:M35"/>
  <sheetViews>
    <sheetView workbookViewId="0">
      <selection activeCell="D19" sqref="D19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45688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5783990.2000000002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-5797915.2000000002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-5797915.2000000002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-13925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1589</v>
      </c>
      <c r="B9" s="31">
        <v>-31889</v>
      </c>
      <c r="C9" s="27">
        <v>45686</v>
      </c>
      <c r="D9" s="23">
        <v>45691</v>
      </c>
    </row>
    <row r="10" spans="1:4" s="14" customFormat="1" ht="15" customHeight="1" x14ac:dyDescent="0.25">
      <c r="A10" s="14" t="s">
        <v>1590</v>
      </c>
      <c r="B10" s="31">
        <v>-32419</v>
      </c>
      <c r="C10" s="27">
        <v>45686</v>
      </c>
      <c r="D10" s="23">
        <v>45691</v>
      </c>
    </row>
    <row r="11" spans="1:4" s="14" customFormat="1" ht="15" customHeight="1" x14ac:dyDescent="0.25">
      <c r="A11" s="14" t="s">
        <v>1591</v>
      </c>
      <c r="B11" s="31">
        <v>-33205</v>
      </c>
      <c r="C11" s="27">
        <v>45686</v>
      </c>
      <c r="D11" s="23">
        <v>45691</v>
      </c>
    </row>
    <row r="12" spans="1:4" s="14" customFormat="1" ht="15" customHeight="1" x14ac:dyDescent="0.25">
      <c r="B12" s="31"/>
      <c r="C12" s="27"/>
      <c r="D12" s="23"/>
    </row>
    <row r="13" spans="1:4" s="14" customFormat="1" ht="15" customHeight="1" x14ac:dyDescent="0.25">
      <c r="B13" s="31"/>
      <c r="C13" s="27"/>
      <c r="D13" s="23"/>
    </row>
    <row r="14" spans="1:4" s="14" customFormat="1" ht="15" customHeight="1" x14ac:dyDescent="0.25">
      <c r="B14" s="31"/>
      <c r="C14" s="27"/>
      <c r="D14" s="23"/>
    </row>
    <row r="15" spans="1:4" s="14" customFormat="1" ht="15" customHeight="1" x14ac:dyDescent="0.25">
      <c r="B15" s="31"/>
      <c r="C15" s="27"/>
      <c r="D15" s="23"/>
    </row>
    <row r="16" spans="1:4" s="14" customFormat="1" ht="15" customHeight="1" x14ac:dyDescent="0.25">
      <c r="B16" s="31">
        <f>SUM(B9:B15)</f>
        <v>-97513</v>
      </c>
      <c r="C16" s="16"/>
      <c r="D16" s="23"/>
    </row>
    <row r="17" spans="1:13" s="14" customFormat="1" ht="15" customHeight="1" x14ac:dyDescent="0.25">
      <c r="A17" s="14" t="s">
        <v>2</v>
      </c>
      <c r="B17" s="31"/>
      <c r="C17" s="26" t="s">
        <v>730</v>
      </c>
      <c r="D17" s="28" t="s">
        <v>829</v>
      </c>
    </row>
    <row r="18" spans="1:13" s="14" customFormat="1" ht="15" customHeight="1" x14ac:dyDescent="0.25">
      <c r="A18" s="14" t="s">
        <v>1592</v>
      </c>
      <c r="B18" s="31">
        <v>41376</v>
      </c>
      <c r="C18" s="27">
        <v>45685</v>
      </c>
      <c r="D18" s="23">
        <v>45702</v>
      </c>
    </row>
    <row r="19" spans="1:13" s="14" customFormat="1" ht="15" customHeight="1" x14ac:dyDescent="0.25">
      <c r="A19" s="14" t="s">
        <v>1593</v>
      </c>
      <c r="B19" s="31">
        <v>42212</v>
      </c>
      <c r="C19" s="27">
        <v>45672</v>
      </c>
      <c r="D19" s="23">
        <v>45692</v>
      </c>
    </row>
    <row r="20" spans="1:13" s="14" customFormat="1" ht="15" customHeight="1" x14ac:dyDescent="0.25">
      <c r="B20" s="31"/>
      <c r="C20" s="27"/>
      <c r="D20" s="23"/>
    </row>
    <row r="21" spans="1:13" s="14" customFormat="1" ht="15" customHeight="1" x14ac:dyDescent="0.25">
      <c r="B21" s="31"/>
      <c r="C21" s="27"/>
      <c r="D21" s="23"/>
    </row>
    <row r="22" spans="1:13" s="14" customFormat="1" ht="15" customHeight="1" x14ac:dyDescent="0.25">
      <c r="B22" s="31"/>
      <c r="C22" s="27"/>
      <c r="D22" s="23"/>
    </row>
    <row r="23" spans="1:13" s="14" customFormat="1" ht="15" customHeight="1" x14ac:dyDescent="0.25">
      <c r="B23" s="31"/>
      <c r="C23" s="27"/>
      <c r="D23" s="23"/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>
        <f>SUM(B18:B24)</f>
        <v>83588</v>
      </c>
      <c r="C25" s="16"/>
      <c r="D25" s="21"/>
      <c r="E25" s="21"/>
      <c r="F25" s="21"/>
    </row>
    <row r="26" spans="1:13" s="16" customFormat="1" ht="15" customHeight="1" x14ac:dyDescent="0.25">
      <c r="A26" s="18" t="s">
        <v>1</v>
      </c>
      <c r="B26" s="19">
        <f>B25+B16</f>
        <v>-13925</v>
      </c>
      <c r="D26" s="23"/>
      <c r="E26" s="21"/>
      <c r="F26" s="21"/>
      <c r="G26" s="21"/>
    </row>
    <row r="27" spans="1:13" s="16" customFormat="1" ht="15" customHeight="1" x14ac:dyDescent="0.25">
      <c r="A27" s="14" t="s">
        <v>0</v>
      </c>
      <c r="B27" s="15">
        <f>B26-B7</f>
        <v>0</v>
      </c>
      <c r="D27" s="23"/>
      <c r="E27" s="14"/>
      <c r="F27" s="14"/>
      <c r="G27" s="14"/>
      <c r="H27" s="14"/>
      <c r="I27" s="14"/>
    </row>
    <row r="28" spans="1:13" s="16" customFormat="1" ht="15" customHeight="1" x14ac:dyDescent="0.3">
      <c r="A28" s="1"/>
      <c r="B28" s="3"/>
      <c r="C28" s="2"/>
      <c r="D28" s="23"/>
      <c r="E28" s="14"/>
      <c r="F28" s="14"/>
      <c r="G28" s="14"/>
      <c r="I28" s="14"/>
      <c r="M28" s="14" t="s">
        <v>1164</v>
      </c>
    </row>
    <row r="29" spans="1:13" s="16" customFormat="1" ht="15" customHeight="1" x14ac:dyDescent="0.3">
      <c r="A29" s="1"/>
      <c r="B29" s="3"/>
      <c r="C29" s="2"/>
      <c r="D29" s="29"/>
      <c r="E29" s="14"/>
      <c r="F29" s="14"/>
      <c r="G29" s="14"/>
      <c r="I29" s="14"/>
      <c r="M29" s="14" t="s">
        <v>1165</v>
      </c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</sheetData>
  <pageMargins left="0.7" right="0.7" top="0.75" bottom="0.75" header="0.3" footer="0.3"/>
  <pageSetup scale="88" fitToHeight="0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48A5-4624-4C16-B655-07A753DA3FAC}">
  <sheetPr>
    <pageSetUpPr fitToPage="1"/>
  </sheetPr>
  <dimension ref="A1:M35"/>
  <sheetViews>
    <sheetView workbookViewId="0">
      <selection activeCell="D14" sqref="D14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45716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6288746.2999999998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-6457774.2999999998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-6457774.2999999998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-169028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1594</v>
      </c>
      <c r="B9" s="31">
        <v>-30572</v>
      </c>
      <c r="C9" s="27">
        <v>45716</v>
      </c>
      <c r="D9" s="23">
        <v>45719</v>
      </c>
    </row>
    <row r="10" spans="1:4" s="14" customFormat="1" ht="15" customHeight="1" x14ac:dyDescent="0.25">
      <c r="A10" s="14" t="s">
        <v>1595</v>
      </c>
      <c r="B10" s="31">
        <v>-30962</v>
      </c>
      <c r="C10" s="27">
        <v>45715</v>
      </c>
      <c r="D10" s="23">
        <v>45719</v>
      </c>
    </row>
    <row r="11" spans="1:4" s="14" customFormat="1" ht="15" customHeight="1" x14ac:dyDescent="0.25">
      <c r="A11" s="14" t="s">
        <v>1596</v>
      </c>
      <c r="B11" s="31">
        <v>-32809</v>
      </c>
      <c r="C11" s="27">
        <v>45715</v>
      </c>
      <c r="D11" s="23">
        <v>45719</v>
      </c>
    </row>
    <row r="12" spans="1:4" s="14" customFormat="1" ht="15" customHeight="1" x14ac:dyDescent="0.25">
      <c r="A12" s="14" t="s">
        <v>1597</v>
      </c>
      <c r="B12" s="31">
        <v>-36270</v>
      </c>
      <c r="C12" s="27">
        <v>45716</v>
      </c>
      <c r="D12" s="23">
        <v>45719</v>
      </c>
    </row>
    <row r="13" spans="1:4" s="14" customFormat="1" ht="15" customHeight="1" x14ac:dyDescent="0.25">
      <c r="A13" s="14" t="s">
        <v>1598</v>
      </c>
      <c r="B13" s="31">
        <v>-38415</v>
      </c>
      <c r="C13" s="27">
        <v>45715</v>
      </c>
      <c r="D13" s="23">
        <v>45719</v>
      </c>
    </row>
    <row r="14" spans="1:4" s="14" customFormat="1" ht="15" customHeight="1" x14ac:dyDescent="0.25">
      <c r="B14" s="31"/>
      <c r="C14" s="27"/>
      <c r="D14" s="23"/>
    </row>
    <row r="15" spans="1:4" s="14" customFormat="1" ht="15" customHeight="1" x14ac:dyDescent="0.25">
      <c r="B15" s="31"/>
      <c r="C15" s="27"/>
      <c r="D15" s="23"/>
    </row>
    <row r="16" spans="1:4" s="14" customFormat="1" ht="15" customHeight="1" x14ac:dyDescent="0.25">
      <c r="B16" s="31">
        <f>SUM(B9:B15)</f>
        <v>-169028</v>
      </c>
      <c r="C16" s="16"/>
      <c r="D16" s="23"/>
    </row>
    <row r="17" spans="1:13" s="14" customFormat="1" ht="15" customHeight="1" x14ac:dyDescent="0.25">
      <c r="A17" s="14" t="s">
        <v>2</v>
      </c>
      <c r="B17" s="31"/>
      <c r="C17" s="26" t="s">
        <v>730</v>
      </c>
      <c r="D17" s="28" t="s">
        <v>829</v>
      </c>
    </row>
    <row r="18" spans="1:13" s="14" customFormat="1" ht="15" customHeight="1" x14ac:dyDescent="0.25">
      <c r="B18" s="31"/>
      <c r="C18" s="27"/>
      <c r="D18" s="23"/>
    </row>
    <row r="19" spans="1:13" s="14" customFormat="1" ht="15" customHeight="1" x14ac:dyDescent="0.25">
      <c r="B19" s="31"/>
      <c r="C19" s="27"/>
      <c r="D19" s="23"/>
    </row>
    <row r="20" spans="1:13" s="14" customFormat="1" ht="15" customHeight="1" x14ac:dyDescent="0.25">
      <c r="B20" s="31"/>
      <c r="C20" s="27"/>
      <c r="D20" s="23"/>
    </row>
    <row r="21" spans="1:13" s="14" customFormat="1" ht="15" customHeight="1" x14ac:dyDescent="0.25">
      <c r="B21" s="31"/>
      <c r="C21" s="27"/>
      <c r="D21" s="23"/>
    </row>
    <row r="22" spans="1:13" s="14" customFormat="1" ht="15" customHeight="1" x14ac:dyDescent="0.25">
      <c r="B22" s="31"/>
      <c r="C22" s="27"/>
      <c r="D22" s="23"/>
    </row>
    <row r="23" spans="1:13" s="14" customFormat="1" ht="15" customHeight="1" x14ac:dyDescent="0.25">
      <c r="B23" s="31"/>
      <c r="C23" s="27"/>
      <c r="D23" s="23"/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>
        <f>SUM(B18:B24)</f>
        <v>0</v>
      </c>
      <c r="C25" s="16"/>
      <c r="D25" s="21"/>
      <c r="E25" s="21"/>
      <c r="F25" s="21"/>
    </row>
    <row r="26" spans="1:13" s="16" customFormat="1" ht="15" customHeight="1" x14ac:dyDescent="0.25">
      <c r="A26" s="18" t="s">
        <v>1</v>
      </c>
      <c r="B26" s="19">
        <f>B25+B16</f>
        <v>-169028</v>
      </c>
      <c r="D26" s="23"/>
      <c r="E26" s="21"/>
      <c r="F26" s="21"/>
      <c r="G26" s="21"/>
    </row>
    <row r="27" spans="1:13" s="16" customFormat="1" ht="15" customHeight="1" x14ac:dyDescent="0.25">
      <c r="A27" s="14" t="s">
        <v>0</v>
      </c>
      <c r="B27" s="15">
        <f>B26-B7</f>
        <v>0</v>
      </c>
      <c r="D27" s="23"/>
      <c r="E27" s="14"/>
      <c r="F27" s="14"/>
      <c r="G27" s="14"/>
      <c r="H27" s="14"/>
      <c r="I27" s="14"/>
    </row>
    <row r="28" spans="1:13" s="16" customFormat="1" ht="15" customHeight="1" x14ac:dyDescent="0.3">
      <c r="A28" s="1"/>
      <c r="B28" s="3"/>
      <c r="C28" s="2"/>
      <c r="D28" s="23"/>
      <c r="E28" s="14"/>
      <c r="F28" s="14"/>
      <c r="G28" s="14"/>
      <c r="I28" s="14"/>
      <c r="M28" s="14" t="s">
        <v>1164</v>
      </c>
    </row>
    <row r="29" spans="1:13" s="16" customFormat="1" ht="15" customHeight="1" x14ac:dyDescent="0.3">
      <c r="A29" s="1"/>
      <c r="B29" s="3"/>
      <c r="C29" s="2"/>
      <c r="D29" s="29"/>
      <c r="E29" s="14"/>
      <c r="F29" s="14"/>
      <c r="G29" s="14"/>
      <c r="I29" s="14"/>
      <c r="M29" s="14" t="s">
        <v>1165</v>
      </c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</sheetData>
  <pageMargins left="0.7" right="0.7" top="0.75" bottom="0.75" header="0.3" footer="0.3"/>
  <pageSetup scale="88" fitToHeight="0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EC6A-BD8A-4FCC-A881-FA41CCE9808E}">
  <sheetPr>
    <pageSetUpPr fitToPage="1"/>
  </sheetPr>
  <dimension ref="A1:M39"/>
  <sheetViews>
    <sheetView workbookViewId="0">
      <selection activeCell="D26" sqref="D26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45747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5318046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-5185504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-5185504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132542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1602</v>
      </c>
      <c r="B9" s="31">
        <v>-31157</v>
      </c>
      <c r="C9" s="27">
        <v>45747</v>
      </c>
      <c r="D9" s="23">
        <v>45750</v>
      </c>
    </row>
    <row r="10" spans="1:4" s="14" customFormat="1" ht="15" customHeight="1" x14ac:dyDescent="0.25">
      <c r="A10" s="14" t="s">
        <v>1599</v>
      </c>
      <c r="B10" s="31">
        <v>-32875</v>
      </c>
      <c r="C10" s="27">
        <v>45747</v>
      </c>
      <c r="D10" s="23">
        <v>45750</v>
      </c>
    </row>
    <row r="11" spans="1:4" s="14" customFormat="1" ht="15" customHeight="1" x14ac:dyDescent="0.25">
      <c r="A11" s="14" t="s">
        <v>1600</v>
      </c>
      <c r="B11" s="31">
        <v>-43832</v>
      </c>
      <c r="C11" s="27">
        <v>45747</v>
      </c>
      <c r="D11" s="23">
        <v>45750</v>
      </c>
    </row>
    <row r="12" spans="1:4" s="14" customFormat="1" ht="15" customHeight="1" x14ac:dyDescent="0.25">
      <c r="A12" s="14" t="s">
        <v>1601</v>
      </c>
      <c r="B12" s="31">
        <v>-58085</v>
      </c>
      <c r="C12" s="27">
        <v>45747</v>
      </c>
      <c r="D12" s="23">
        <v>45750</v>
      </c>
    </row>
    <row r="13" spans="1:4" s="14" customFormat="1" ht="15" customHeight="1" x14ac:dyDescent="0.25">
      <c r="B13" s="31"/>
      <c r="C13" s="27"/>
      <c r="D13" s="23"/>
    </row>
    <row r="14" spans="1:4" s="14" customFormat="1" ht="15" customHeight="1" x14ac:dyDescent="0.25">
      <c r="B14" s="31"/>
      <c r="C14" s="27"/>
      <c r="D14" s="23"/>
    </row>
    <row r="15" spans="1:4" s="14" customFormat="1" ht="15" customHeight="1" x14ac:dyDescent="0.25">
      <c r="B15" s="31"/>
      <c r="C15" s="27"/>
      <c r="D15" s="23"/>
    </row>
    <row r="16" spans="1:4" s="14" customFormat="1" ht="15" customHeight="1" x14ac:dyDescent="0.25">
      <c r="B16" s="31">
        <f>SUM(B9:B15)</f>
        <v>-165949</v>
      </c>
      <c r="C16" s="16"/>
      <c r="D16" s="23"/>
    </row>
    <row r="17" spans="1:13" s="14" customFormat="1" ht="15" customHeight="1" x14ac:dyDescent="0.25">
      <c r="A17" s="14" t="s">
        <v>2</v>
      </c>
      <c r="B17" s="31"/>
      <c r="C17" s="26" t="s">
        <v>730</v>
      </c>
      <c r="D17" s="28" t="s">
        <v>829</v>
      </c>
    </row>
    <row r="18" spans="1:13" s="14" customFormat="1" ht="15" customHeight="1" x14ac:dyDescent="0.25">
      <c r="A18" s="14" t="s">
        <v>1603</v>
      </c>
      <c r="B18" s="31">
        <v>30001</v>
      </c>
      <c r="C18" s="27">
        <v>45743</v>
      </c>
      <c r="D18" s="23">
        <v>45749</v>
      </c>
    </row>
    <row r="19" spans="1:13" s="14" customFormat="1" ht="15" customHeight="1" x14ac:dyDescent="0.25">
      <c r="A19" s="14" t="s">
        <v>1604</v>
      </c>
      <c r="B19" s="31">
        <v>32084</v>
      </c>
      <c r="C19" s="27">
        <v>45743</v>
      </c>
      <c r="D19" s="23">
        <v>45749</v>
      </c>
    </row>
    <row r="20" spans="1:13" s="14" customFormat="1" ht="15" customHeight="1" x14ac:dyDescent="0.25">
      <c r="A20" s="14" t="s">
        <v>1605</v>
      </c>
      <c r="B20" s="31">
        <v>32084</v>
      </c>
      <c r="C20" s="27">
        <v>45743</v>
      </c>
      <c r="D20" s="23">
        <v>45749</v>
      </c>
    </row>
    <row r="21" spans="1:13" s="14" customFormat="1" ht="15" customHeight="1" x14ac:dyDescent="0.25">
      <c r="A21" s="14" t="s">
        <v>1606</v>
      </c>
      <c r="B21" s="31">
        <v>32614</v>
      </c>
      <c r="C21" s="27">
        <v>45747</v>
      </c>
      <c r="D21" s="23">
        <v>45750</v>
      </c>
    </row>
    <row r="22" spans="1:13" s="14" customFormat="1" ht="15" customHeight="1" x14ac:dyDescent="0.25">
      <c r="A22" s="14" t="s">
        <v>1607</v>
      </c>
      <c r="B22" s="31">
        <v>35935</v>
      </c>
      <c r="C22" s="27">
        <v>45747</v>
      </c>
      <c r="D22" s="23" t="s">
        <v>1611</v>
      </c>
    </row>
    <row r="23" spans="1:13" s="14" customFormat="1" ht="15" customHeight="1" x14ac:dyDescent="0.25">
      <c r="A23" s="14" t="s">
        <v>1608</v>
      </c>
      <c r="B23" s="31">
        <v>36465</v>
      </c>
      <c r="C23" s="27">
        <v>45747</v>
      </c>
      <c r="D23" s="23">
        <v>45750</v>
      </c>
    </row>
    <row r="24" spans="1:13" s="14" customFormat="1" ht="15" customHeight="1" x14ac:dyDescent="0.25">
      <c r="A24" s="14" t="s">
        <v>1609</v>
      </c>
      <c r="B24" s="31">
        <v>42095</v>
      </c>
      <c r="C24" s="27">
        <v>45747</v>
      </c>
      <c r="D24" s="23" t="s">
        <v>1611</v>
      </c>
    </row>
    <row r="25" spans="1:13" s="14" customFormat="1" ht="15" customHeight="1" x14ac:dyDescent="0.25">
      <c r="A25" s="14" t="s">
        <v>1610</v>
      </c>
      <c r="B25" s="31">
        <v>57213</v>
      </c>
      <c r="C25" s="27">
        <v>45747</v>
      </c>
      <c r="D25" s="23" t="s">
        <v>1612</v>
      </c>
    </row>
    <row r="26" spans="1:13" s="14" customFormat="1" ht="15" customHeight="1" x14ac:dyDescent="0.25">
      <c r="B26" s="31"/>
      <c r="C26" s="27"/>
      <c r="D26" s="23"/>
    </row>
    <row r="27" spans="1:13" s="14" customFormat="1" ht="15" customHeight="1" x14ac:dyDescent="0.25">
      <c r="B27" s="31"/>
      <c r="C27" s="27"/>
      <c r="D27" s="23"/>
    </row>
    <row r="28" spans="1:13" s="14" customFormat="1" ht="15" customHeight="1" x14ac:dyDescent="0.25">
      <c r="B28" s="31"/>
      <c r="C28" s="27"/>
      <c r="D28" s="23"/>
    </row>
    <row r="29" spans="1:13" s="14" customFormat="1" ht="15" customHeight="1" x14ac:dyDescent="0.25">
      <c r="B29" s="31">
        <f>SUM(B18:B28)</f>
        <v>298491</v>
      </c>
      <c r="C29" s="16"/>
      <c r="D29" s="21"/>
      <c r="E29" s="21"/>
      <c r="F29" s="21"/>
    </row>
    <row r="30" spans="1:13" s="16" customFormat="1" ht="15" customHeight="1" x14ac:dyDescent="0.25">
      <c r="A30" s="18" t="s">
        <v>1</v>
      </c>
      <c r="B30" s="19">
        <f>B29+B16</f>
        <v>132542</v>
      </c>
      <c r="D30" s="23"/>
      <c r="E30" s="21"/>
      <c r="F30" s="21"/>
      <c r="G30" s="21"/>
    </row>
    <row r="31" spans="1:13" s="16" customFormat="1" ht="15" customHeight="1" x14ac:dyDescent="0.25">
      <c r="A31" s="14" t="s">
        <v>0</v>
      </c>
      <c r="B31" s="15">
        <f>B30-B7</f>
        <v>0</v>
      </c>
      <c r="D31" s="23"/>
      <c r="E31" s="14"/>
      <c r="F31" s="14"/>
      <c r="G31" s="14"/>
      <c r="H31" s="14"/>
      <c r="I31" s="14"/>
    </row>
    <row r="32" spans="1:13" s="16" customFormat="1" ht="15" customHeight="1" x14ac:dyDescent="0.3">
      <c r="A32" s="1"/>
      <c r="B32" s="3"/>
      <c r="C32" s="2"/>
      <c r="D32" s="23"/>
      <c r="E32" s="14"/>
      <c r="F32" s="14"/>
      <c r="G32" s="14"/>
      <c r="I32" s="14"/>
      <c r="M32" s="14" t="s">
        <v>1164</v>
      </c>
    </row>
    <row r="33" spans="1:13" s="16" customFormat="1" ht="15" customHeight="1" x14ac:dyDescent="0.3">
      <c r="A33" s="1"/>
      <c r="B33" s="3"/>
      <c r="C33" s="2"/>
      <c r="D33" s="29"/>
      <c r="E33" s="14"/>
      <c r="F33" s="14"/>
      <c r="G33" s="14"/>
      <c r="I33" s="14"/>
      <c r="M33" s="14" t="s">
        <v>1165</v>
      </c>
    </row>
    <row r="34" spans="1:13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13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13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13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</sheetData>
  <pageMargins left="0.7" right="0.7" top="0.75" bottom="0.75" header="0.3" footer="0.3"/>
  <pageSetup scale="88" fitToHeight="0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B379-1EFB-42C0-B91C-CDC254BE7BF4}">
  <sheetPr>
    <pageSetUpPr fitToPage="1"/>
  </sheetPr>
  <dimension ref="A1:M46"/>
  <sheetViews>
    <sheetView workbookViewId="0">
      <selection activeCell="C20" sqref="C20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45777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6266469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-6014073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-6014073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252396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1613</v>
      </c>
      <c r="B9" s="31">
        <v>-32966</v>
      </c>
      <c r="C9" s="27">
        <v>45771</v>
      </c>
      <c r="D9" s="23">
        <v>45778</v>
      </c>
    </row>
    <row r="10" spans="1:4" s="14" customFormat="1" ht="15" customHeight="1" x14ac:dyDescent="0.25">
      <c r="A10" s="14" t="s">
        <v>1614</v>
      </c>
      <c r="B10" s="31">
        <v>-33187</v>
      </c>
      <c r="C10" s="27">
        <v>45777</v>
      </c>
      <c r="D10" s="23">
        <v>45778</v>
      </c>
    </row>
    <row r="11" spans="1:4" s="14" customFormat="1" ht="15" customHeight="1" x14ac:dyDescent="0.25">
      <c r="A11" s="14" t="s">
        <v>1615</v>
      </c>
      <c r="B11" s="31">
        <v>-33316</v>
      </c>
      <c r="C11" s="27">
        <v>45777</v>
      </c>
      <c r="D11" s="23">
        <v>45778</v>
      </c>
    </row>
    <row r="12" spans="1:4" s="14" customFormat="1" ht="15" customHeight="1" x14ac:dyDescent="0.25">
      <c r="A12" s="14" t="s">
        <v>1616</v>
      </c>
      <c r="B12" s="31">
        <v>-38918</v>
      </c>
      <c r="C12" s="27">
        <v>45777</v>
      </c>
      <c r="D12" s="23">
        <v>45778</v>
      </c>
    </row>
    <row r="13" spans="1:4" s="14" customFormat="1" ht="15" customHeight="1" x14ac:dyDescent="0.25">
      <c r="A13" s="14" t="s">
        <v>1617</v>
      </c>
      <c r="B13" s="31">
        <v>-38918</v>
      </c>
      <c r="C13" s="27">
        <v>45777</v>
      </c>
      <c r="D13" s="23">
        <v>45778</v>
      </c>
    </row>
    <row r="14" spans="1:4" s="14" customFormat="1" ht="15" customHeight="1" x14ac:dyDescent="0.25">
      <c r="A14" s="14" t="s">
        <v>1619</v>
      </c>
      <c r="B14" s="31">
        <v>-38918</v>
      </c>
      <c r="C14" s="27">
        <v>45777</v>
      </c>
      <c r="D14" s="23">
        <v>45778</v>
      </c>
    </row>
    <row r="15" spans="1:4" s="14" customFormat="1" ht="15" customHeight="1" x14ac:dyDescent="0.25">
      <c r="A15" s="14" t="s">
        <v>1618</v>
      </c>
      <c r="B15" s="31">
        <v>-44772</v>
      </c>
      <c r="C15" s="27">
        <v>45777</v>
      </c>
      <c r="D15" s="23">
        <v>45778</v>
      </c>
    </row>
    <row r="16" spans="1:4" s="14" customFormat="1" ht="15" customHeight="1" x14ac:dyDescent="0.25">
      <c r="B16" s="31"/>
      <c r="C16" s="27"/>
      <c r="D16" s="23"/>
    </row>
    <row r="17" spans="1:4" s="14" customFormat="1" ht="15" customHeight="1" x14ac:dyDescent="0.25">
      <c r="B17" s="31">
        <f>SUM(B9:B16)</f>
        <v>-260995</v>
      </c>
      <c r="C17" s="16"/>
      <c r="D17" s="23"/>
    </row>
    <row r="18" spans="1:4" s="14" customFormat="1" ht="15" customHeight="1" x14ac:dyDescent="0.25">
      <c r="A18" s="14" t="s">
        <v>2</v>
      </c>
      <c r="B18" s="31"/>
      <c r="C18" s="26" t="s">
        <v>730</v>
      </c>
      <c r="D18" s="28" t="s">
        <v>829</v>
      </c>
    </row>
    <row r="19" spans="1:4" s="14" customFormat="1" ht="15" customHeight="1" x14ac:dyDescent="0.25">
      <c r="A19" s="14" t="s">
        <v>1620</v>
      </c>
      <c r="B19" s="31">
        <v>26093</v>
      </c>
      <c r="C19" s="27">
        <v>45775</v>
      </c>
      <c r="D19" s="23">
        <v>45778</v>
      </c>
    </row>
    <row r="20" spans="1:4" s="14" customFormat="1" ht="15" customHeight="1" x14ac:dyDescent="0.25">
      <c r="A20" s="14" t="s">
        <v>1621</v>
      </c>
      <c r="B20" s="31">
        <v>30767</v>
      </c>
      <c r="C20" s="27">
        <v>45777</v>
      </c>
      <c r="D20" s="23">
        <v>45783</v>
      </c>
    </row>
    <row r="21" spans="1:4" s="14" customFormat="1" ht="15" customHeight="1" x14ac:dyDescent="0.25">
      <c r="A21" s="14" t="s">
        <v>1622</v>
      </c>
      <c r="B21" s="31">
        <v>31297</v>
      </c>
      <c r="C21" s="27">
        <v>45777</v>
      </c>
      <c r="D21" s="23">
        <v>45780</v>
      </c>
    </row>
    <row r="22" spans="1:4" s="14" customFormat="1" ht="15" customHeight="1" x14ac:dyDescent="0.25">
      <c r="A22" s="14" t="s">
        <v>1623</v>
      </c>
      <c r="B22" s="31">
        <v>31297</v>
      </c>
      <c r="C22" s="27">
        <v>45776</v>
      </c>
      <c r="D22" s="23">
        <v>45778</v>
      </c>
    </row>
    <row r="23" spans="1:4" s="14" customFormat="1" ht="15" customHeight="1" x14ac:dyDescent="0.25">
      <c r="A23" s="14" t="s">
        <v>1624</v>
      </c>
      <c r="B23" s="31">
        <v>31651</v>
      </c>
      <c r="C23" s="27">
        <v>45775</v>
      </c>
      <c r="D23" s="23">
        <v>45779</v>
      </c>
    </row>
    <row r="24" spans="1:4" s="14" customFormat="1" ht="15" customHeight="1" x14ac:dyDescent="0.25">
      <c r="A24" s="14" t="s">
        <v>1625</v>
      </c>
      <c r="B24" s="31">
        <v>32084</v>
      </c>
      <c r="C24" s="27">
        <v>45777</v>
      </c>
      <c r="D24" s="23">
        <v>45784</v>
      </c>
    </row>
    <row r="25" spans="1:4" s="14" customFormat="1" ht="15" customHeight="1" x14ac:dyDescent="0.25">
      <c r="A25" s="14" t="s">
        <v>1626</v>
      </c>
      <c r="B25" s="31">
        <v>32614</v>
      </c>
      <c r="C25" s="27">
        <v>45775</v>
      </c>
      <c r="D25" s="23">
        <v>45778</v>
      </c>
    </row>
    <row r="26" spans="1:4" s="14" customFormat="1" ht="15" customHeight="1" x14ac:dyDescent="0.25">
      <c r="A26" s="14" t="s">
        <v>1627</v>
      </c>
      <c r="B26" s="31">
        <v>32614</v>
      </c>
      <c r="C26" s="27">
        <v>45777</v>
      </c>
      <c r="D26" s="23">
        <v>45780</v>
      </c>
    </row>
    <row r="27" spans="1:4" s="14" customFormat="1" ht="15" customHeight="1" x14ac:dyDescent="0.25">
      <c r="A27" s="14" t="s">
        <v>1628</v>
      </c>
      <c r="B27" s="31">
        <v>32614</v>
      </c>
      <c r="C27" s="27">
        <v>45777</v>
      </c>
      <c r="D27" s="23">
        <v>45780</v>
      </c>
    </row>
    <row r="28" spans="1:4" s="14" customFormat="1" ht="15" customHeight="1" x14ac:dyDescent="0.25">
      <c r="A28" s="14" t="s">
        <v>1629</v>
      </c>
      <c r="B28" s="31">
        <v>33400</v>
      </c>
      <c r="C28" s="27">
        <v>45777</v>
      </c>
      <c r="D28" s="23">
        <v>45780</v>
      </c>
    </row>
    <row r="29" spans="1:4" s="14" customFormat="1" ht="15" customHeight="1" x14ac:dyDescent="0.25">
      <c r="A29" s="14" t="s">
        <v>1630</v>
      </c>
      <c r="B29" s="31">
        <v>36299</v>
      </c>
      <c r="C29" s="27">
        <v>45776</v>
      </c>
      <c r="D29" s="23">
        <v>45778</v>
      </c>
    </row>
    <row r="30" spans="1:4" s="14" customFormat="1" ht="15" customHeight="1" x14ac:dyDescent="0.25">
      <c r="A30" s="14" t="s">
        <v>1631</v>
      </c>
      <c r="B30" s="31">
        <v>36465</v>
      </c>
      <c r="C30" s="27">
        <v>45775</v>
      </c>
      <c r="D30" s="23">
        <v>45779</v>
      </c>
    </row>
    <row r="31" spans="1:4" s="14" customFormat="1" ht="15" customHeight="1" x14ac:dyDescent="0.25">
      <c r="A31" s="14" t="s">
        <v>1632</v>
      </c>
      <c r="B31" s="31">
        <v>41571</v>
      </c>
      <c r="C31" s="27">
        <v>45777</v>
      </c>
      <c r="D31" s="23">
        <v>45780</v>
      </c>
    </row>
    <row r="32" spans="1:4" s="14" customFormat="1" ht="15" customHeight="1" x14ac:dyDescent="0.25">
      <c r="A32" s="14" t="s">
        <v>1633</v>
      </c>
      <c r="B32" s="31">
        <v>41730</v>
      </c>
      <c r="C32" s="27">
        <v>45777</v>
      </c>
      <c r="D32" s="23">
        <v>45780</v>
      </c>
    </row>
    <row r="33" spans="1:13" s="14" customFormat="1" ht="15" customHeight="1" x14ac:dyDescent="0.25">
      <c r="A33" s="14" t="s">
        <v>1634</v>
      </c>
      <c r="B33" s="31">
        <v>42895</v>
      </c>
      <c r="C33" s="27">
        <v>45775</v>
      </c>
      <c r="D33" s="23">
        <v>45780</v>
      </c>
    </row>
    <row r="34" spans="1:13" s="14" customFormat="1" ht="15" customHeight="1" x14ac:dyDescent="0.25">
      <c r="B34" s="31"/>
      <c r="C34" s="27"/>
      <c r="D34" s="23"/>
    </row>
    <row r="35" spans="1:13" s="14" customFormat="1" ht="15" customHeight="1" x14ac:dyDescent="0.25">
      <c r="B35" s="31"/>
      <c r="C35" s="27"/>
      <c r="D35" s="23"/>
    </row>
    <row r="36" spans="1:13" s="14" customFormat="1" ht="15" customHeight="1" x14ac:dyDescent="0.25">
      <c r="B36" s="31">
        <f>SUM(B19:B35)</f>
        <v>513391</v>
      </c>
      <c r="C36" s="16"/>
      <c r="D36" s="21"/>
      <c r="E36" s="21"/>
      <c r="F36" s="21"/>
    </row>
    <row r="37" spans="1:13" s="16" customFormat="1" ht="15" customHeight="1" x14ac:dyDescent="0.25">
      <c r="A37" s="18" t="s">
        <v>1</v>
      </c>
      <c r="B37" s="19">
        <f>B36+B17</f>
        <v>252396</v>
      </c>
      <c r="D37" s="23"/>
      <c r="E37" s="21"/>
      <c r="F37" s="21"/>
      <c r="G37" s="21"/>
    </row>
    <row r="38" spans="1:13" s="16" customFormat="1" ht="15" customHeight="1" x14ac:dyDescent="0.25">
      <c r="A38" s="14" t="s">
        <v>0</v>
      </c>
      <c r="B38" s="15">
        <f>B37-B7</f>
        <v>0</v>
      </c>
      <c r="D38" s="23"/>
      <c r="E38" s="14"/>
      <c r="F38" s="14"/>
      <c r="G38" s="14"/>
      <c r="H38" s="14"/>
      <c r="I38" s="14"/>
    </row>
    <row r="39" spans="1:13" s="16" customFormat="1" ht="15" customHeight="1" x14ac:dyDescent="0.3">
      <c r="A39" s="1"/>
      <c r="B39" s="3"/>
      <c r="C39" s="2"/>
      <c r="D39" s="23"/>
      <c r="E39" s="14"/>
      <c r="F39" s="14"/>
      <c r="G39" s="14"/>
      <c r="I39" s="14"/>
      <c r="M39" s="14" t="s">
        <v>1164</v>
      </c>
    </row>
    <row r="40" spans="1:13" s="16" customFormat="1" ht="15" customHeight="1" x14ac:dyDescent="0.3">
      <c r="A40" s="1"/>
      <c r="B40" s="3"/>
      <c r="C40" s="2"/>
      <c r="D40" s="29"/>
      <c r="E40" s="14"/>
      <c r="F40" s="14"/>
      <c r="G40" s="14"/>
      <c r="I40" s="14"/>
      <c r="M40" s="14" t="s">
        <v>1165</v>
      </c>
    </row>
    <row r="41" spans="1:13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  <row r="42" spans="1:13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  <row r="43" spans="1:13" s="2" customFormat="1" ht="20.100000000000001" customHeight="1" x14ac:dyDescent="0.3">
      <c r="A43"/>
      <c r="B43" s="10"/>
      <c r="D43" s="29"/>
      <c r="E43" s="1"/>
      <c r="F43" s="1"/>
      <c r="G43" s="1"/>
      <c r="H43" s="1"/>
      <c r="I43" s="1"/>
    </row>
    <row r="44" spans="1:13" s="2" customFormat="1" ht="20.100000000000001" customHeight="1" x14ac:dyDescent="0.3">
      <c r="A44"/>
      <c r="B44" s="10"/>
      <c r="D44" s="29"/>
      <c r="E44" s="1"/>
      <c r="F44" s="1"/>
      <c r="G44" s="1"/>
      <c r="H44" s="1"/>
      <c r="I44" s="1"/>
    </row>
    <row r="45" spans="1:13" s="2" customFormat="1" ht="20.100000000000001" customHeight="1" x14ac:dyDescent="0.3">
      <c r="A45"/>
      <c r="B45" s="10"/>
      <c r="D45" s="29"/>
      <c r="E45" s="1"/>
      <c r="F45" s="1"/>
      <c r="G45" s="1"/>
      <c r="H45" s="1"/>
      <c r="I45" s="1"/>
    </row>
    <row r="46" spans="1:13" s="2" customFormat="1" ht="20.100000000000001" customHeight="1" x14ac:dyDescent="0.3">
      <c r="A46"/>
      <c r="B46" s="10"/>
      <c r="D46" s="29"/>
      <c r="E46" s="1"/>
      <c r="F46" s="1"/>
      <c r="G46" s="1"/>
      <c r="H46" s="1"/>
      <c r="I46" s="1"/>
    </row>
  </sheetData>
  <pageMargins left="0.7" right="0.7" top="0.75" bottom="0.75" header="0.3" footer="0.3"/>
  <pageSetup scale="88" fitToHeight="0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5CFB-C51A-4EBD-94B0-2CC5D976B6AF}">
  <sheetPr>
    <pageSetUpPr fitToPage="1"/>
  </sheetPr>
  <dimension ref="A1:M37"/>
  <sheetViews>
    <sheetView workbookViewId="0">
      <selection activeCell="D24" sqref="D24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45808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6479311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-6774495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-6774495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-295184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1635</v>
      </c>
      <c r="B9" s="31">
        <v>-34942</v>
      </c>
      <c r="C9" s="27">
        <v>45807</v>
      </c>
      <c r="D9" s="23">
        <v>45810</v>
      </c>
    </row>
    <row r="10" spans="1:4" s="14" customFormat="1" ht="15" customHeight="1" x14ac:dyDescent="0.25">
      <c r="A10" s="14" t="s">
        <v>1636</v>
      </c>
      <c r="B10" s="31">
        <v>-38286</v>
      </c>
      <c r="C10" s="27">
        <v>45807</v>
      </c>
      <c r="D10" s="23">
        <v>45810</v>
      </c>
    </row>
    <row r="11" spans="1:4" s="14" customFormat="1" ht="15" customHeight="1" x14ac:dyDescent="0.25">
      <c r="A11" s="14" t="s">
        <v>1637</v>
      </c>
      <c r="B11" s="31">
        <v>-38415</v>
      </c>
      <c r="C11" s="27">
        <v>45807</v>
      </c>
      <c r="D11" s="23">
        <v>45810</v>
      </c>
    </row>
    <row r="12" spans="1:4" s="14" customFormat="1" ht="15" customHeight="1" x14ac:dyDescent="0.25">
      <c r="A12" s="14" t="s">
        <v>1638</v>
      </c>
      <c r="B12" s="31">
        <v>-40870</v>
      </c>
      <c r="C12" s="27">
        <v>45808</v>
      </c>
      <c r="D12" s="23">
        <v>45810</v>
      </c>
    </row>
    <row r="13" spans="1:4" s="14" customFormat="1" ht="15" customHeight="1" x14ac:dyDescent="0.25">
      <c r="A13" s="14" t="s">
        <v>1639</v>
      </c>
      <c r="B13" s="31">
        <v>-40870</v>
      </c>
      <c r="C13" s="27">
        <v>45808</v>
      </c>
      <c r="D13" s="23">
        <v>45810</v>
      </c>
    </row>
    <row r="14" spans="1:4" s="14" customFormat="1" ht="15" customHeight="1" x14ac:dyDescent="0.25">
      <c r="A14" s="14" t="s">
        <v>1640</v>
      </c>
      <c r="B14" s="31">
        <v>-40870</v>
      </c>
      <c r="C14" s="27">
        <v>45808</v>
      </c>
      <c r="D14" s="23">
        <v>45810</v>
      </c>
    </row>
    <row r="15" spans="1:4" s="14" customFormat="1" ht="15" customHeight="1" x14ac:dyDescent="0.25">
      <c r="A15" s="14" t="s">
        <v>1641</v>
      </c>
      <c r="B15" s="31">
        <v>-42095</v>
      </c>
      <c r="C15" s="27">
        <v>45782</v>
      </c>
      <c r="D15" s="23">
        <v>45811</v>
      </c>
    </row>
    <row r="16" spans="1:4" s="14" customFormat="1" ht="15" customHeight="1" x14ac:dyDescent="0.25">
      <c r="A16" s="14" t="s">
        <v>1642</v>
      </c>
      <c r="B16" s="31">
        <v>-57213</v>
      </c>
      <c r="C16" s="27">
        <v>45782</v>
      </c>
      <c r="D16" s="23">
        <v>45811</v>
      </c>
    </row>
    <row r="17" spans="1:13" s="14" customFormat="1" ht="15" customHeight="1" x14ac:dyDescent="0.25">
      <c r="B17" s="31"/>
      <c r="C17" s="27"/>
      <c r="D17" s="23"/>
    </row>
    <row r="18" spans="1:13" s="14" customFormat="1" ht="15" customHeight="1" x14ac:dyDescent="0.25">
      <c r="B18" s="31"/>
      <c r="C18" s="27"/>
      <c r="D18" s="23"/>
    </row>
    <row r="19" spans="1:13" s="14" customFormat="1" ht="15" customHeight="1" x14ac:dyDescent="0.25">
      <c r="B19" s="31"/>
      <c r="C19" s="27"/>
      <c r="D19" s="23"/>
    </row>
    <row r="20" spans="1:13" s="14" customFormat="1" ht="15" customHeight="1" x14ac:dyDescent="0.25">
      <c r="B20" s="31"/>
      <c r="C20" s="27"/>
      <c r="D20" s="23"/>
    </row>
    <row r="21" spans="1:13" s="14" customFormat="1" ht="15" customHeight="1" x14ac:dyDescent="0.25">
      <c r="B21" s="31">
        <f>SUM(B9:B20)</f>
        <v>-333561</v>
      </c>
      <c r="C21" s="16"/>
      <c r="D21" s="23"/>
    </row>
    <row r="22" spans="1:13" s="14" customFormat="1" ht="15" customHeight="1" x14ac:dyDescent="0.25">
      <c r="A22" s="14" t="s">
        <v>2</v>
      </c>
      <c r="B22" s="31"/>
      <c r="C22" s="26" t="s">
        <v>730</v>
      </c>
      <c r="D22" s="28" t="s">
        <v>829</v>
      </c>
    </row>
    <row r="23" spans="1:13" s="14" customFormat="1" ht="15" customHeight="1" x14ac:dyDescent="0.25">
      <c r="A23" s="14" t="s">
        <v>1643</v>
      </c>
      <c r="B23" s="31">
        <v>38377</v>
      </c>
      <c r="C23" s="27">
        <v>45796</v>
      </c>
      <c r="D23" s="23">
        <v>45819</v>
      </c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/>
      <c r="C25" s="27"/>
      <c r="D25" s="23"/>
    </row>
    <row r="26" spans="1:13" s="14" customFormat="1" ht="15" customHeight="1" x14ac:dyDescent="0.25">
      <c r="B26" s="31"/>
      <c r="C26" s="27"/>
      <c r="D26" s="23"/>
    </row>
    <row r="27" spans="1:13" s="14" customFormat="1" ht="15" customHeight="1" x14ac:dyDescent="0.25">
      <c r="B27" s="31">
        <f>SUM(B23:B26)</f>
        <v>38377</v>
      </c>
      <c r="C27" s="16"/>
      <c r="D27" s="21"/>
      <c r="E27" s="21"/>
      <c r="F27" s="21"/>
    </row>
    <row r="28" spans="1:13" s="16" customFormat="1" ht="15" customHeight="1" x14ac:dyDescent="0.25">
      <c r="A28" s="18" t="s">
        <v>1</v>
      </c>
      <c r="B28" s="19">
        <f>B27+B21</f>
        <v>-295184</v>
      </c>
      <c r="D28" s="23"/>
      <c r="E28" s="21"/>
      <c r="F28" s="21"/>
      <c r="G28" s="21"/>
    </row>
    <row r="29" spans="1:13" s="16" customFormat="1" ht="15" customHeight="1" x14ac:dyDescent="0.25">
      <c r="A29" s="14" t="s">
        <v>0</v>
      </c>
      <c r="B29" s="15">
        <f>B28-B7</f>
        <v>0</v>
      </c>
      <c r="D29" s="23"/>
      <c r="E29" s="14"/>
      <c r="F29" s="14"/>
      <c r="G29" s="14"/>
      <c r="H29" s="14"/>
      <c r="I29" s="14"/>
    </row>
    <row r="30" spans="1:13" s="16" customFormat="1" ht="15" customHeight="1" x14ac:dyDescent="0.3">
      <c r="A30" s="1"/>
      <c r="B30" s="3"/>
      <c r="C30" s="2"/>
      <c r="D30" s="23"/>
      <c r="E30" s="14"/>
      <c r="F30" s="14"/>
      <c r="G30" s="14"/>
      <c r="I30" s="14"/>
      <c r="M30" s="14" t="s">
        <v>1164</v>
      </c>
    </row>
    <row r="31" spans="1:13" s="16" customFormat="1" ht="15" customHeight="1" x14ac:dyDescent="0.3">
      <c r="A31" s="1"/>
      <c r="B31" s="3"/>
      <c r="C31" s="2"/>
      <c r="D31" s="29"/>
      <c r="E31" s="14"/>
      <c r="F31" s="14"/>
      <c r="G31" s="14"/>
      <c r="I31" s="14"/>
      <c r="M31" s="14" t="s">
        <v>1165</v>
      </c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</sheetData>
  <pageMargins left="0.7" right="0.7" top="0.75" bottom="0.75" header="0.3" footer="0.3"/>
  <pageSetup scale="88" fitToHeight="0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7FF0-FBC4-4B59-B992-69BF1E1C8C47}">
  <sheetPr>
    <pageSetUpPr fitToPage="1"/>
  </sheetPr>
  <dimension ref="A1:M37"/>
  <sheetViews>
    <sheetView workbookViewId="0">
      <selection activeCell="D16" sqref="D16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45838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5660286.7999999998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-5953828.7999999998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-5953828.7999999998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-293542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1644</v>
      </c>
      <c r="B9" s="31">
        <v>-33746</v>
      </c>
      <c r="C9" s="27">
        <v>45838</v>
      </c>
      <c r="D9" s="23">
        <v>45840</v>
      </c>
    </row>
    <row r="10" spans="1:4" s="14" customFormat="1" ht="15" customHeight="1" x14ac:dyDescent="0.25">
      <c r="A10" s="14" t="s">
        <v>1645</v>
      </c>
      <c r="B10" s="31">
        <v>-34034</v>
      </c>
      <c r="C10" s="27">
        <v>45838</v>
      </c>
      <c r="D10" s="23">
        <v>45840</v>
      </c>
    </row>
    <row r="11" spans="1:4" s="14" customFormat="1" ht="15" customHeight="1" x14ac:dyDescent="0.25">
      <c r="A11" s="14" t="s">
        <v>1646</v>
      </c>
      <c r="B11" s="31">
        <v>-36487</v>
      </c>
      <c r="C11" s="27">
        <v>45838</v>
      </c>
      <c r="D11" s="23">
        <v>45839</v>
      </c>
    </row>
    <row r="12" spans="1:4" s="14" customFormat="1" ht="15" customHeight="1" x14ac:dyDescent="0.25">
      <c r="A12" s="14" t="s">
        <v>1647</v>
      </c>
      <c r="B12" s="31">
        <v>-37065</v>
      </c>
      <c r="C12" s="27">
        <v>45838</v>
      </c>
      <c r="D12" s="23">
        <v>45839</v>
      </c>
    </row>
    <row r="13" spans="1:4" s="14" customFormat="1" ht="15" customHeight="1" x14ac:dyDescent="0.25">
      <c r="A13" s="14" t="s">
        <v>1648</v>
      </c>
      <c r="B13" s="31">
        <v>-42435</v>
      </c>
      <c r="C13" s="27">
        <v>45838</v>
      </c>
      <c r="D13" s="23">
        <v>45840</v>
      </c>
    </row>
    <row r="14" spans="1:4" s="14" customFormat="1" ht="15" customHeight="1" x14ac:dyDescent="0.25">
      <c r="A14" s="14" t="s">
        <v>1649</v>
      </c>
      <c r="B14" s="31">
        <v>-50859</v>
      </c>
      <c r="C14" s="27">
        <v>45838</v>
      </c>
      <c r="D14" s="23">
        <v>45840</v>
      </c>
    </row>
    <row r="15" spans="1:4" s="14" customFormat="1" ht="15" customHeight="1" x14ac:dyDescent="0.25">
      <c r="A15" s="14" t="s">
        <v>1650</v>
      </c>
      <c r="B15" s="31">
        <v>-58916</v>
      </c>
      <c r="C15" s="27">
        <v>45838</v>
      </c>
      <c r="D15" s="23">
        <v>45840</v>
      </c>
    </row>
    <row r="16" spans="1:4" s="14" customFormat="1" ht="15" customHeight="1" x14ac:dyDescent="0.25">
      <c r="B16" s="31"/>
      <c r="C16" s="27"/>
      <c r="D16" s="23"/>
    </row>
    <row r="17" spans="1:13" s="14" customFormat="1" ht="15" customHeight="1" x14ac:dyDescent="0.25">
      <c r="B17" s="31"/>
      <c r="C17" s="27"/>
      <c r="D17" s="23"/>
    </row>
    <row r="18" spans="1:13" s="14" customFormat="1" ht="15" customHeight="1" x14ac:dyDescent="0.25">
      <c r="B18" s="31"/>
      <c r="C18" s="27"/>
      <c r="D18" s="23"/>
    </row>
    <row r="19" spans="1:13" s="14" customFormat="1" ht="15" customHeight="1" x14ac:dyDescent="0.25">
      <c r="B19" s="31"/>
      <c r="C19" s="27"/>
      <c r="D19" s="23"/>
    </row>
    <row r="20" spans="1:13" s="14" customFormat="1" ht="15" customHeight="1" x14ac:dyDescent="0.25">
      <c r="B20" s="31"/>
      <c r="C20" s="27"/>
      <c r="D20" s="23"/>
    </row>
    <row r="21" spans="1:13" s="14" customFormat="1" ht="15" customHeight="1" x14ac:dyDescent="0.25">
      <c r="B21" s="31">
        <f>SUM(B9:B20)</f>
        <v>-293542</v>
      </c>
      <c r="C21" s="16"/>
      <c r="D21" s="23"/>
    </row>
    <row r="22" spans="1:13" s="14" customFormat="1" ht="15" customHeight="1" x14ac:dyDescent="0.25">
      <c r="A22" s="14" t="s">
        <v>2</v>
      </c>
      <c r="B22" s="31"/>
      <c r="C22" s="26" t="s">
        <v>730</v>
      </c>
      <c r="D22" s="28" t="s">
        <v>829</v>
      </c>
    </row>
    <row r="23" spans="1:13" s="14" customFormat="1" ht="15" customHeight="1" x14ac:dyDescent="0.25">
      <c r="B23" s="31"/>
      <c r="C23" s="27"/>
      <c r="D23" s="23"/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/>
      <c r="C25" s="27"/>
      <c r="D25" s="23"/>
    </row>
    <row r="26" spans="1:13" s="14" customFormat="1" ht="15" customHeight="1" x14ac:dyDescent="0.25">
      <c r="B26" s="31"/>
      <c r="C26" s="27"/>
      <c r="D26" s="23"/>
    </row>
    <row r="27" spans="1:13" s="14" customFormat="1" ht="15" customHeight="1" x14ac:dyDescent="0.25">
      <c r="B27" s="31">
        <f>SUM(B23:B26)</f>
        <v>0</v>
      </c>
      <c r="C27" s="16"/>
      <c r="D27" s="21"/>
      <c r="E27" s="21"/>
      <c r="F27" s="21"/>
    </row>
    <row r="28" spans="1:13" s="16" customFormat="1" ht="15" customHeight="1" x14ac:dyDescent="0.25">
      <c r="A28" s="18" t="s">
        <v>1</v>
      </c>
      <c r="B28" s="19">
        <f>B27+B21</f>
        <v>-293542</v>
      </c>
      <c r="D28" s="23"/>
      <c r="E28" s="21"/>
      <c r="F28" s="21"/>
      <c r="G28" s="21"/>
    </row>
    <row r="29" spans="1:13" s="16" customFormat="1" ht="15" customHeight="1" x14ac:dyDescent="0.25">
      <c r="A29" s="14" t="s">
        <v>0</v>
      </c>
      <c r="B29" s="15">
        <f>B28-B7</f>
        <v>0</v>
      </c>
      <c r="D29" s="23"/>
      <c r="E29" s="14"/>
      <c r="F29" s="14"/>
      <c r="G29" s="14"/>
      <c r="H29" s="14"/>
      <c r="I29" s="14"/>
    </row>
    <row r="30" spans="1:13" s="16" customFormat="1" ht="15" customHeight="1" x14ac:dyDescent="0.3">
      <c r="A30" s="1"/>
      <c r="B30" s="3"/>
      <c r="C30" s="2"/>
      <c r="D30" s="23"/>
      <c r="E30" s="14"/>
      <c r="F30" s="14"/>
      <c r="G30" s="14"/>
      <c r="I30" s="14"/>
      <c r="M30" s="14" t="s">
        <v>1164</v>
      </c>
    </row>
    <row r="31" spans="1:13" s="16" customFormat="1" ht="15" customHeight="1" x14ac:dyDescent="0.3">
      <c r="A31" s="1"/>
      <c r="B31" s="3"/>
      <c r="C31" s="2"/>
      <c r="D31" s="29"/>
      <c r="E31" s="14"/>
      <c r="F31" s="14"/>
      <c r="G31" s="14"/>
      <c r="I31" s="14"/>
      <c r="M31" s="14" t="s">
        <v>1165</v>
      </c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9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9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</sheetData>
  <pageMargins left="0.7" right="0.7" top="0.75" bottom="0.75" header="0.3" footer="0.3"/>
  <pageSetup scale="88" fitToHeight="0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EFA5-BE18-4C91-8958-B9187D0619DE}">
  <sheetPr>
    <pageSetUpPr fitToPage="1"/>
  </sheetPr>
  <dimension ref="A1:M31"/>
  <sheetViews>
    <sheetView workbookViewId="0">
      <selection activeCell="E25" sqref="E25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19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45869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5453213.5999999996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-5416013.5999999996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-5416013.5999999996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37200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B9" s="31"/>
      <c r="C9" s="27"/>
      <c r="D9" s="23"/>
    </row>
    <row r="10" spans="1:4" s="14" customFormat="1" ht="15" customHeight="1" x14ac:dyDescent="0.25">
      <c r="B10" s="31"/>
      <c r="C10" s="27"/>
      <c r="D10" s="23"/>
    </row>
    <row r="11" spans="1:4" s="14" customFormat="1" ht="15" customHeight="1" x14ac:dyDescent="0.25">
      <c r="B11" s="31"/>
      <c r="C11" s="27"/>
      <c r="D11" s="23"/>
    </row>
    <row r="12" spans="1:4" s="14" customFormat="1" ht="15" customHeight="1" x14ac:dyDescent="0.25">
      <c r="B12" s="31"/>
      <c r="C12" s="27"/>
      <c r="D12" s="23"/>
    </row>
    <row r="13" spans="1:4" s="14" customFormat="1" ht="15" customHeight="1" x14ac:dyDescent="0.25">
      <c r="B13" s="31"/>
      <c r="C13" s="27"/>
      <c r="D13" s="23"/>
    </row>
    <row r="14" spans="1:4" s="14" customFormat="1" ht="15" customHeight="1" x14ac:dyDescent="0.25">
      <c r="B14" s="31"/>
      <c r="C14" s="27"/>
      <c r="D14" s="23"/>
    </row>
    <row r="15" spans="1:4" s="14" customFormat="1" ht="15" customHeight="1" x14ac:dyDescent="0.25">
      <c r="B15" s="31">
        <f>SUM(B9:B14)</f>
        <v>0</v>
      </c>
      <c r="C15" s="16"/>
      <c r="D15" s="23"/>
    </row>
    <row r="16" spans="1:4" s="14" customFormat="1" ht="15" customHeight="1" x14ac:dyDescent="0.25">
      <c r="A16" s="14" t="s">
        <v>2</v>
      </c>
      <c r="B16" s="31"/>
      <c r="C16" s="26" t="s">
        <v>730</v>
      </c>
      <c r="D16" s="28" t="s">
        <v>829</v>
      </c>
    </row>
    <row r="17" spans="1:13" s="14" customFormat="1" ht="15" customHeight="1" x14ac:dyDescent="0.25">
      <c r="A17" s="14" t="s">
        <v>1651</v>
      </c>
      <c r="B17" s="31">
        <v>37200</v>
      </c>
      <c r="C17" s="27">
        <v>45867</v>
      </c>
      <c r="D17" s="23">
        <v>45887</v>
      </c>
    </row>
    <row r="18" spans="1:13" s="14" customFormat="1" ht="15" customHeight="1" x14ac:dyDescent="0.25">
      <c r="B18" s="31"/>
      <c r="C18" s="27"/>
      <c r="D18" s="23"/>
    </row>
    <row r="19" spans="1:13" s="14" customFormat="1" ht="15" customHeight="1" x14ac:dyDescent="0.25">
      <c r="B19" s="31"/>
      <c r="C19" s="27"/>
      <c r="D19" s="23"/>
    </row>
    <row r="20" spans="1:13" s="14" customFormat="1" ht="15" customHeight="1" x14ac:dyDescent="0.25">
      <c r="B20" s="31"/>
      <c r="C20" s="27"/>
      <c r="D20" s="23"/>
    </row>
    <row r="21" spans="1:13" s="14" customFormat="1" ht="15" customHeight="1" x14ac:dyDescent="0.25">
      <c r="B21" s="31">
        <f>SUM(B17:B20)</f>
        <v>37200</v>
      </c>
      <c r="C21" s="16"/>
      <c r="D21" s="21"/>
      <c r="E21" s="21"/>
      <c r="F21" s="21"/>
    </row>
    <row r="22" spans="1:13" s="16" customFormat="1" ht="15" customHeight="1" x14ac:dyDescent="0.25">
      <c r="A22" s="18" t="s">
        <v>1</v>
      </c>
      <c r="B22" s="19">
        <f>B21+B15</f>
        <v>37200</v>
      </c>
      <c r="D22" s="23"/>
      <c r="E22" s="21"/>
      <c r="F22" s="21"/>
      <c r="G22" s="21"/>
    </row>
    <row r="23" spans="1:13" s="16" customFormat="1" ht="15" customHeight="1" x14ac:dyDescent="0.25">
      <c r="A23" s="14" t="s">
        <v>0</v>
      </c>
      <c r="B23" s="15">
        <f>B22-B7</f>
        <v>0</v>
      </c>
      <c r="D23" s="23"/>
      <c r="E23" s="14"/>
      <c r="F23" s="14"/>
      <c r="G23" s="14"/>
      <c r="H23" s="14"/>
      <c r="I23" s="14"/>
    </row>
    <row r="24" spans="1:13" s="16" customFormat="1" ht="15" customHeight="1" x14ac:dyDescent="0.3">
      <c r="A24" s="1"/>
      <c r="B24" s="3"/>
      <c r="C24" s="2"/>
      <c r="D24" s="23"/>
      <c r="E24" s="14"/>
      <c r="F24" s="14"/>
      <c r="G24" s="14"/>
      <c r="I24" s="14"/>
      <c r="M24" s="14" t="s">
        <v>1164</v>
      </c>
    </row>
    <row r="25" spans="1:13" s="16" customFormat="1" ht="15" customHeight="1" x14ac:dyDescent="0.3">
      <c r="A25" s="1"/>
      <c r="B25" s="3"/>
      <c r="C25" s="2"/>
      <c r="D25" s="29"/>
      <c r="E25" s="14"/>
      <c r="F25" s="14"/>
      <c r="G25" s="14"/>
      <c r="I25" s="14"/>
      <c r="M25" s="14" t="s">
        <v>1165</v>
      </c>
    </row>
    <row r="26" spans="1:13" s="2" customFormat="1" ht="20.100000000000001" customHeight="1" x14ac:dyDescent="0.3">
      <c r="A26"/>
      <c r="B26" s="10"/>
      <c r="D26" s="29"/>
      <c r="E26" s="1"/>
      <c r="F26" s="1"/>
      <c r="G26" s="1"/>
      <c r="H26" s="1"/>
      <c r="I26" s="1"/>
    </row>
    <row r="27" spans="1:13" s="2" customFormat="1" ht="20.100000000000001" customHeight="1" x14ac:dyDescent="0.3">
      <c r="A27"/>
      <c r="B27" s="10"/>
      <c r="D27" s="29"/>
      <c r="E27" s="1"/>
      <c r="F27" s="1"/>
      <c r="G27" s="1"/>
      <c r="H27" s="1"/>
      <c r="I27" s="1"/>
    </row>
    <row r="28" spans="1:13" s="2" customFormat="1" ht="20.100000000000001" customHeight="1" x14ac:dyDescent="0.3">
      <c r="A28"/>
      <c r="B28" s="10"/>
      <c r="D28" s="29"/>
      <c r="E28" s="1"/>
      <c r="F28" s="1"/>
      <c r="G28" s="1"/>
      <c r="H28" s="1"/>
      <c r="I28" s="1"/>
    </row>
    <row r="29" spans="1:13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</sheetData>
  <pageMargins left="0.7" right="0.7" top="0.75" bottom="0.75" header="0.3" footer="0.3"/>
  <pageSetup scale="88" fitToHeight="0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91E5-E8B1-492B-BDE0-F3CCA52CB32E}">
  <sheetPr>
    <pageSetUpPr fitToPage="1"/>
  </sheetPr>
  <dimension ref="A1:M35"/>
  <sheetViews>
    <sheetView workbookViewId="0">
      <selection activeCell="D23" sqref="D23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26.42578125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45900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5277630.2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-5646695.2000000002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-5646695.2000000002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-369065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1652</v>
      </c>
      <c r="B9" s="31">
        <v>-31420</v>
      </c>
      <c r="C9" s="27">
        <v>45896</v>
      </c>
      <c r="D9" s="23">
        <v>45902</v>
      </c>
    </row>
    <row r="10" spans="1:4" s="14" customFormat="1" ht="15" customHeight="1" x14ac:dyDescent="0.25">
      <c r="A10" s="14" t="s">
        <v>1653</v>
      </c>
      <c r="B10" s="31">
        <v>-32861</v>
      </c>
      <c r="C10" s="27">
        <v>45895</v>
      </c>
      <c r="D10" s="23">
        <v>45912</v>
      </c>
    </row>
    <row r="11" spans="1:4" s="14" customFormat="1" ht="15" customHeight="1" x14ac:dyDescent="0.25">
      <c r="A11" s="14" t="s">
        <v>1654</v>
      </c>
      <c r="B11" s="31">
        <v>-35329</v>
      </c>
      <c r="C11" s="27">
        <v>45895</v>
      </c>
      <c r="D11" s="23">
        <v>45902</v>
      </c>
    </row>
    <row r="12" spans="1:4" s="14" customFormat="1" ht="15" customHeight="1" x14ac:dyDescent="0.25">
      <c r="A12" s="14" t="s">
        <v>1655</v>
      </c>
      <c r="B12" s="31">
        <v>-35733</v>
      </c>
      <c r="C12" s="27">
        <v>45896</v>
      </c>
      <c r="D12" s="23">
        <v>45902</v>
      </c>
    </row>
    <row r="13" spans="1:4" s="14" customFormat="1" ht="15" customHeight="1" x14ac:dyDescent="0.25">
      <c r="A13" s="14" t="s">
        <v>1656</v>
      </c>
      <c r="B13" s="31">
        <v>-37200</v>
      </c>
      <c r="C13" s="27">
        <v>45896</v>
      </c>
      <c r="D13" s="23">
        <v>45902</v>
      </c>
    </row>
    <row r="14" spans="1:4" s="14" customFormat="1" ht="15" customHeight="1" x14ac:dyDescent="0.25">
      <c r="A14" s="14" t="s">
        <v>1662</v>
      </c>
      <c r="B14" s="31">
        <v>-37200</v>
      </c>
      <c r="C14" s="27">
        <v>45896</v>
      </c>
      <c r="D14" s="23">
        <v>45902</v>
      </c>
    </row>
    <row r="15" spans="1:4" s="14" customFormat="1" ht="15" customHeight="1" x14ac:dyDescent="0.25">
      <c r="A15" s="14" t="s">
        <v>1657</v>
      </c>
      <c r="B15" s="31">
        <v>-42269</v>
      </c>
      <c r="C15" s="27">
        <v>45896</v>
      </c>
      <c r="D15" s="23">
        <v>45902</v>
      </c>
    </row>
    <row r="16" spans="1:4" s="14" customFormat="1" ht="15" customHeight="1" x14ac:dyDescent="0.25">
      <c r="A16" s="14" t="s">
        <v>1658</v>
      </c>
      <c r="B16" s="31">
        <v>-42363</v>
      </c>
      <c r="C16" s="27">
        <v>45896</v>
      </c>
      <c r="D16" s="23">
        <v>45902</v>
      </c>
    </row>
    <row r="17" spans="1:13" s="14" customFormat="1" ht="15" customHeight="1" x14ac:dyDescent="0.25">
      <c r="A17" s="14" t="s">
        <v>1659</v>
      </c>
      <c r="B17" s="31">
        <v>-42869</v>
      </c>
      <c r="C17" s="27">
        <v>45877</v>
      </c>
      <c r="D17" s="23">
        <v>45903</v>
      </c>
    </row>
    <row r="18" spans="1:13" s="14" customFormat="1" ht="15" customHeight="1" x14ac:dyDescent="0.25">
      <c r="A18" s="14" t="s">
        <v>1660</v>
      </c>
      <c r="B18" s="31">
        <v>-63642</v>
      </c>
      <c r="C18" s="27" t="s">
        <v>1663</v>
      </c>
      <c r="D18" s="23">
        <v>45891</v>
      </c>
    </row>
    <row r="19" spans="1:13" s="14" customFormat="1" ht="15" customHeight="1" x14ac:dyDescent="0.25">
      <c r="B19" s="31"/>
      <c r="C19" s="27"/>
      <c r="D19" s="23"/>
    </row>
    <row r="20" spans="1:13" s="14" customFormat="1" ht="15" customHeight="1" x14ac:dyDescent="0.25">
      <c r="B20" s="31">
        <f>SUM(B9:B19)</f>
        <v>-400886</v>
      </c>
      <c r="C20" s="16"/>
      <c r="D20" s="23"/>
    </row>
    <row r="21" spans="1:13" s="14" customFormat="1" ht="15" customHeight="1" x14ac:dyDescent="0.25">
      <c r="A21" s="14" t="s">
        <v>2</v>
      </c>
      <c r="B21" s="31"/>
      <c r="C21" s="26" t="s">
        <v>730</v>
      </c>
      <c r="D21" s="28" t="s">
        <v>829</v>
      </c>
    </row>
    <row r="22" spans="1:13" s="14" customFormat="1" ht="15" customHeight="1" x14ac:dyDescent="0.25">
      <c r="A22" s="14" t="s">
        <v>1661</v>
      </c>
      <c r="B22" s="31">
        <v>31821</v>
      </c>
      <c r="C22" s="27">
        <v>45891</v>
      </c>
      <c r="D22" s="23" t="s">
        <v>1663</v>
      </c>
    </row>
    <row r="23" spans="1:13" s="14" customFormat="1" ht="15" customHeight="1" x14ac:dyDescent="0.25">
      <c r="B23" s="31"/>
      <c r="C23" s="27"/>
      <c r="D23" s="23"/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>
        <f>SUM(B22:B24)</f>
        <v>31821</v>
      </c>
      <c r="C25" s="16"/>
      <c r="D25" s="21"/>
      <c r="E25" s="21"/>
      <c r="F25" s="21"/>
    </row>
    <row r="26" spans="1:13" s="16" customFormat="1" ht="15" customHeight="1" x14ac:dyDescent="0.25">
      <c r="A26" s="18" t="s">
        <v>1</v>
      </c>
      <c r="B26" s="19">
        <f>B25+B20</f>
        <v>-369065</v>
      </c>
      <c r="D26" s="23"/>
      <c r="E26" s="21"/>
      <c r="F26" s="21"/>
      <c r="G26" s="21"/>
    </row>
    <row r="27" spans="1:13" s="16" customFormat="1" ht="15" customHeight="1" x14ac:dyDescent="0.25">
      <c r="A27" s="14" t="s">
        <v>0</v>
      </c>
      <c r="B27" s="15">
        <f>B26-B7</f>
        <v>0</v>
      </c>
      <c r="D27" s="23"/>
      <c r="E27" s="14"/>
      <c r="F27" s="14"/>
      <c r="G27" s="14"/>
      <c r="H27" s="14"/>
      <c r="I27" s="14"/>
    </row>
    <row r="28" spans="1:13" s="16" customFormat="1" ht="15" customHeight="1" x14ac:dyDescent="0.3">
      <c r="A28" s="1"/>
      <c r="B28" s="3"/>
      <c r="C28" s="2"/>
      <c r="D28" s="23"/>
      <c r="E28" s="14"/>
      <c r="F28" s="14"/>
      <c r="G28" s="14"/>
      <c r="I28" s="14"/>
      <c r="M28" s="14" t="s">
        <v>1164</v>
      </c>
    </row>
    <row r="29" spans="1:13" s="16" customFormat="1" ht="15" customHeight="1" x14ac:dyDescent="0.3">
      <c r="A29" s="1"/>
      <c r="B29" s="3"/>
      <c r="C29" s="2"/>
      <c r="D29" s="29"/>
      <c r="E29" s="14"/>
      <c r="F29" s="14"/>
      <c r="G29" s="14"/>
      <c r="I29" s="14"/>
      <c r="M29" s="14" t="s">
        <v>1165</v>
      </c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</sheetData>
  <pageMargins left="0.7" right="0.7" top="0.75" bottom="0.75" header="0.3" footer="0.3"/>
  <pageSetup scale="82" fitToHeight="0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BA91-0D95-4A0D-9D37-6F08FBE6E000}">
  <sheetPr>
    <pageSetUpPr fitToPage="1"/>
  </sheetPr>
  <dimension ref="A1:M35"/>
  <sheetViews>
    <sheetView workbookViewId="0">
      <selection activeCell="D14" sqref="D14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26.42578125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45930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5857561.7999999998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-6041256.7999999998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-6041256.7999999998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-183695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1664</v>
      </c>
      <c r="B9" s="31">
        <v>-32924</v>
      </c>
      <c r="C9" s="27">
        <v>45929</v>
      </c>
      <c r="D9" s="23">
        <v>45932</v>
      </c>
    </row>
    <row r="10" spans="1:4" s="14" customFormat="1" ht="15" customHeight="1" x14ac:dyDescent="0.25">
      <c r="A10" s="14" t="s">
        <v>1665</v>
      </c>
      <c r="B10" s="31">
        <v>-33454</v>
      </c>
      <c r="C10" s="27">
        <v>45929</v>
      </c>
      <c r="D10" s="23">
        <v>45932</v>
      </c>
    </row>
    <row r="11" spans="1:4" s="14" customFormat="1" ht="15" customHeight="1" x14ac:dyDescent="0.25">
      <c r="A11" s="14" t="s">
        <v>1666</v>
      </c>
      <c r="B11" s="31">
        <v>-36775</v>
      </c>
      <c r="C11" s="27">
        <v>45929</v>
      </c>
      <c r="D11" s="23">
        <v>45932</v>
      </c>
    </row>
    <row r="12" spans="1:4" s="14" customFormat="1" ht="15" customHeight="1" x14ac:dyDescent="0.25">
      <c r="A12" s="14" t="s">
        <v>1667</v>
      </c>
      <c r="B12" s="31">
        <v>-36943</v>
      </c>
      <c r="C12" s="27">
        <v>45929</v>
      </c>
      <c r="D12" s="23">
        <v>45932</v>
      </c>
    </row>
    <row r="13" spans="1:4" s="14" customFormat="1" ht="15" customHeight="1" x14ac:dyDescent="0.25">
      <c r="A13" s="14" t="s">
        <v>1668</v>
      </c>
      <c r="B13" s="31">
        <v>-43599</v>
      </c>
      <c r="C13" s="27">
        <v>45926</v>
      </c>
      <c r="D13" s="23">
        <v>45932</v>
      </c>
    </row>
    <row r="14" spans="1:4" s="14" customFormat="1" ht="15" customHeight="1" x14ac:dyDescent="0.25">
      <c r="B14" s="31"/>
      <c r="C14" s="27"/>
      <c r="D14" s="23"/>
    </row>
    <row r="15" spans="1:4" s="14" customFormat="1" ht="15" customHeight="1" x14ac:dyDescent="0.25">
      <c r="B15" s="31"/>
      <c r="C15" s="27"/>
      <c r="D15" s="23"/>
    </row>
    <row r="16" spans="1:4" s="14" customFormat="1" ht="15" customHeight="1" x14ac:dyDescent="0.25">
      <c r="B16" s="31"/>
      <c r="C16" s="27"/>
      <c r="D16" s="23"/>
    </row>
    <row r="17" spans="1:13" s="14" customFormat="1" ht="15" customHeight="1" x14ac:dyDescent="0.25">
      <c r="B17" s="31"/>
      <c r="C17" s="27"/>
      <c r="D17" s="23"/>
    </row>
    <row r="18" spans="1:13" s="14" customFormat="1" ht="15" customHeight="1" x14ac:dyDescent="0.25">
      <c r="B18" s="31"/>
      <c r="C18" s="27"/>
      <c r="D18" s="23"/>
    </row>
    <row r="19" spans="1:13" s="14" customFormat="1" ht="15" customHeight="1" x14ac:dyDescent="0.25">
      <c r="B19" s="31"/>
      <c r="C19" s="27"/>
      <c r="D19" s="23"/>
    </row>
    <row r="20" spans="1:13" s="14" customFormat="1" ht="15" customHeight="1" x14ac:dyDescent="0.25">
      <c r="B20" s="31">
        <f>SUM(B9:B19)</f>
        <v>-183695</v>
      </c>
      <c r="C20" s="16"/>
      <c r="D20" s="23"/>
    </row>
    <row r="21" spans="1:13" s="14" customFormat="1" ht="15" customHeight="1" x14ac:dyDescent="0.25">
      <c r="A21" s="14" t="s">
        <v>2</v>
      </c>
      <c r="B21" s="31"/>
      <c r="C21" s="26" t="s">
        <v>730</v>
      </c>
      <c r="D21" s="28" t="s">
        <v>829</v>
      </c>
    </row>
    <row r="22" spans="1:13" s="14" customFormat="1" ht="15" customHeight="1" x14ac:dyDescent="0.25">
      <c r="B22" s="31"/>
      <c r="C22" s="27"/>
      <c r="D22" s="23"/>
    </row>
    <row r="23" spans="1:13" s="14" customFormat="1" ht="15" customHeight="1" x14ac:dyDescent="0.25">
      <c r="B23" s="31"/>
      <c r="C23" s="27"/>
      <c r="D23" s="23"/>
    </row>
    <row r="24" spans="1:13" s="14" customFormat="1" ht="15" customHeight="1" x14ac:dyDescent="0.25">
      <c r="B24" s="31"/>
      <c r="C24" s="27"/>
      <c r="D24" s="23"/>
    </row>
    <row r="25" spans="1:13" s="14" customFormat="1" ht="15" customHeight="1" x14ac:dyDescent="0.25">
      <c r="B25" s="31">
        <f>SUM(B22:B24)</f>
        <v>0</v>
      </c>
      <c r="C25" s="16"/>
      <c r="D25" s="21"/>
      <c r="E25" s="21"/>
      <c r="F25" s="21"/>
    </row>
    <row r="26" spans="1:13" s="16" customFormat="1" ht="15" customHeight="1" x14ac:dyDescent="0.25">
      <c r="A26" s="18" t="s">
        <v>1</v>
      </c>
      <c r="B26" s="19">
        <f>B25+B20</f>
        <v>-183695</v>
      </c>
      <c r="D26" s="23"/>
      <c r="E26" s="21"/>
      <c r="F26" s="21"/>
      <c r="G26" s="21"/>
    </row>
    <row r="27" spans="1:13" s="16" customFormat="1" ht="15" customHeight="1" x14ac:dyDescent="0.25">
      <c r="A27" s="14" t="s">
        <v>0</v>
      </c>
      <c r="B27" s="15">
        <f>B26-B7</f>
        <v>0</v>
      </c>
      <c r="D27" s="23"/>
      <c r="E27" s="14"/>
      <c r="F27" s="14"/>
      <c r="G27" s="14"/>
      <c r="H27" s="14"/>
      <c r="I27" s="14"/>
    </row>
    <row r="28" spans="1:13" s="16" customFormat="1" ht="15" customHeight="1" x14ac:dyDescent="0.3">
      <c r="A28" s="1"/>
      <c r="B28" s="3"/>
      <c r="C28" s="2"/>
      <c r="D28" s="23"/>
      <c r="E28" s="14"/>
      <c r="F28" s="14"/>
      <c r="G28" s="14"/>
      <c r="I28" s="14"/>
      <c r="M28" s="14" t="s">
        <v>1164</v>
      </c>
    </row>
    <row r="29" spans="1:13" s="16" customFormat="1" ht="15" customHeight="1" x14ac:dyDescent="0.3">
      <c r="A29" s="1"/>
      <c r="B29" s="3"/>
      <c r="C29" s="2"/>
      <c r="D29" s="29"/>
      <c r="E29" s="14"/>
      <c r="F29" s="14"/>
      <c r="G29" s="14"/>
      <c r="I29" s="14"/>
      <c r="M29" s="14" t="s">
        <v>1165</v>
      </c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9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</sheetData>
  <pageMargins left="0.7" right="0.7" top="0.75" bottom="0.75" header="0.3" footer="0.3"/>
  <pageSetup scale="82" fitToHeight="0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09D60-51B6-4BB1-B4A5-01AFB952D553}">
  <sheetPr>
    <pageSetUpPr fitToPage="1"/>
  </sheetPr>
  <dimension ref="A1:M43"/>
  <sheetViews>
    <sheetView workbookViewId="0">
      <selection activeCell="D26" sqref="D26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26.42578125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45991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7435936.4000000004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-7686645.4000000004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-7686645.4000000004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-250709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1669</v>
      </c>
      <c r="B9" s="31">
        <v>-26871</v>
      </c>
      <c r="C9" s="27">
        <v>45990</v>
      </c>
      <c r="D9" s="23">
        <v>45992</v>
      </c>
    </row>
    <row r="10" spans="1:4" s="14" customFormat="1" ht="15" customHeight="1" x14ac:dyDescent="0.25">
      <c r="A10" s="14" t="s">
        <v>1670</v>
      </c>
      <c r="B10" s="31">
        <v>-27968</v>
      </c>
      <c r="C10" s="27">
        <v>45990</v>
      </c>
      <c r="D10" s="23">
        <v>45993</v>
      </c>
    </row>
    <row r="11" spans="1:4" s="14" customFormat="1" ht="15" customHeight="1" x14ac:dyDescent="0.25">
      <c r="A11" s="14" t="s">
        <v>1671</v>
      </c>
      <c r="B11" s="31">
        <v>-28480</v>
      </c>
      <c r="C11" s="27">
        <v>45990</v>
      </c>
      <c r="D11" s="23">
        <v>45992</v>
      </c>
    </row>
    <row r="12" spans="1:4" s="14" customFormat="1" ht="15" customHeight="1" x14ac:dyDescent="0.25">
      <c r="A12" s="14" t="s">
        <v>1672</v>
      </c>
      <c r="B12" s="31">
        <v>-32998</v>
      </c>
      <c r="C12" s="27">
        <v>45990</v>
      </c>
      <c r="D12" s="23">
        <v>45994</v>
      </c>
    </row>
    <row r="13" spans="1:4" s="14" customFormat="1" ht="15" customHeight="1" x14ac:dyDescent="0.25">
      <c r="A13" s="14" t="s">
        <v>1673</v>
      </c>
      <c r="B13" s="31">
        <v>-37305</v>
      </c>
      <c r="C13" s="27">
        <v>45990</v>
      </c>
      <c r="D13" s="23">
        <v>45994</v>
      </c>
    </row>
    <row r="14" spans="1:4" s="14" customFormat="1" ht="15" customHeight="1" x14ac:dyDescent="0.25">
      <c r="A14" s="14" t="s">
        <v>1674</v>
      </c>
      <c r="B14" s="31">
        <v>-43406</v>
      </c>
      <c r="C14" s="27">
        <v>45985</v>
      </c>
      <c r="D14" s="23">
        <v>45993</v>
      </c>
    </row>
    <row r="15" spans="1:4" s="14" customFormat="1" ht="15" customHeight="1" x14ac:dyDescent="0.25">
      <c r="A15" s="14" t="s">
        <v>1676</v>
      </c>
      <c r="B15" s="45">
        <v>-51085</v>
      </c>
      <c r="C15" s="27">
        <v>45990</v>
      </c>
      <c r="D15" s="23">
        <v>45992</v>
      </c>
    </row>
    <row r="16" spans="1:4" s="14" customFormat="1" ht="15" customHeight="1" x14ac:dyDescent="0.25">
      <c r="A16" s="14" t="s">
        <v>1675</v>
      </c>
      <c r="B16" s="31">
        <v>-53919</v>
      </c>
      <c r="C16" s="27">
        <v>45990</v>
      </c>
      <c r="D16" s="23">
        <v>45993</v>
      </c>
    </row>
    <row r="17" spans="1:4" s="14" customFormat="1" ht="15" customHeight="1" x14ac:dyDescent="0.25">
      <c r="B17" s="31"/>
      <c r="C17" s="27"/>
      <c r="D17" s="23"/>
    </row>
    <row r="18" spans="1:4" s="14" customFormat="1" ht="15" customHeight="1" x14ac:dyDescent="0.25">
      <c r="B18" s="31"/>
      <c r="C18" s="27"/>
      <c r="D18" s="23"/>
    </row>
    <row r="19" spans="1:4" s="14" customFormat="1" ht="15" customHeight="1" x14ac:dyDescent="0.25">
      <c r="B19" s="31"/>
      <c r="C19" s="27"/>
      <c r="D19" s="23"/>
    </row>
    <row r="20" spans="1:4" s="14" customFormat="1" ht="15" customHeight="1" x14ac:dyDescent="0.25">
      <c r="B20" s="31"/>
      <c r="C20" s="27"/>
      <c r="D20" s="23"/>
    </row>
    <row r="21" spans="1:4" s="14" customFormat="1" ht="15" customHeight="1" x14ac:dyDescent="0.25">
      <c r="B21" s="31"/>
      <c r="C21" s="27"/>
      <c r="D21" s="23"/>
    </row>
    <row r="22" spans="1:4" s="14" customFormat="1" ht="15" customHeight="1" x14ac:dyDescent="0.25">
      <c r="B22" s="31"/>
      <c r="C22" s="27"/>
      <c r="D22" s="23"/>
    </row>
    <row r="23" spans="1:4" s="14" customFormat="1" ht="15" customHeight="1" x14ac:dyDescent="0.25">
      <c r="B23" s="31">
        <f>SUM(B9:B22)</f>
        <v>-302032</v>
      </c>
      <c r="C23" s="16"/>
      <c r="D23" s="23"/>
    </row>
    <row r="24" spans="1:4" s="14" customFormat="1" ht="15" customHeight="1" x14ac:dyDescent="0.25">
      <c r="A24" s="14" t="s">
        <v>2</v>
      </c>
      <c r="B24" s="31"/>
      <c r="C24" s="26" t="s">
        <v>730</v>
      </c>
      <c r="D24" s="28" t="s">
        <v>829</v>
      </c>
    </row>
    <row r="25" spans="1:4" s="14" customFormat="1" ht="15" customHeight="1" x14ac:dyDescent="0.25">
      <c r="A25" s="14" t="s">
        <v>1677</v>
      </c>
      <c r="B25" s="31">
        <v>51323</v>
      </c>
      <c r="C25" s="27">
        <v>45989</v>
      </c>
      <c r="D25" s="23">
        <v>45992</v>
      </c>
    </row>
    <row r="26" spans="1:4" s="14" customFormat="1" ht="15" customHeight="1" x14ac:dyDescent="0.25">
      <c r="B26" s="31"/>
      <c r="C26" s="27"/>
      <c r="D26" s="23"/>
    </row>
    <row r="27" spans="1:4" s="14" customFormat="1" ht="15" customHeight="1" x14ac:dyDescent="0.25">
      <c r="B27" s="31"/>
      <c r="C27" s="27"/>
      <c r="D27" s="23"/>
    </row>
    <row r="28" spans="1:4" s="14" customFormat="1" ht="15" customHeight="1" x14ac:dyDescent="0.25">
      <c r="B28" s="31"/>
      <c r="C28" s="27"/>
      <c r="D28" s="23"/>
    </row>
    <row r="29" spans="1:4" s="14" customFormat="1" ht="15" customHeight="1" x14ac:dyDescent="0.25">
      <c r="B29" s="31"/>
      <c r="C29" s="27"/>
      <c r="D29" s="23"/>
    </row>
    <row r="30" spans="1:4" s="14" customFormat="1" ht="15" customHeight="1" x14ac:dyDescent="0.25">
      <c r="B30" s="31"/>
      <c r="C30" s="27"/>
      <c r="D30" s="23"/>
    </row>
    <row r="31" spans="1:4" s="14" customFormat="1" ht="15" customHeight="1" x14ac:dyDescent="0.25">
      <c r="B31" s="31"/>
      <c r="C31" s="27"/>
      <c r="D31" s="23"/>
    </row>
    <row r="32" spans="1:4" s="14" customFormat="1" ht="15" customHeight="1" x14ac:dyDescent="0.25">
      <c r="B32" s="31"/>
      <c r="C32" s="27"/>
      <c r="D32" s="23"/>
    </row>
    <row r="33" spans="1:13" s="14" customFormat="1" ht="15" customHeight="1" x14ac:dyDescent="0.25">
      <c r="B33" s="31">
        <f>SUM(B25:B32)</f>
        <v>51323</v>
      </c>
      <c r="C33" s="16"/>
      <c r="D33" s="21"/>
      <c r="E33" s="21"/>
      <c r="F33" s="21"/>
    </row>
    <row r="34" spans="1:13" s="16" customFormat="1" ht="15" customHeight="1" x14ac:dyDescent="0.25">
      <c r="A34" s="18" t="s">
        <v>1</v>
      </c>
      <c r="B34" s="19">
        <f>B33+B23</f>
        <v>-250709</v>
      </c>
      <c r="D34" s="23"/>
      <c r="E34" s="21"/>
      <c r="F34" s="21"/>
      <c r="G34" s="21"/>
    </row>
    <row r="35" spans="1:13" s="16" customFormat="1" ht="15" customHeight="1" x14ac:dyDescent="0.25">
      <c r="A35" s="14" t="s">
        <v>0</v>
      </c>
      <c r="B35" s="15">
        <f>B34-B7</f>
        <v>0</v>
      </c>
      <c r="D35" s="23"/>
      <c r="E35" s="14"/>
      <c r="F35" s="14"/>
      <c r="G35" s="14"/>
      <c r="H35" s="14"/>
      <c r="I35" s="14"/>
    </row>
    <row r="36" spans="1:13" s="16" customFormat="1" ht="15" customHeight="1" x14ac:dyDescent="0.3">
      <c r="A36" s="1"/>
      <c r="B36" s="3"/>
      <c r="C36" s="2"/>
      <c r="D36" s="23"/>
      <c r="E36" s="14"/>
      <c r="F36" s="14"/>
      <c r="G36" s="14"/>
      <c r="I36" s="14"/>
      <c r="M36" s="14" t="s">
        <v>1164</v>
      </c>
    </row>
    <row r="37" spans="1:13" s="16" customFormat="1" ht="15" customHeight="1" x14ac:dyDescent="0.3">
      <c r="A37" s="1"/>
      <c r="B37" s="3"/>
      <c r="C37" s="2"/>
      <c r="D37" s="29"/>
      <c r="E37" s="14"/>
      <c r="F37" s="14"/>
      <c r="G37" s="14"/>
      <c r="I37" s="14"/>
      <c r="M37" s="14" t="s">
        <v>1165</v>
      </c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13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  <row r="41" spans="1:13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  <row r="42" spans="1:13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  <row r="43" spans="1:13" s="2" customFormat="1" ht="20.100000000000001" customHeight="1" x14ac:dyDescent="0.3">
      <c r="A43"/>
      <c r="B43" s="10"/>
      <c r="D43" s="29"/>
      <c r="E43" s="1"/>
      <c r="F43" s="1"/>
      <c r="G43" s="1"/>
      <c r="H43" s="1"/>
      <c r="I43" s="1"/>
    </row>
  </sheetData>
  <pageMargins left="0.7" right="0.7" top="0.75" bottom="0.75" header="0.3" footer="0.3"/>
  <pageSetup scale="82" fitToHeight="0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9413-4C7F-46FC-965F-5EA87B9C61E6}">
  <sheetPr>
    <pageSetUpPr fitToPage="1"/>
  </sheetPr>
  <dimension ref="A1:M34"/>
  <sheetViews>
    <sheetView workbookViewId="0">
      <selection activeCell="A12" sqref="A12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26.42578125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46022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8665859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-8659333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-8659333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6526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1678</v>
      </c>
      <c r="B9" s="31">
        <v>-31545</v>
      </c>
      <c r="C9" s="27">
        <v>46021</v>
      </c>
      <c r="D9" s="23">
        <v>46028</v>
      </c>
    </row>
    <row r="10" spans="1:4" s="14" customFormat="1" ht="15" customHeight="1" x14ac:dyDescent="0.25">
      <c r="A10" s="14" t="s">
        <v>1679</v>
      </c>
      <c r="B10" s="31">
        <v>-44542</v>
      </c>
      <c r="C10" s="27">
        <v>46021</v>
      </c>
      <c r="D10" s="23">
        <v>46028</v>
      </c>
    </row>
    <row r="11" spans="1:4" s="14" customFormat="1" ht="15" customHeight="1" x14ac:dyDescent="0.25">
      <c r="B11" s="31"/>
      <c r="C11" s="27"/>
      <c r="D11" s="23"/>
    </row>
    <row r="12" spans="1:4" s="14" customFormat="1" ht="15" customHeight="1" x14ac:dyDescent="0.25">
      <c r="B12" s="31"/>
      <c r="C12" s="27"/>
      <c r="D12" s="23"/>
    </row>
    <row r="13" spans="1:4" s="14" customFormat="1" ht="15" customHeight="1" x14ac:dyDescent="0.25">
      <c r="B13" s="31"/>
      <c r="C13" s="27"/>
      <c r="D13" s="23"/>
    </row>
    <row r="14" spans="1:4" s="14" customFormat="1" ht="15" customHeight="1" x14ac:dyDescent="0.25">
      <c r="B14" s="31">
        <f>SUM(B9:B13)</f>
        <v>-76087</v>
      </c>
      <c r="C14" s="16"/>
      <c r="D14" s="23"/>
    </row>
    <row r="15" spans="1:4" s="14" customFormat="1" ht="15" customHeight="1" x14ac:dyDescent="0.25">
      <c r="A15" s="14" t="s">
        <v>2</v>
      </c>
      <c r="B15" s="31"/>
      <c r="C15" s="26" t="s">
        <v>730</v>
      </c>
      <c r="D15" s="28" t="s">
        <v>829</v>
      </c>
    </row>
    <row r="16" spans="1:4" s="14" customFormat="1" ht="15" customHeight="1" x14ac:dyDescent="0.25">
      <c r="A16" s="14" t="s">
        <v>1680</v>
      </c>
      <c r="B16" s="31">
        <v>31290</v>
      </c>
      <c r="C16" s="27">
        <v>46022</v>
      </c>
      <c r="D16" s="23">
        <v>46027</v>
      </c>
    </row>
    <row r="17" spans="1:13" s="14" customFormat="1" ht="15" customHeight="1" x14ac:dyDescent="0.25">
      <c r="A17" s="14" t="s">
        <v>1681</v>
      </c>
      <c r="B17" s="31">
        <v>51323</v>
      </c>
      <c r="C17" s="27">
        <v>46021</v>
      </c>
      <c r="D17" s="23">
        <v>46027</v>
      </c>
    </row>
    <row r="18" spans="1:13" s="14" customFormat="1" ht="15" customHeight="1" x14ac:dyDescent="0.25">
      <c r="B18" s="31"/>
      <c r="C18" s="27"/>
      <c r="D18" s="23"/>
    </row>
    <row r="19" spans="1:13" s="14" customFormat="1" ht="15" customHeight="1" x14ac:dyDescent="0.25">
      <c r="B19" s="31"/>
      <c r="C19" s="27"/>
      <c r="D19" s="23"/>
    </row>
    <row r="20" spans="1:13" s="14" customFormat="1" ht="15" customHeight="1" x14ac:dyDescent="0.25">
      <c r="B20" s="31"/>
      <c r="C20" s="27"/>
      <c r="D20" s="23"/>
    </row>
    <row r="21" spans="1:13" s="14" customFormat="1" ht="15" customHeight="1" x14ac:dyDescent="0.25">
      <c r="B21" s="31"/>
      <c r="C21" s="27"/>
      <c r="D21" s="23"/>
    </row>
    <row r="22" spans="1:13" s="14" customFormat="1" ht="15" customHeight="1" x14ac:dyDescent="0.25">
      <c r="B22" s="31"/>
      <c r="C22" s="27"/>
      <c r="D22" s="23"/>
    </row>
    <row r="23" spans="1:13" s="14" customFormat="1" ht="15" customHeight="1" x14ac:dyDescent="0.25">
      <c r="B23" s="31"/>
      <c r="C23" s="27"/>
      <c r="D23" s="23"/>
    </row>
    <row r="24" spans="1:13" s="14" customFormat="1" ht="15" customHeight="1" x14ac:dyDescent="0.25">
      <c r="B24" s="31">
        <f>SUM(B16:B23)</f>
        <v>82613</v>
      </c>
      <c r="C24" s="16"/>
      <c r="D24" s="21"/>
      <c r="E24" s="21"/>
      <c r="F24" s="21"/>
    </row>
    <row r="25" spans="1:13" s="16" customFormat="1" ht="15" customHeight="1" x14ac:dyDescent="0.25">
      <c r="A25" s="18" t="s">
        <v>1</v>
      </c>
      <c r="B25" s="19">
        <f>B24+B14</f>
        <v>6526</v>
      </c>
      <c r="D25" s="23"/>
      <c r="E25" s="21"/>
      <c r="F25" s="21"/>
      <c r="G25" s="21"/>
    </row>
    <row r="26" spans="1:13" s="16" customFormat="1" ht="15" customHeight="1" x14ac:dyDescent="0.25">
      <c r="A26" s="14" t="s">
        <v>0</v>
      </c>
      <c r="B26" s="15">
        <f>B25-B7</f>
        <v>0</v>
      </c>
      <c r="D26" s="23"/>
      <c r="E26" s="14"/>
      <c r="F26" s="14"/>
      <c r="G26" s="14"/>
      <c r="H26" s="14"/>
      <c r="I26" s="14"/>
    </row>
    <row r="27" spans="1:13" s="16" customFormat="1" ht="15" customHeight="1" x14ac:dyDescent="0.3">
      <c r="A27" s="1"/>
      <c r="B27" s="3"/>
      <c r="C27" s="2"/>
      <c r="D27" s="23"/>
      <c r="E27" s="14"/>
      <c r="F27" s="14"/>
      <c r="G27" s="14"/>
      <c r="I27" s="14"/>
      <c r="M27" s="14" t="s">
        <v>1164</v>
      </c>
    </row>
    <row r="28" spans="1:13" s="16" customFormat="1" ht="15" customHeight="1" x14ac:dyDescent="0.3">
      <c r="A28" s="1"/>
      <c r="B28" s="3"/>
      <c r="C28" s="2"/>
      <c r="D28" s="29"/>
      <c r="E28" s="14"/>
      <c r="F28" s="14"/>
      <c r="G28" s="14"/>
      <c r="I28" s="14"/>
      <c r="M28" s="14" t="s">
        <v>1165</v>
      </c>
    </row>
    <row r="29" spans="1:13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</sheetData>
  <pageMargins left="0.7" right="0.7" top="0.75" bottom="0.75" header="0.3" footer="0.3"/>
  <pageSetup scale="82" fitToHeight="0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2A60-9A64-4D9A-BA4F-D2FE00B5F150}">
  <sheetPr>
    <pageSetUpPr fitToPage="1"/>
  </sheetPr>
  <dimension ref="A1:M34"/>
  <sheetViews>
    <sheetView workbookViewId="0">
      <selection activeCell="C17" sqref="C17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26.42578125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46053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8349965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-8299140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-8299140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50825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B9" s="31"/>
      <c r="C9" s="27"/>
      <c r="D9" s="23"/>
    </row>
    <row r="10" spans="1:4" s="14" customFormat="1" ht="15" customHeight="1" x14ac:dyDescent="0.25">
      <c r="B10" s="31"/>
      <c r="C10" s="27"/>
      <c r="D10" s="23"/>
    </row>
    <row r="11" spans="1:4" s="14" customFormat="1" ht="15" customHeight="1" x14ac:dyDescent="0.25">
      <c r="B11" s="31"/>
      <c r="C11" s="27"/>
      <c r="D11" s="23"/>
    </row>
    <row r="12" spans="1:4" s="14" customFormat="1" ht="15" customHeight="1" x14ac:dyDescent="0.25">
      <c r="B12" s="31"/>
      <c r="C12" s="27"/>
      <c r="D12" s="23"/>
    </row>
    <row r="13" spans="1:4" s="14" customFormat="1" ht="15" customHeight="1" x14ac:dyDescent="0.25">
      <c r="B13" s="31"/>
      <c r="C13" s="27"/>
      <c r="D13" s="23"/>
    </row>
    <row r="14" spans="1:4" s="14" customFormat="1" ht="15" customHeight="1" x14ac:dyDescent="0.25">
      <c r="B14" s="31">
        <f>SUM(B9:B13)</f>
        <v>0</v>
      </c>
      <c r="C14" s="16"/>
      <c r="D14" s="23"/>
    </row>
    <row r="15" spans="1:4" s="14" customFormat="1" ht="15" customHeight="1" x14ac:dyDescent="0.25">
      <c r="A15" s="14" t="s">
        <v>2</v>
      </c>
      <c r="B15" s="31"/>
      <c r="C15" s="26" t="s">
        <v>730</v>
      </c>
      <c r="D15" s="28" t="s">
        <v>829</v>
      </c>
    </row>
    <row r="16" spans="1:4" s="14" customFormat="1" ht="15" customHeight="1" x14ac:dyDescent="0.25">
      <c r="A16" s="14" t="s">
        <v>1682</v>
      </c>
      <c r="B16" s="31">
        <v>50825</v>
      </c>
      <c r="C16" s="27">
        <v>46051</v>
      </c>
      <c r="D16" s="23">
        <v>46059</v>
      </c>
    </row>
    <row r="17" spans="1:13" s="14" customFormat="1" ht="15" customHeight="1" x14ac:dyDescent="0.25">
      <c r="B17" s="31"/>
      <c r="C17" s="27"/>
      <c r="D17" s="23"/>
    </row>
    <row r="18" spans="1:13" s="14" customFormat="1" ht="15" customHeight="1" x14ac:dyDescent="0.25">
      <c r="B18" s="31"/>
      <c r="C18" s="27"/>
      <c r="D18" s="23"/>
    </row>
    <row r="19" spans="1:13" s="14" customFormat="1" ht="15" customHeight="1" x14ac:dyDescent="0.25">
      <c r="B19" s="31"/>
      <c r="C19" s="27"/>
      <c r="D19" s="23"/>
    </row>
    <row r="20" spans="1:13" s="14" customFormat="1" ht="15" customHeight="1" x14ac:dyDescent="0.25">
      <c r="B20" s="31"/>
      <c r="C20" s="27"/>
      <c r="D20" s="23"/>
    </row>
    <row r="21" spans="1:13" s="14" customFormat="1" ht="15" customHeight="1" x14ac:dyDescent="0.25">
      <c r="B21" s="31"/>
      <c r="C21" s="27"/>
      <c r="D21" s="23"/>
    </row>
    <row r="22" spans="1:13" s="14" customFormat="1" ht="15" customHeight="1" x14ac:dyDescent="0.25">
      <c r="B22" s="31"/>
      <c r="C22" s="27"/>
      <c r="D22" s="23"/>
    </row>
    <row r="23" spans="1:13" s="14" customFormat="1" ht="15" customHeight="1" x14ac:dyDescent="0.25">
      <c r="B23" s="31"/>
      <c r="C23" s="27"/>
      <c r="D23" s="23"/>
    </row>
    <row r="24" spans="1:13" s="14" customFormat="1" ht="15" customHeight="1" x14ac:dyDescent="0.25">
      <c r="B24" s="31">
        <f>SUM(B16:B23)</f>
        <v>50825</v>
      </c>
      <c r="C24" s="16"/>
      <c r="D24" s="21"/>
      <c r="E24" s="21"/>
      <c r="F24" s="21"/>
    </row>
    <row r="25" spans="1:13" s="16" customFormat="1" ht="15" customHeight="1" x14ac:dyDescent="0.25">
      <c r="A25" s="18" t="s">
        <v>1</v>
      </c>
      <c r="B25" s="19">
        <f>B24+B14</f>
        <v>50825</v>
      </c>
      <c r="D25" s="23"/>
      <c r="E25" s="21"/>
      <c r="F25" s="21"/>
      <c r="G25" s="21"/>
    </row>
    <row r="26" spans="1:13" s="16" customFormat="1" ht="15" customHeight="1" x14ac:dyDescent="0.25">
      <c r="A26" s="14" t="s">
        <v>0</v>
      </c>
      <c r="B26" s="15">
        <f>B25-B7</f>
        <v>0</v>
      </c>
      <c r="D26" s="23"/>
      <c r="E26" s="14"/>
      <c r="F26" s="14"/>
      <c r="G26" s="14"/>
      <c r="H26" s="14"/>
      <c r="I26" s="14"/>
    </row>
    <row r="27" spans="1:13" s="16" customFormat="1" ht="15" customHeight="1" x14ac:dyDescent="0.3">
      <c r="A27" s="1"/>
      <c r="B27" s="3"/>
      <c r="C27" s="2"/>
      <c r="D27" s="23"/>
      <c r="E27" s="14"/>
      <c r="F27" s="14"/>
      <c r="G27" s="14"/>
      <c r="I27" s="14"/>
      <c r="M27" s="14" t="s">
        <v>1164</v>
      </c>
    </row>
    <row r="28" spans="1:13" s="16" customFormat="1" ht="15" customHeight="1" x14ac:dyDescent="0.3">
      <c r="A28" s="1"/>
      <c r="B28" s="3"/>
      <c r="C28" s="2"/>
      <c r="D28" s="29"/>
      <c r="E28" s="14"/>
      <c r="F28" s="14"/>
      <c r="G28" s="14"/>
      <c r="I28" s="14"/>
      <c r="M28" s="14" t="s">
        <v>1165</v>
      </c>
    </row>
    <row r="29" spans="1:13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  <row r="32" spans="1:13" s="2" customFormat="1" ht="20.100000000000001" customHeight="1" x14ac:dyDescent="0.3">
      <c r="A32"/>
      <c r="B32" s="10"/>
      <c r="D32" s="29"/>
      <c r="E32" s="1"/>
      <c r="F32" s="1"/>
      <c r="G32" s="1"/>
      <c r="H32" s="1"/>
      <c r="I32" s="1"/>
    </row>
    <row r="33" spans="1:9" s="2" customFormat="1" ht="20.100000000000001" customHeight="1" x14ac:dyDescent="0.3">
      <c r="A33"/>
      <c r="B33" s="10"/>
      <c r="D33" s="29"/>
      <c r="E33" s="1"/>
      <c r="F33" s="1"/>
      <c r="G33" s="1"/>
      <c r="H33" s="1"/>
      <c r="I33" s="1"/>
    </row>
    <row r="34" spans="1:9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</sheetData>
  <pageMargins left="0.7" right="0.7" top="0.75" bottom="0.75" header="0.3" footer="0.3"/>
  <pageSetup scale="82" fitToHeight="0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7E3F-599B-4D38-9482-0B2D59747396}">
  <sheetPr>
    <pageSetUpPr fitToPage="1"/>
  </sheetPr>
  <dimension ref="A1:M42"/>
  <sheetViews>
    <sheetView workbookViewId="0">
      <selection activeCell="D25" sqref="D25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26.42578125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46081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9088877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-9662045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-9662045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-573168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1683</v>
      </c>
      <c r="B9" s="31">
        <v>-26251</v>
      </c>
      <c r="C9" s="27">
        <v>46080</v>
      </c>
      <c r="D9" s="23">
        <v>46084</v>
      </c>
    </row>
    <row r="10" spans="1:4" s="14" customFormat="1" ht="15" customHeight="1" x14ac:dyDescent="0.25">
      <c r="A10" s="14" t="s">
        <v>1684</v>
      </c>
      <c r="B10" s="31">
        <v>-27860</v>
      </c>
      <c r="C10" s="27">
        <v>46080</v>
      </c>
      <c r="D10" s="23">
        <v>46084</v>
      </c>
    </row>
    <row r="11" spans="1:4" s="14" customFormat="1" ht="15" customHeight="1" x14ac:dyDescent="0.25">
      <c r="A11" s="14" t="s">
        <v>1685</v>
      </c>
      <c r="B11" s="31">
        <v>-28795</v>
      </c>
      <c r="C11" s="27">
        <v>46057</v>
      </c>
      <c r="D11" s="23">
        <v>46087</v>
      </c>
    </row>
    <row r="12" spans="1:4" s="14" customFormat="1" ht="15" customHeight="1" x14ac:dyDescent="0.25">
      <c r="A12" s="14" t="s">
        <v>1686</v>
      </c>
      <c r="B12" s="31">
        <v>-31020</v>
      </c>
      <c r="C12" s="27">
        <v>46081</v>
      </c>
      <c r="D12" s="23">
        <v>46084</v>
      </c>
    </row>
    <row r="13" spans="1:4" s="14" customFormat="1" ht="15" customHeight="1" x14ac:dyDescent="0.25">
      <c r="A13" s="14" t="s">
        <v>1687</v>
      </c>
      <c r="B13" s="31">
        <v>-31051</v>
      </c>
      <c r="C13" s="27">
        <v>46081</v>
      </c>
      <c r="D13" s="23">
        <v>46084</v>
      </c>
    </row>
    <row r="14" spans="1:4" s="14" customFormat="1" ht="15" customHeight="1" x14ac:dyDescent="0.25">
      <c r="A14" s="14" t="s">
        <v>1688</v>
      </c>
      <c r="B14" s="31">
        <v>-31277</v>
      </c>
      <c r="C14" s="27">
        <v>46079</v>
      </c>
      <c r="D14" s="23">
        <v>46083</v>
      </c>
    </row>
    <row r="15" spans="1:4" s="14" customFormat="1" ht="15" customHeight="1" x14ac:dyDescent="0.25">
      <c r="A15" s="14" t="s">
        <v>1689</v>
      </c>
      <c r="B15" s="31">
        <v>-33757</v>
      </c>
      <c r="C15" s="27">
        <v>46080</v>
      </c>
      <c r="D15" s="23">
        <v>46086</v>
      </c>
    </row>
    <row r="16" spans="1:4" s="14" customFormat="1" ht="15" customHeight="1" x14ac:dyDescent="0.25">
      <c r="A16" s="14" t="s">
        <v>1690</v>
      </c>
      <c r="B16" s="31">
        <v>-34838</v>
      </c>
      <c r="C16" s="27">
        <v>46080</v>
      </c>
      <c r="D16" s="23">
        <v>46086</v>
      </c>
    </row>
    <row r="17" spans="1:6" s="14" customFormat="1" ht="15" customHeight="1" x14ac:dyDescent="0.25">
      <c r="A17" s="14" t="s">
        <v>1691</v>
      </c>
      <c r="B17" s="31">
        <v>-34838</v>
      </c>
      <c r="C17" s="27">
        <v>46080</v>
      </c>
      <c r="D17" s="23">
        <v>46086</v>
      </c>
    </row>
    <row r="18" spans="1:6" s="14" customFormat="1" ht="15" customHeight="1" x14ac:dyDescent="0.25">
      <c r="A18" s="14" t="s">
        <v>1692</v>
      </c>
      <c r="B18" s="31">
        <v>-36218</v>
      </c>
      <c r="C18" s="27">
        <v>46080</v>
      </c>
      <c r="D18" s="23">
        <v>46086</v>
      </c>
    </row>
    <row r="19" spans="1:6" s="14" customFormat="1" ht="15" customHeight="1" x14ac:dyDescent="0.25">
      <c r="A19" s="14" t="s">
        <v>1693</v>
      </c>
      <c r="B19" s="31">
        <v>-39119</v>
      </c>
      <c r="C19" s="27">
        <v>46076</v>
      </c>
      <c r="D19" s="23">
        <v>46083</v>
      </c>
    </row>
    <row r="20" spans="1:6" s="14" customFormat="1" ht="15" customHeight="1" x14ac:dyDescent="0.25">
      <c r="A20" s="14" t="s">
        <v>1694</v>
      </c>
      <c r="B20" s="31">
        <v>-39649</v>
      </c>
      <c r="C20" s="27">
        <v>46076</v>
      </c>
      <c r="D20" s="23">
        <v>46083</v>
      </c>
    </row>
    <row r="21" spans="1:6" s="14" customFormat="1" ht="15" customHeight="1" x14ac:dyDescent="0.25">
      <c r="A21" s="14" t="s">
        <v>1695</v>
      </c>
      <c r="B21" s="31">
        <v>-39649</v>
      </c>
      <c r="C21" s="27">
        <v>46079</v>
      </c>
      <c r="D21" s="23">
        <v>46086</v>
      </c>
    </row>
    <row r="22" spans="1:6" s="14" customFormat="1" ht="15" customHeight="1" x14ac:dyDescent="0.25">
      <c r="A22" s="14" t="s">
        <v>1696</v>
      </c>
      <c r="B22" s="31">
        <v>-39893</v>
      </c>
      <c r="C22" s="27">
        <v>46080</v>
      </c>
      <c r="D22" s="23">
        <v>46086</v>
      </c>
    </row>
    <row r="23" spans="1:6" s="14" customFormat="1" ht="15" customHeight="1" x14ac:dyDescent="0.25">
      <c r="A23" s="14" t="s">
        <v>1697</v>
      </c>
      <c r="B23" s="31">
        <v>-44290</v>
      </c>
      <c r="C23" s="27">
        <v>46080</v>
      </c>
      <c r="D23" s="23">
        <v>46084</v>
      </c>
    </row>
    <row r="24" spans="1:6" s="14" customFormat="1" ht="15" customHeight="1" x14ac:dyDescent="0.25">
      <c r="A24" s="14" t="s">
        <v>1698</v>
      </c>
      <c r="B24" s="31">
        <v>-54663</v>
      </c>
      <c r="C24" s="27">
        <v>46080</v>
      </c>
      <c r="D24" s="23">
        <v>46084</v>
      </c>
    </row>
    <row r="25" spans="1:6" s="14" customFormat="1" ht="15" customHeight="1" x14ac:dyDescent="0.25">
      <c r="B25" s="31"/>
      <c r="C25" s="27"/>
      <c r="D25" s="23"/>
    </row>
    <row r="26" spans="1:6" s="14" customFormat="1" ht="15" customHeight="1" x14ac:dyDescent="0.25">
      <c r="B26" s="31">
        <f>SUM(B9:B25)</f>
        <v>-573168</v>
      </c>
      <c r="C26" s="16"/>
      <c r="D26" s="23"/>
    </row>
    <row r="27" spans="1:6" s="14" customFormat="1" ht="15" customHeight="1" x14ac:dyDescent="0.25">
      <c r="A27" s="14" t="s">
        <v>2</v>
      </c>
      <c r="B27" s="31"/>
      <c r="C27" s="26" t="s">
        <v>730</v>
      </c>
      <c r="D27" s="28" t="s">
        <v>829</v>
      </c>
    </row>
    <row r="28" spans="1:6" s="14" customFormat="1" ht="15" customHeight="1" x14ac:dyDescent="0.25">
      <c r="B28" s="31"/>
      <c r="C28" s="27"/>
      <c r="D28" s="23"/>
    </row>
    <row r="29" spans="1:6" s="14" customFormat="1" ht="15" customHeight="1" x14ac:dyDescent="0.25">
      <c r="B29" s="31"/>
      <c r="C29" s="27"/>
      <c r="D29" s="23"/>
    </row>
    <row r="30" spans="1:6" s="14" customFormat="1" ht="15" customHeight="1" x14ac:dyDescent="0.25">
      <c r="B30" s="31"/>
      <c r="C30" s="27"/>
      <c r="D30" s="23"/>
    </row>
    <row r="31" spans="1:6" s="14" customFormat="1" ht="15" customHeight="1" x14ac:dyDescent="0.25">
      <c r="B31" s="31"/>
      <c r="C31" s="27"/>
      <c r="D31" s="23"/>
    </row>
    <row r="32" spans="1:6" s="14" customFormat="1" ht="15" customHeight="1" x14ac:dyDescent="0.25">
      <c r="B32" s="31">
        <f>SUM(B28:B31)</f>
        <v>0</v>
      </c>
      <c r="C32" s="16"/>
      <c r="D32" s="21"/>
      <c r="E32" s="21"/>
      <c r="F32" s="21"/>
    </row>
    <row r="33" spans="1:13" s="16" customFormat="1" ht="15" customHeight="1" x14ac:dyDescent="0.25">
      <c r="A33" s="18" t="s">
        <v>1</v>
      </c>
      <c r="B33" s="19">
        <f>B32+B26</f>
        <v>-573168</v>
      </c>
      <c r="D33" s="23"/>
      <c r="E33" s="21"/>
      <c r="F33" s="21"/>
      <c r="G33" s="21"/>
    </row>
    <row r="34" spans="1:13" s="16" customFormat="1" ht="15" customHeight="1" x14ac:dyDescent="0.25">
      <c r="A34" s="14" t="s">
        <v>0</v>
      </c>
      <c r="B34" s="15">
        <f>B33-B7</f>
        <v>0</v>
      </c>
      <c r="D34" s="23"/>
      <c r="E34" s="14"/>
      <c r="F34" s="14"/>
      <c r="G34" s="14"/>
      <c r="H34" s="14"/>
      <c r="I34" s="14"/>
    </row>
    <row r="35" spans="1:13" s="16" customFormat="1" ht="15" customHeight="1" x14ac:dyDescent="0.3">
      <c r="A35" s="1"/>
      <c r="B35" s="3"/>
      <c r="C35" s="2"/>
      <c r="D35" s="23"/>
      <c r="E35" s="14"/>
      <c r="F35" s="14"/>
      <c r="G35" s="14"/>
      <c r="I35" s="14"/>
      <c r="M35" s="14" t="s">
        <v>1164</v>
      </c>
    </row>
    <row r="36" spans="1:13" s="16" customFormat="1" ht="15" customHeight="1" x14ac:dyDescent="0.3">
      <c r="A36" s="1"/>
      <c r="B36" s="3"/>
      <c r="C36" s="2"/>
      <c r="D36" s="29"/>
      <c r="E36" s="14"/>
      <c r="F36" s="14"/>
      <c r="G36" s="14"/>
      <c r="I36" s="14"/>
      <c r="M36" s="14" t="s">
        <v>1165</v>
      </c>
    </row>
    <row r="37" spans="1:13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  <row r="40" spans="1:13" s="2" customFormat="1" ht="20.100000000000001" customHeight="1" x14ac:dyDescent="0.3">
      <c r="A40"/>
      <c r="B40" s="10"/>
      <c r="D40" s="29"/>
      <c r="E40" s="1"/>
      <c r="F40" s="1"/>
      <c r="G40" s="1"/>
      <c r="H40" s="1"/>
      <c r="I40" s="1"/>
    </row>
    <row r="41" spans="1:13" s="2" customFormat="1" ht="20.100000000000001" customHeight="1" x14ac:dyDescent="0.3">
      <c r="A41"/>
      <c r="B41" s="10"/>
      <c r="D41" s="29"/>
      <c r="E41" s="1"/>
      <c r="F41" s="1"/>
      <c r="G41" s="1"/>
      <c r="H41" s="1"/>
      <c r="I41" s="1"/>
    </row>
    <row r="42" spans="1:13" s="2" customFormat="1" ht="20.100000000000001" customHeight="1" x14ac:dyDescent="0.3">
      <c r="A42"/>
      <c r="B42" s="10"/>
      <c r="D42" s="29"/>
      <c r="E42" s="1"/>
      <c r="F42" s="1"/>
      <c r="G42" s="1"/>
      <c r="H42" s="1"/>
      <c r="I42" s="1"/>
    </row>
  </sheetData>
  <pageMargins left="0.7" right="0.7" top="0.75" bottom="0.75" header="0.3" footer="0.3"/>
  <pageSetup scale="82" fitToHeight="0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AFC4-87F0-4359-AB35-7EC5F957B99A}">
  <sheetPr>
    <pageSetUpPr fitToPage="1"/>
  </sheetPr>
  <dimension ref="A1:M39"/>
  <sheetViews>
    <sheetView workbookViewId="0">
      <selection activeCell="C28" sqref="C28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26.42578125" style="2" bestFit="1" customWidth="1"/>
    <col min="4" max="4" width="24.7109375" style="29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46112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8606561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-8470803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-8470803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135758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1699</v>
      </c>
      <c r="B9" s="31">
        <v>-30915</v>
      </c>
      <c r="C9" s="27">
        <v>46111</v>
      </c>
      <c r="D9" s="23">
        <v>46118</v>
      </c>
    </row>
    <row r="10" spans="1:4" s="14" customFormat="1" ht="15" customHeight="1" x14ac:dyDescent="0.25">
      <c r="A10" s="14" t="s">
        <v>1700</v>
      </c>
      <c r="B10" s="31">
        <v>-36544</v>
      </c>
      <c r="C10" s="27">
        <v>46111</v>
      </c>
      <c r="D10" s="23">
        <v>46114</v>
      </c>
    </row>
    <row r="11" spans="1:4" s="14" customFormat="1" ht="15" customHeight="1" x14ac:dyDescent="0.25">
      <c r="A11" s="14" t="s">
        <v>1701</v>
      </c>
      <c r="B11" s="31">
        <v>-36919</v>
      </c>
      <c r="C11" s="27">
        <v>46111</v>
      </c>
      <c r="D11" s="23">
        <v>46114</v>
      </c>
    </row>
    <row r="12" spans="1:4" s="14" customFormat="1" ht="15" customHeight="1" x14ac:dyDescent="0.25">
      <c r="A12" s="14" t="s">
        <v>1702</v>
      </c>
      <c r="B12" s="31">
        <v>-39571</v>
      </c>
      <c r="C12" s="27">
        <v>46111</v>
      </c>
      <c r="D12" s="23">
        <v>46114</v>
      </c>
    </row>
    <row r="13" spans="1:4" s="14" customFormat="1" ht="15" customHeight="1" x14ac:dyDescent="0.25">
      <c r="A13" s="14" t="s">
        <v>1703</v>
      </c>
      <c r="B13" s="31">
        <v>-40293</v>
      </c>
      <c r="C13" s="27">
        <v>46106</v>
      </c>
      <c r="D13" s="23">
        <v>46115</v>
      </c>
    </row>
    <row r="14" spans="1:4" s="14" customFormat="1" ht="15" customHeight="1" x14ac:dyDescent="0.25">
      <c r="A14" s="14" t="s">
        <v>1704</v>
      </c>
      <c r="B14" s="31">
        <v>-40516</v>
      </c>
      <c r="C14" s="27">
        <v>46111</v>
      </c>
      <c r="D14" s="23">
        <v>46114</v>
      </c>
    </row>
    <row r="15" spans="1:4" s="14" customFormat="1" ht="15" customHeight="1" x14ac:dyDescent="0.25">
      <c r="B15" s="31"/>
      <c r="C15" s="27"/>
      <c r="D15" s="23"/>
    </row>
    <row r="16" spans="1:4" s="14" customFormat="1" ht="15" customHeight="1" x14ac:dyDescent="0.25">
      <c r="B16" s="31">
        <f>SUM(B9:B15)</f>
        <v>-224758</v>
      </c>
      <c r="C16" s="16"/>
      <c r="D16" s="23"/>
    </row>
    <row r="17" spans="1:13" s="14" customFormat="1" ht="15" customHeight="1" x14ac:dyDescent="0.25">
      <c r="A17" s="14" t="s">
        <v>2</v>
      </c>
      <c r="B17" s="31"/>
      <c r="C17" s="26" t="s">
        <v>730</v>
      </c>
      <c r="D17" s="28" t="s">
        <v>829</v>
      </c>
    </row>
    <row r="18" spans="1:13" s="14" customFormat="1" ht="15" customHeight="1" x14ac:dyDescent="0.25">
      <c r="A18" s="14" t="s">
        <v>1705</v>
      </c>
      <c r="B18" s="31">
        <v>25895</v>
      </c>
      <c r="C18" s="27">
        <v>46106</v>
      </c>
      <c r="D18" s="23">
        <v>46122</v>
      </c>
    </row>
    <row r="19" spans="1:13" s="14" customFormat="1" ht="15" customHeight="1" x14ac:dyDescent="0.25">
      <c r="A19" s="14" t="s">
        <v>1706</v>
      </c>
      <c r="B19" s="31">
        <v>27968</v>
      </c>
      <c r="C19" s="27">
        <v>46106</v>
      </c>
      <c r="D19" s="23">
        <v>46122</v>
      </c>
    </row>
    <row r="20" spans="1:13" s="14" customFormat="1" ht="15" customHeight="1" x14ac:dyDescent="0.25">
      <c r="A20" s="14" t="s">
        <v>1707</v>
      </c>
      <c r="B20" s="31">
        <v>35469</v>
      </c>
      <c r="C20" s="27">
        <v>46112</v>
      </c>
      <c r="D20" s="23">
        <v>46113</v>
      </c>
    </row>
    <row r="21" spans="1:13" s="14" customFormat="1" ht="15" customHeight="1" x14ac:dyDescent="0.25">
      <c r="A21" s="14" t="s">
        <v>1708</v>
      </c>
      <c r="B21" s="31">
        <v>35807</v>
      </c>
      <c r="C21" s="27">
        <v>46112</v>
      </c>
      <c r="D21" s="23">
        <v>46113</v>
      </c>
    </row>
    <row r="22" spans="1:13" s="14" customFormat="1" ht="15" customHeight="1" x14ac:dyDescent="0.25">
      <c r="A22" s="14" t="s">
        <v>1709</v>
      </c>
      <c r="B22" s="31">
        <v>37816</v>
      </c>
      <c r="C22" s="27">
        <v>46112</v>
      </c>
      <c r="D22" s="23">
        <v>46113</v>
      </c>
    </row>
    <row r="23" spans="1:13" s="14" customFormat="1" ht="15" customHeight="1" x14ac:dyDescent="0.25">
      <c r="A23" s="14" t="s">
        <v>1710</v>
      </c>
      <c r="B23" s="31">
        <v>37816</v>
      </c>
      <c r="C23" s="27">
        <v>46112</v>
      </c>
      <c r="D23" s="23">
        <v>46118</v>
      </c>
    </row>
    <row r="24" spans="1:13" s="14" customFormat="1" ht="15" customHeight="1" x14ac:dyDescent="0.25">
      <c r="A24" s="14" t="s">
        <v>1711</v>
      </c>
      <c r="B24" s="31">
        <v>39571</v>
      </c>
      <c r="C24" s="27">
        <v>46112</v>
      </c>
      <c r="D24" s="23">
        <v>46113</v>
      </c>
    </row>
    <row r="25" spans="1:13" s="14" customFormat="1" ht="15" customHeight="1" x14ac:dyDescent="0.25">
      <c r="A25" s="14" t="s">
        <v>1712</v>
      </c>
      <c r="B25" s="31">
        <v>39571</v>
      </c>
      <c r="C25" s="27">
        <v>46112</v>
      </c>
      <c r="D25" s="23">
        <v>46113</v>
      </c>
    </row>
    <row r="26" spans="1:13" s="14" customFormat="1" ht="15" customHeight="1" x14ac:dyDescent="0.25">
      <c r="A26" s="14" t="s">
        <v>1713</v>
      </c>
      <c r="B26" s="31">
        <v>39829</v>
      </c>
      <c r="C26" s="27">
        <v>46112</v>
      </c>
      <c r="D26" s="23">
        <v>46113</v>
      </c>
    </row>
    <row r="27" spans="1:13" s="14" customFormat="1" ht="15" customHeight="1" x14ac:dyDescent="0.25">
      <c r="A27" s="14" t="s">
        <v>1714</v>
      </c>
      <c r="B27" s="31">
        <v>40774</v>
      </c>
      <c r="C27" s="27">
        <v>46112</v>
      </c>
      <c r="D27" s="23">
        <v>46113</v>
      </c>
    </row>
    <row r="28" spans="1:13" s="14" customFormat="1" ht="15" customHeight="1" x14ac:dyDescent="0.25">
      <c r="B28" s="31"/>
      <c r="C28" s="27"/>
      <c r="D28" s="23"/>
    </row>
    <row r="29" spans="1:13" s="14" customFormat="1" ht="15" customHeight="1" x14ac:dyDescent="0.25">
      <c r="B29" s="31">
        <f>SUM(B18:B28)</f>
        <v>360516</v>
      </c>
      <c r="C29" s="16"/>
      <c r="D29" s="21"/>
      <c r="E29" s="21"/>
      <c r="F29" s="21"/>
    </row>
    <row r="30" spans="1:13" s="16" customFormat="1" ht="15" customHeight="1" x14ac:dyDescent="0.25">
      <c r="A30" s="18" t="s">
        <v>1</v>
      </c>
      <c r="B30" s="19">
        <f>B29+B16</f>
        <v>135758</v>
      </c>
      <c r="D30" s="23"/>
      <c r="E30" s="21"/>
      <c r="F30" s="21"/>
      <c r="G30" s="21"/>
    </row>
    <row r="31" spans="1:13" s="16" customFormat="1" ht="15" customHeight="1" x14ac:dyDescent="0.25">
      <c r="A31" s="14" t="s">
        <v>0</v>
      </c>
      <c r="B31" s="15">
        <f>B30-B7</f>
        <v>0</v>
      </c>
      <c r="D31" s="23"/>
      <c r="E31" s="14"/>
      <c r="F31" s="14"/>
      <c r="G31" s="14"/>
      <c r="H31" s="14"/>
      <c r="I31" s="14"/>
    </row>
    <row r="32" spans="1:13" s="16" customFormat="1" ht="15" customHeight="1" x14ac:dyDescent="0.3">
      <c r="A32" s="1"/>
      <c r="B32" s="3"/>
      <c r="C32" s="2"/>
      <c r="D32" s="23"/>
      <c r="E32" s="14"/>
      <c r="F32" s="14"/>
      <c r="G32" s="14"/>
      <c r="I32" s="14"/>
      <c r="M32" s="14" t="s">
        <v>1164</v>
      </c>
    </row>
    <row r="33" spans="1:13" s="16" customFormat="1" ht="15" customHeight="1" x14ac:dyDescent="0.3">
      <c r="A33" s="1"/>
      <c r="B33" s="3"/>
      <c r="C33" s="2"/>
      <c r="D33" s="29"/>
      <c r="E33" s="14"/>
      <c r="F33" s="14"/>
      <c r="G33" s="14"/>
      <c r="I33" s="14"/>
      <c r="M33" s="14" t="s">
        <v>1165</v>
      </c>
    </row>
    <row r="34" spans="1:13" s="2" customFormat="1" ht="20.100000000000001" customHeight="1" x14ac:dyDescent="0.3">
      <c r="A34"/>
      <c r="B34" s="10"/>
      <c r="D34" s="29"/>
      <c r="E34" s="1"/>
      <c r="F34" s="1"/>
      <c r="G34" s="1"/>
      <c r="H34" s="1"/>
      <c r="I34" s="1"/>
    </row>
    <row r="35" spans="1:13" s="2" customFormat="1" ht="20.100000000000001" customHeight="1" x14ac:dyDescent="0.3">
      <c r="A35"/>
      <c r="B35" s="10"/>
      <c r="D35" s="29"/>
      <c r="E35" s="1"/>
      <c r="F35" s="1"/>
      <c r="G35" s="1"/>
      <c r="H35" s="1"/>
      <c r="I35" s="1"/>
    </row>
    <row r="36" spans="1:13" s="2" customFormat="1" ht="20.100000000000001" customHeight="1" x14ac:dyDescent="0.3">
      <c r="A36"/>
      <c r="B36" s="10"/>
      <c r="D36" s="29"/>
      <c r="E36" s="1"/>
      <c r="F36" s="1"/>
      <c r="G36" s="1"/>
      <c r="H36" s="1"/>
      <c r="I36" s="1"/>
    </row>
    <row r="37" spans="1:13" s="2" customFormat="1" ht="20.100000000000001" customHeight="1" x14ac:dyDescent="0.3">
      <c r="A37"/>
      <c r="B37" s="10"/>
      <c r="D37" s="29"/>
      <c r="E37" s="1"/>
      <c r="F37" s="1"/>
      <c r="G37" s="1"/>
      <c r="H37" s="1"/>
      <c r="I37" s="1"/>
    </row>
    <row r="38" spans="1:13" s="2" customFormat="1" ht="20.100000000000001" customHeight="1" x14ac:dyDescent="0.3">
      <c r="A38"/>
      <c r="B38" s="10"/>
      <c r="D38" s="29"/>
      <c r="E38" s="1"/>
      <c r="F38" s="1"/>
      <c r="G38" s="1"/>
      <c r="H38" s="1"/>
      <c r="I38" s="1"/>
    </row>
    <row r="39" spans="1:13" s="2" customFormat="1" ht="20.100000000000001" customHeight="1" x14ac:dyDescent="0.3">
      <c r="A39"/>
      <c r="B39" s="10"/>
      <c r="D39" s="29"/>
      <c r="E39" s="1"/>
      <c r="F39" s="1"/>
      <c r="G39" s="1"/>
      <c r="H39" s="1"/>
      <c r="I39" s="1"/>
    </row>
  </sheetData>
  <pageMargins left="0.7" right="0.7" top="0.75" bottom="0.75" header="0.3" footer="0.3"/>
  <pageSetup scale="82" fitToHeight="0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FEFA-3DC7-47A0-A322-961198DC737A}">
  <sheetPr>
    <pageSetUpPr fitToPage="1"/>
  </sheetPr>
  <dimension ref="A1:M31"/>
  <sheetViews>
    <sheetView tabSelected="1" workbookViewId="0">
      <selection activeCell="C18" sqref="C18"/>
    </sheetView>
  </sheetViews>
  <sheetFormatPr defaultRowHeight="18.75" x14ac:dyDescent="0.3"/>
  <cols>
    <col min="1" max="1" width="23.28515625" customWidth="1"/>
    <col min="2" max="2" width="17.42578125" style="10" customWidth="1"/>
    <col min="3" max="3" width="26.42578125" style="2" bestFit="1" customWidth="1"/>
    <col min="4" max="4" width="28.5703125" style="29" bestFit="1" customWidth="1"/>
    <col min="5" max="5" width="17.28515625" style="1" customWidth="1"/>
    <col min="6" max="7" width="9.140625" style="1"/>
    <col min="8" max="8" width="17.7109375" style="1" customWidth="1"/>
    <col min="9" max="16384" width="9.140625" style="1"/>
  </cols>
  <sheetData>
    <row r="1" spans="1:4" s="14" customFormat="1" ht="15" customHeight="1" x14ac:dyDescent="0.25">
      <c r="A1" s="14" t="s">
        <v>304</v>
      </c>
      <c r="B1" s="15"/>
      <c r="C1" s="16"/>
      <c r="D1" s="23"/>
    </row>
    <row r="2" spans="1:4" s="14" customFormat="1" ht="15" customHeight="1" x14ac:dyDescent="0.25">
      <c r="A2" s="17">
        <v>46142</v>
      </c>
      <c r="B2" s="15"/>
      <c r="C2" s="16"/>
      <c r="D2" s="23"/>
    </row>
    <row r="3" spans="1:4" s="14" customFormat="1" ht="15" customHeight="1" x14ac:dyDescent="0.25">
      <c r="A3" s="14" t="s">
        <v>389</v>
      </c>
      <c r="B3" s="15">
        <v>7949383</v>
      </c>
      <c r="C3" s="16"/>
      <c r="D3" s="23"/>
    </row>
    <row r="4" spans="1:4" s="14" customFormat="1" ht="15" customHeight="1" x14ac:dyDescent="0.25">
      <c r="A4" s="14" t="s">
        <v>6</v>
      </c>
      <c r="B4" s="15"/>
      <c r="C4" s="16"/>
      <c r="D4" s="23"/>
    </row>
    <row r="5" spans="1:4" s="14" customFormat="1" ht="15" customHeight="1" x14ac:dyDescent="0.25">
      <c r="A5" s="14">
        <v>2100</v>
      </c>
      <c r="B5" s="15">
        <v>-7877160</v>
      </c>
      <c r="C5" s="16"/>
      <c r="D5" s="23"/>
    </row>
    <row r="6" spans="1:4" s="14" customFormat="1" ht="15" customHeight="1" x14ac:dyDescent="0.25">
      <c r="A6" s="14" t="s">
        <v>5</v>
      </c>
      <c r="B6" s="15">
        <f>B5</f>
        <v>-7877160</v>
      </c>
      <c r="C6" s="16"/>
      <c r="D6" s="23"/>
    </row>
    <row r="7" spans="1:4" s="14" customFormat="1" ht="15" customHeight="1" x14ac:dyDescent="0.25">
      <c r="A7" s="18" t="s">
        <v>4</v>
      </c>
      <c r="B7" s="19">
        <f>SUM(B3+B6)</f>
        <v>72223</v>
      </c>
      <c r="C7" s="16"/>
      <c r="D7" s="23"/>
    </row>
    <row r="8" spans="1:4" s="14" customFormat="1" ht="15" customHeight="1" x14ac:dyDescent="0.25">
      <c r="A8" s="14" t="s">
        <v>3</v>
      </c>
      <c r="B8" s="31"/>
      <c r="C8" s="26" t="s">
        <v>729</v>
      </c>
      <c r="D8" s="28" t="s">
        <v>730</v>
      </c>
    </row>
    <row r="9" spans="1:4" s="14" customFormat="1" ht="15" customHeight="1" x14ac:dyDescent="0.25">
      <c r="A9" s="14" t="s">
        <v>1715</v>
      </c>
      <c r="B9" s="31">
        <v>-31771</v>
      </c>
      <c r="C9" s="27" t="s">
        <v>1721</v>
      </c>
      <c r="D9" s="23">
        <v>46119</v>
      </c>
    </row>
    <row r="10" spans="1:4" s="14" customFormat="1" ht="15" customHeight="1" x14ac:dyDescent="0.25">
      <c r="A10" s="14" t="s">
        <v>1716</v>
      </c>
      <c r="B10" s="31">
        <v>-31771</v>
      </c>
      <c r="C10" s="27" t="s">
        <v>1721</v>
      </c>
      <c r="D10" s="23">
        <v>46119</v>
      </c>
    </row>
    <row r="11" spans="1:4" s="14" customFormat="1" ht="15" customHeight="1" x14ac:dyDescent="0.25">
      <c r="B11" s="31"/>
      <c r="C11" s="27"/>
      <c r="D11" s="23"/>
    </row>
    <row r="12" spans="1:4" s="14" customFormat="1" ht="15" customHeight="1" x14ac:dyDescent="0.25">
      <c r="B12" s="31"/>
      <c r="C12" s="27"/>
      <c r="D12" s="23"/>
    </row>
    <row r="13" spans="1:4" s="14" customFormat="1" ht="15" customHeight="1" x14ac:dyDescent="0.25">
      <c r="B13" s="31">
        <f>SUM(B9:B12)</f>
        <v>-63542</v>
      </c>
      <c r="C13" s="16"/>
      <c r="D13" s="23"/>
    </row>
    <row r="14" spans="1:4" s="14" customFormat="1" ht="15" customHeight="1" x14ac:dyDescent="0.25">
      <c r="A14" s="14" t="s">
        <v>2</v>
      </c>
      <c r="B14" s="31"/>
      <c r="C14" s="26" t="s">
        <v>730</v>
      </c>
      <c r="D14" s="28" t="s">
        <v>829</v>
      </c>
    </row>
    <row r="15" spans="1:4" s="14" customFormat="1" ht="15" customHeight="1" x14ac:dyDescent="0.25">
      <c r="A15" s="14" t="s">
        <v>1717</v>
      </c>
      <c r="B15" s="31">
        <v>32283</v>
      </c>
      <c r="C15" s="27">
        <v>46119</v>
      </c>
      <c r="D15" s="23" t="s">
        <v>1721</v>
      </c>
    </row>
    <row r="16" spans="1:4" s="14" customFormat="1" ht="15" customHeight="1" x14ac:dyDescent="0.25">
      <c r="A16" s="14" t="s">
        <v>1718</v>
      </c>
      <c r="B16" s="31">
        <v>32283</v>
      </c>
      <c r="C16" s="27">
        <v>46119</v>
      </c>
      <c r="D16" s="23" t="s">
        <v>1721</v>
      </c>
    </row>
    <row r="17" spans="1:13" s="14" customFormat="1" ht="15" customHeight="1" x14ac:dyDescent="0.25">
      <c r="A17" s="14" t="s">
        <v>1720</v>
      </c>
      <c r="B17" s="31">
        <v>35200</v>
      </c>
      <c r="C17" s="27" t="s">
        <v>1723</v>
      </c>
      <c r="D17" s="23" t="s">
        <v>1722</v>
      </c>
    </row>
    <row r="18" spans="1:13" s="14" customFormat="1" ht="15" customHeight="1" x14ac:dyDescent="0.25">
      <c r="A18" s="14" t="s">
        <v>1719</v>
      </c>
      <c r="B18" s="31">
        <v>35999</v>
      </c>
      <c r="C18" s="27">
        <v>46142</v>
      </c>
      <c r="D18" s="23">
        <v>46143</v>
      </c>
    </row>
    <row r="19" spans="1:13" s="14" customFormat="1" ht="15" customHeight="1" x14ac:dyDescent="0.25">
      <c r="B19" s="31"/>
      <c r="C19" s="27"/>
      <c r="D19" s="23"/>
    </row>
    <row r="20" spans="1:13" s="14" customFormat="1" ht="15" customHeight="1" x14ac:dyDescent="0.25">
      <c r="B20" s="31"/>
      <c r="C20" s="27"/>
      <c r="D20" s="23"/>
    </row>
    <row r="21" spans="1:13" s="14" customFormat="1" ht="15" customHeight="1" x14ac:dyDescent="0.25">
      <c r="B21" s="31">
        <f>SUM(B15:B20)</f>
        <v>135765</v>
      </c>
      <c r="C21" s="16"/>
      <c r="D21" s="21"/>
      <c r="E21" s="21"/>
      <c r="F21" s="21"/>
    </row>
    <row r="22" spans="1:13" s="16" customFormat="1" ht="15" customHeight="1" x14ac:dyDescent="0.25">
      <c r="A22" s="18" t="s">
        <v>1</v>
      </c>
      <c r="B22" s="19">
        <f>B21+B13</f>
        <v>72223</v>
      </c>
      <c r="D22" s="23"/>
      <c r="E22" s="21"/>
      <c r="F22" s="21"/>
      <c r="G22" s="21"/>
    </row>
    <row r="23" spans="1:13" s="16" customFormat="1" ht="15" customHeight="1" x14ac:dyDescent="0.25">
      <c r="A23" s="14" t="s">
        <v>0</v>
      </c>
      <c r="B23" s="15">
        <f>B22-B7</f>
        <v>0</v>
      </c>
      <c r="D23" s="23"/>
      <c r="E23" s="14"/>
      <c r="F23" s="14"/>
      <c r="G23" s="14"/>
      <c r="H23" s="14"/>
      <c r="I23" s="14"/>
    </row>
    <row r="24" spans="1:13" s="16" customFormat="1" ht="15" customHeight="1" x14ac:dyDescent="0.3">
      <c r="A24" s="1"/>
      <c r="B24" s="3"/>
      <c r="C24" s="2"/>
      <c r="D24" s="23"/>
      <c r="E24" s="14"/>
      <c r="F24" s="14"/>
      <c r="G24" s="14"/>
      <c r="I24" s="14"/>
      <c r="M24" s="14" t="s">
        <v>1164</v>
      </c>
    </row>
    <row r="25" spans="1:13" s="16" customFormat="1" ht="15" customHeight="1" x14ac:dyDescent="0.3">
      <c r="A25" s="1"/>
      <c r="B25" s="3"/>
      <c r="C25" s="2"/>
      <c r="D25" s="29"/>
      <c r="E25" s="14"/>
      <c r="F25" s="14"/>
      <c r="G25" s="14"/>
      <c r="I25" s="14"/>
      <c r="M25" s="14" t="s">
        <v>1165</v>
      </c>
    </row>
    <row r="26" spans="1:13" s="2" customFormat="1" ht="20.100000000000001" customHeight="1" x14ac:dyDescent="0.3">
      <c r="A26"/>
      <c r="B26" s="10"/>
      <c r="D26" s="29"/>
      <c r="E26" s="1"/>
      <c r="F26" s="1"/>
      <c r="G26" s="1"/>
      <c r="H26" s="1"/>
      <c r="I26" s="1"/>
    </row>
    <row r="27" spans="1:13" s="2" customFormat="1" ht="20.100000000000001" customHeight="1" x14ac:dyDescent="0.3">
      <c r="A27"/>
      <c r="B27" s="10"/>
      <c r="D27" s="29"/>
      <c r="E27" s="1"/>
      <c r="F27" s="1"/>
      <c r="G27" s="1"/>
      <c r="H27" s="1"/>
      <c r="I27" s="1"/>
    </row>
    <row r="28" spans="1:13" s="2" customFormat="1" ht="20.100000000000001" customHeight="1" x14ac:dyDescent="0.3">
      <c r="A28"/>
      <c r="B28" s="10"/>
      <c r="D28" s="29"/>
      <c r="E28" s="1"/>
      <c r="F28" s="1"/>
      <c r="G28" s="1"/>
      <c r="H28" s="1"/>
      <c r="I28" s="1"/>
    </row>
    <row r="29" spans="1:13" s="2" customFormat="1" ht="20.100000000000001" customHeight="1" x14ac:dyDescent="0.3">
      <c r="A29"/>
      <c r="B29" s="10"/>
      <c r="D29" s="29"/>
      <c r="E29" s="1"/>
      <c r="F29" s="1"/>
      <c r="G29" s="1"/>
      <c r="H29" s="1"/>
      <c r="I29" s="1"/>
    </row>
    <row r="30" spans="1:13" s="2" customFormat="1" ht="20.100000000000001" customHeight="1" x14ac:dyDescent="0.3">
      <c r="A30"/>
      <c r="B30" s="10"/>
      <c r="D30" s="29"/>
      <c r="E30" s="1"/>
      <c r="F30" s="1"/>
      <c r="G30" s="1"/>
      <c r="H30" s="1"/>
      <c r="I30" s="1"/>
    </row>
    <row r="31" spans="1:13" s="2" customFormat="1" ht="20.100000000000001" customHeight="1" x14ac:dyDescent="0.3">
      <c r="A31"/>
      <c r="B31" s="10"/>
      <c r="D31" s="29"/>
      <c r="E31" s="1"/>
      <c r="F31" s="1"/>
      <c r="G31" s="1"/>
      <c r="H31" s="1"/>
      <c r="I31" s="1"/>
    </row>
  </sheetData>
  <pageMargins left="0.7" right="0.7" top="0.75" bottom="0.75" header="0.3" footer="0.3"/>
  <pageSetup scale="80" fitToHeight="0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ECB6-823F-4B67-AA00-4E316AF73C26}">
  <dimension ref="A1:B8"/>
  <sheetViews>
    <sheetView workbookViewId="0">
      <selection sqref="A1:B8"/>
    </sheetView>
  </sheetViews>
  <sheetFormatPr defaultRowHeight="15" x14ac:dyDescent="0.25"/>
  <cols>
    <col min="1" max="1" width="20.7109375" bestFit="1" customWidth="1"/>
    <col min="2" max="2" width="10.7109375" bestFit="1" customWidth="1"/>
  </cols>
  <sheetData>
    <row r="1" spans="1:2" ht="15.75" x14ac:dyDescent="0.25">
      <c r="A1" s="14" t="s">
        <v>1451</v>
      </c>
      <c r="B1" s="27">
        <v>45323</v>
      </c>
    </row>
    <row r="2" spans="1:2" ht="15.75" x14ac:dyDescent="0.25">
      <c r="A2" s="14" t="s">
        <v>1439</v>
      </c>
      <c r="B2" s="27">
        <v>45313</v>
      </c>
    </row>
    <row r="3" spans="1:2" ht="15.75" x14ac:dyDescent="0.25">
      <c r="A3" s="14" t="s">
        <v>1442</v>
      </c>
      <c r="B3" s="27">
        <v>45322</v>
      </c>
    </row>
    <row r="4" spans="1:2" ht="15.75" x14ac:dyDescent="0.25">
      <c r="A4" s="14" t="s">
        <v>1452</v>
      </c>
      <c r="B4" s="27">
        <v>45342</v>
      </c>
    </row>
    <row r="5" spans="1:2" ht="15.75" x14ac:dyDescent="0.25">
      <c r="A5" s="14" t="s">
        <v>1453</v>
      </c>
      <c r="B5" s="27">
        <v>45348</v>
      </c>
    </row>
    <row r="6" spans="1:2" ht="15.75" x14ac:dyDescent="0.25">
      <c r="A6" s="14" t="s">
        <v>1454</v>
      </c>
      <c r="B6" s="27">
        <v>45342</v>
      </c>
    </row>
    <row r="7" spans="1:2" ht="15.75" x14ac:dyDescent="0.25">
      <c r="A7" s="14" t="s">
        <v>1443</v>
      </c>
      <c r="B7" s="27">
        <v>45315</v>
      </c>
    </row>
    <row r="8" spans="1:2" ht="15.75" x14ac:dyDescent="0.25">
      <c r="A8" s="14" t="s">
        <v>1455</v>
      </c>
      <c r="B8" s="27">
        <v>45348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121</vt:i4>
      </vt:variant>
      <vt:variant>
        <vt:lpstr>Named Ranges</vt:lpstr>
      </vt:variant>
      <vt:variant>
        <vt:i4>65</vt:i4>
      </vt:variant>
    </vt:vector>
  </HeadingPairs>
  <TitlesOfParts>
    <vt:vector size="186" baseType="lpstr">
      <vt:lpstr>May 14</vt:lpstr>
      <vt:lpstr>June '14</vt:lpstr>
      <vt:lpstr>July '14</vt:lpstr>
      <vt:lpstr>Augst '14</vt:lpstr>
      <vt:lpstr>Sept '14</vt:lpstr>
      <vt:lpstr>Oct '14</vt:lpstr>
      <vt:lpstr>Nov '14</vt:lpstr>
      <vt:lpstr>Dec '14</vt:lpstr>
      <vt:lpstr>Jan '15</vt:lpstr>
      <vt:lpstr>Feb '15</vt:lpstr>
      <vt:lpstr>June 16</vt:lpstr>
      <vt:lpstr>July 16</vt:lpstr>
      <vt:lpstr>Aug 2016</vt:lpstr>
      <vt:lpstr>Sept 2016</vt:lpstr>
      <vt:lpstr>OCT 16</vt:lpstr>
      <vt:lpstr>NOV 16</vt:lpstr>
      <vt:lpstr>DEC 16</vt:lpstr>
      <vt:lpstr>JAN 17</vt:lpstr>
      <vt:lpstr>FEB 17</vt:lpstr>
      <vt:lpstr>Mar 17</vt:lpstr>
      <vt:lpstr>APR 17</vt:lpstr>
      <vt:lpstr>MAY 17</vt:lpstr>
      <vt:lpstr>June 17</vt:lpstr>
      <vt:lpstr>July 17</vt:lpstr>
      <vt:lpstr>Aug 17</vt:lpstr>
      <vt:lpstr>Sept 17</vt:lpstr>
      <vt:lpstr>Oct 17</vt:lpstr>
      <vt:lpstr>Feb 18</vt:lpstr>
      <vt:lpstr>Mar 18</vt:lpstr>
      <vt:lpstr>Apr 18</vt:lpstr>
      <vt:lpstr>May 18</vt:lpstr>
      <vt:lpstr>June 18</vt:lpstr>
      <vt:lpstr>July 18</vt:lpstr>
      <vt:lpstr>Aug 18</vt:lpstr>
      <vt:lpstr>Sept 18</vt:lpstr>
      <vt:lpstr>Oct 18</vt:lpstr>
      <vt:lpstr>Nov 18</vt:lpstr>
      <vt:lpstr>DEC 18</vt:lpstr>
      <vt:lpstr>FEB 19</vt:lpstr>
      <vt:lpstr>MAR 19</vt:lpstr>
      <vt:lpstr>April 19</vt:lpstr>
      <vt:lpstr>MAY 19</vt:lpstr>
      <vt:lpstr>JUNE 19</vt:lpstr>
      <vt:lpstr>JULY 19</vt:lpstr>
      <vt:lpstr>AUG 19</vt:lpstr>
      <vt:lpstr>SEPT 19</vt:lpstr>
      <vt:lpstr>OCT 19</vt:lpstr>
      <vt:lpstr>NOV 19</vt:lpstr>
      <vt:lpstr>DEC 19</vt:lpstr>
      <vt:lpstr>JAN 20</vt:lpstr>
      <vt:lpstr>FEB 20</vt:lpstr>
      <vt:lpstr>MAR 20</vt:lpstr>
      <vt:lpstr>APR 20</vt:lpstr>
      <vt:lpstr>MAY 20</vt:lpstr>
      <vt:lpstr>JUNE 20</vt:lpstr>
      <vt:lpstr>JULY 20</vt:lpstr>
      <vt:lpstr>AUG2020</vt:lpstr>
      <vt:lpstr>SEPT 2020</vt:lpstr>
      <vt:lpstr>OCT2020</vt:lpstr>
      <vt:lpstr>NOV 2020</vt:lpstr>
      <vt:lpstr>DEC 2020</vt:lpstr>
      <vt:lpstr>JAN2021</vt:lpstr>
      <vt:lpstr>MAR2021</vt:lpstr>
      <vt:lpstr>APR2021</vt:lpstr>
      <vt:lpstr>MAY2021</vt:lpstr>
      <vt:lpstr>JUNE 2021</vt:lpstr>
      <vt:lpstr>AUG21</vt:lpstr>
      <vt:lpstr>SEPT21</vt:lpstr>
      <vt:lpstr>OCT21</vt:lpstr>
      <vt:lpstr>NOV21</vt:lpstr>
      <vt:lpstr>DEC21</vt:lpstr>
      <vt:lpstr>JAN22</vt:lpstr>
      <vt:lpstr>FEB22</vt:lpstr>
      <vt:lpstr>MAR22</vt:lpstr>
      <vt:lpstr>APR22</vt:lpstr>
      <vt:lpstr>MAY22</vt:lpstr>
      <vt:lpstr>JUN22</vt:lpstr>
      <vt:lpstr>JUL22</vt:lpstr>
      <vt:lpstr>AUG22</vt:lpstr>
      <vt:lpstr>SEPT22</vt:lpstr>
      <vt:lpstr>OCT22</vt:lpstr>
      <vt:lpstr>NOV22</vt:lpstr>
      <vt:lpstr>JAN23</vt:lpstr>
      <vt:lpstr>FEB23</vt:lpstr>
      <vt:lpstr>MAR23</vt:lpstr>
      <vt:lpstr>MAY23</vt:lpstr>
      <vt:lpstr>JUNE23</vt:lpstr>
      <vt:lpstr>JULY23</vt:lpstr>
      <vt:lpstr>AUG23</vt:lpstr>
      <vt:lpstr>SEPT23</vt:lpstr>
      <vt:lpstr>OCT23</vt:lpstr>
      <vt:lpstr>NOV23</vt:lpstr>
      <vt:lpstr>DEC23</vt:lpstr>
      <vt:lpstr>JAN24</vt:lpstr>
      <vt:lpstr>FEB24</vt:lpstr>
      <vt:lpstr>MAR24</vt:lpstr>
      <vt:lpstr>APR24</vt:lpstr>
      <vt:lpstr>MAY24</vt:lpstr>
      <vt:lpstr>JUNE24</vt:lpstr>
      <vt:lpstr>JULY24</vt:lpstr>
      <vt:lpstr>AUG24</vt:lpstr>
      <vt:lpstr>SEPT24</vt:lpstr>
      <vt:lpstr>OCT24</vt:lpstr>
      <vt:lpstr>NOV24</vt:lpstr>
      <vt:lpstr>DEC24</vt:lpstr>
      <vt:lpstr>JAN25</vt:lpstr>
      <vt:lpstr>FEB25</vt:lpstr>
      <vt:lpstr>MAR25</vt:lpstr>
      <vt:lpstr>APR25</vt:lpstr>
      <vt:lpstr>MAY25</vt:lpstr>
      <vt:lpstr>JUNE25</vt:lpstr>
      <vt:lpstr>JULY25</vt:lpstr>
      <vt:lpstr>AUG25</vt:lpstr>
      <vt:lpstr>SEPT25</vt:lpstr>
      <vt:lpstr>NOV25</vt:lpstr>
      <vt:lpstr>DEC25</vt:lpstr>
      <vt:lpstr>JAN26</vt:lpstr>
      <vt:lpstr>FEB26</vt:lpstr>
      <vt:lpstr>MAR26</vt:lpstr>
      <vt:lpstr>APR26</vt:lpstr>
      <vt:lpstr>Sheet2</vt:lpstr>
      <vt:lpstr>'APR22'!Print_Area</vt:lpstr>
      <vt:lpstr>'APR24'!Print_Area</vt:lpstr>
      <vt:lpstr>'APR25'!Print_Area</vt:lpstr>
      <vt:lpstr>'APR26'!Print_Area</vt:lpstr>
      <vt:lpstr>'Aug 2016'!Print_Area</vt:lpstr>
      <vt:lpstr>'AUG22'!Print_Area</vt:lpstr>
      <vt:lpstr>'AUG23'!Print_Area</vt:lpstr>
      <vt:lpstr>'AUG24'!Print_Area</vt:lpstr>
      <vt:lpstr>'AUG25'!Print_Area</vt:lpstr>
      <vt:lpstr>'Augst ''14'!Print_Area</vt:lpstr>
      <vt:lpstr>'Dec ''14'!Print_Area</vt:lpstr>
      <vt:lpstr>'DEC 16'!Print_Area</vt:lpstr>
      <vt:lpstr>'DEC23'!Print_Area</vt:lpstr>
      <vt:lpstr>'DEC24'!Print_Area</vt:lpstr>
      <vt:lpstr>'DEC25'!Print_Area</vt:lpstr>
      <vt:lpstr>'Feb ''15'!Print_Area</vt:lpstr>
      <vt:lpstr>'FEB 17'!Print_Area</vt:lpstr>
      <vt:lpstr>'FEB22'!Print_Area</vt:lpstr>
      <vt:lpstr>'FEB23'!Print_Area</vt:lpstr>
      <vt:lpstr>'FEB24'!Print_Area</vt:lpstr>
      <vt:lpstr>'FEB25'!Print_Area</vt:lpstr>
      <vt:lpstr>'FEB26'!Print_Area</vt:lpstr>
      <vt:lpstr>'Jan ''15'!Print_Area</vt:lpstr>
      <vt:lpstr>'JAN 17'!Print_Area</vt:lpstr>
      <vt:lpstr>'JAN23'!Print_Area</vt:lpstr>
      <vt:lpstr>'JAN24'!Print_Area</vt:lpstr>
      <vt:lpstr>'JAN25'!Print_Area</vt:lpstr>
      <vt:lpstr>'JAN26'!Print_Area</vt:lpstr>
      <vt:lpstr>'JUL22'!Print_Area</vt:lpstr>
      <vt:lpstr>'July ''14'!Print_Area</vt:lpstr>
      <vt:lpstr>'July 16'!Print_Area</vt:lpstr>
      <vt:lpstr>JULY23!Print_Area</vt:lpstr>
      <vt:lpstr>JULY24!Print_Area</vt:lpstr>
      <vt:lpstr>JULY25!Print_Area</vt:lpstr>
      <vt:lpstr>'JUN22'!Print_Area</vt:lpstr>
      <vt:lpstr>'June 16'!Print_Area</vt:lpstr>
      <vt:lpstr>JUNE23!Print_Area</vt:lpstr>
      <vt:lpstr>JUNE24!Print_Area</vt:lpstr>
      <vt:lpstr>JUNE25!Print_Area</vt:lpstr>
      <vt:lpstr>'MAR22'!Print_Area</vt:lpstr>
      <vt:lpstr>'MAR23'!Print_Area</vt:lpstr>
      <vt:lpstr>'MAR24'!Print_Area</vt:lpstr>
      <vt:lpstr>'MAR25'!Print_Area</vt:lpstr>
      <vt:lpstr>'MAR26'!Print_Area</vt:lpstr>
      <vt:lpstr>'MAY22'!Print_Area</vt:lpstr>
      <vt:lpstr>'MAY23'!Print_Area</vt:lpstr>
      <vt:lpstr>'MAY24'!Print_Area</vt:lpstr>
      <vt:lpstr>'MAY25'!Print_Area</vt:lpstr>
      <vt:lpstr>'Nov ''14'!Print_Area</vt:lpstr>
      <vt:lpstr>'NOV 16'!Print_Area</vt:lpstr>
      <vt:lpstr>'NOV22'!Print_Area</vt:lpstr>
      <vt:lpstr>'NOV23'!Print_Area</vt:lpstr>
      <vt:lpstr>'NOV24'!Print_Area</vt:lpstr>
      <vt:lpstr>'NOV25'!Print_Area</vt:lpstr>
      <vt:lpstr>'Oct ''14'!Print_Area</vt:lpstr>
      <vt:lpstr>'OCT 16'!Print_Area</vt:lpstr>
      <vt:lpstr>'OCT22'!Print_Area</vt:lpstr>
      <vt:lpstr>'OCT23'!Print_Area</vt:lpstr>
      <vt:lpstr>'OCT24'!Print_Area</vt:lpstr>
      <vt:lpstr>'Sept ''14'!Print_Area</vt:lpstr>
      <vt:lpstr>'Sept 2016'!Print_Area</vt:lpstr>
      <vt:lpstr>SEPT22!Print_Area</vt:lpstr>
      <vt:lpstr>SEPT23!Print_Area</vt:lpstr>
      <vt:lpstr>SEPT24!Print_Area</vt:lpstr>
      <vt:lpstr>SEPT25!Print_Area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Compton</dc:creator>
  <cp:lastModifiedBy>Tara Kirkley</cp:lastModifiedBy>
  <cp:lastPrinted>2026-05-25T15:58:18Z</cp:lastPrinted>
  <dcterms:created xsi:type="dcterms:W3CDTF">2014-06-11T17:29:14Z</dcterms:created>
  <dcterms:modified xsi:type="dcterms:W3CDTF">2026-05-25T15:58:19Z</dcterms:modified>
</cp:coreProperties>
</file>